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druga\Downloads\"/>
    </mc:Choice>
  </mc:AlternateContent>
  <xr:revisionPtr revIDLastSave="0" documentId="13_ncr:1_{0A086E8C-5839-481A-9E4E-41E1BFE12EBA}" xr6:coauthVersionLast="36" xr6:coauthVersionMax="36" xr10:uidLastSave="{00000000-0000-0000-0000-000000000000}"/>
  <bookViews>
    <workbookView xWindow="0" yWindow="0" windowWidth="28800" windowHeight="11805" tabRatio="900" xr2:uid="{00000000-000D-0000-FFFF-FFFF00000000}"/>
  </bookViews>
  <sheets>
    <sheet name="2025 Team" sheetId="1" r:id="rId1"/>
    <sheet name="2024 Team" sheetId="9" r:id="rId2"/>
    <sheet name="2023 Team" sheetId="5" r:id="rId3"/>
    <sheet name="2022 Team" sheetId="15" r:id="rId4"/>
    <sheet name="2021 Team" sheetId="16" r:id="rId5"/>
    <sheet name="2025 Passing" sheetId="2" r:id="rId6"/>
    <sheet name="2024 Passing" sheetId="10" r:id="rId7"/>
    <sheet name="2023 Passing" sheetId="6" r:id="rId8"/>
    <sheet name="2022 Passing" sheetId="17" r:id="rId9"/>
    <sheet name="2021 Passing" sheetId="18" r:id="rId10"/>
    <sheet name="2025 Rushing" sheetId="3" r:id="rId11"/>
    <sheet name="2024 Rushing" sheetId="11" r:id="rId12"/>
    <sheet name="2023 Rushing" sheetId="7" r:id="rId13"/>
    <sheet name="2022 Rushing" sheetId="19" r:id="rId14"/>
    <sheet name="2021 Rushing" sheetId="20" r:id="rId15"/>
    <sheet name="2025 Receiving" sheetId="4" r:id="rId16"/>
    <sheet name="2024 Receiving" sheetId="12" r:id="rId17"/>
    <sheet name="2023 Receiving" sheetId="8" r:id="rId18"/>
    <sheet name="2022 Receiving" sheetId="21" r:id="rId19"/>
    <sheet name="2021 Receiving" sheetId="22" r:id="rId20"/>
    <sheet name="ABB" sheetId="13" r:id="rId21"/>
  </sheets>
  <externalReferences>
    <externalReference r:id="rId22"/>
  </externalReferences>
  <definedNames>
    <definedName name="_xlnm._FilterDatabase" localSheetId="9" hidden="1">'2021 Passing'!$A$1:$K$121</definedName>
    <definedName name="_xlnm._FilterDatabase" localSheetId="19" hidden="1">'2021 Receiving'!$A$1:$L$655</definedName>
    <definedName name="_xlnm._FilterDatabase" localSheetId="14" hidden="1">'2021 Rushing'!$A$1:$I$655</definedName>
    <definedName name="_xlnm._FilterDatabase" localSheetId="8" hidden="1">'2022 Passing'!$A$1:$K$115</definedName>
    <definedName name="_xlnm._FilterDatabase" localSheetId="18" hidden="1">'2022 Receiving'!$A$1:$L$629</definedName>
    <definedName name="_xlnm._FilterDatabase" localSheetId="13" hidden="1">'2022 Rushing'!$A$1:$I$629</definedName>
    <definedName name="_xlnm._FilterDatabase" localSheetId="7" hidden="1">'2023 Passing'!$A$1:$K$118</definedName>
    <definedName name="_xlnm._FilterDatabase" localSheetId="17" hidden="1">'2023 Receiving'!$A$1:$L$605</definedName>
    <definedName name="_xlnm._FilterDatabase" localSheetId="12" hidden="1">'2023 Rushing'!$A$1:$I$605</definedName>
    <definedName name="_xlnm._FilterDatabase" localSheetId="6" hidden="1">'2024 Passing'!$A$1:$K$112</definedName>
    <definedName name="_xlnm._FilterDatabase" localSheetId="16" hidden="1">'2024 Receiving'!$A$1:$L$610</definedName>
    <definedName name="_xlnm._FilterDatabase" localSheetId="11" hidden="1">'2024 Rushing'!$A$1:$I$610</definedName>
    <definedName name="_xlnm._FilterDatabase" localSheetId="10" hidden="1">'2025 Rushing'!$A$1:$I$616</definedName>
  </definedNames>
  <calcPr calcId="191029"/>
</workbook>
</file>

<file path=xl/calcChain.xml><?xml version="1.0" encoding="utf-8"?>
<calcChain xmlns="http://schemas.openxmlformats.org/spreadsheetml/2006/main">
  <c r="J655" i="22" l="1"/>
  <c r="I655" i="22"/>
  <c r="J654" i="22"/>
  <c r="I654" i="22"/>
  <c r="J653" i="22"/>
  <c r="I653" i="22"/>
  <c r="J652" i="22"/>
  <c r="I652" i="22"/>
  <c r="J651" i="22"/>
  <c r="I651" i="22"/>
  <c r="J650" i="22"/>
  <c r="I650" i="22"/>
  <c r="J649" i="22"/>
  <c r="I649" i="22"/>
  <c r="J648" i="22"/>
  <c r="I648" i="22"/>
  <c r="J647" i="22"/>
  <c r="I647" i="22"/>
  <c r="J646" i="22"/>
  <c r="I646" i="22"/>
  <c r="J645" i="22"/>
  <c r="I645" i="22"/>
  <c r="J644" i="22"/>
  <c r="I644" i="22"/>
  <c r="J643" i="22"/>
  <c r="I643" i="22"/>
  <c r="J642" i="22"/>
  <c r="I642" i="22"/>
  <c r="J641" i="22"/>
  <c r="I641" i="22"/>
  <c r="J640" i="22"/>
  <c r="I640" i="22"/>
  <c r="J639" i="22"/>
  <c r="I639" i="22"/>
  <c r="J638" i="22"/>
  <c r="I638" i="22"/>
  <c r="J637" i="22"/>
  <c r="I637" i="22"/>
  <c r="J636" i="22"/>
  <c r="I636" i="22"/>
  <c r="J635" i="22"/>
  <c r="I635" i="22"/>
  <c r="J634" i="22"/>
  <c r="I634" i="22"/>
  <c r="J633" i="22"/>
  <c r="I633" i="22"/>
  <c r="J632" i="22"/>
  <c r="I632" i="22"/>
  <c r="J631" i="22"/>
  <c r="I631" i="22"/>
  <c r="J630" i="22"/>
  <c r="I630" i="22"/>
  <c r="J629" i="22"/>
  <c r="I629" i="22"/>
  <c r="J628" i="22"/>
  <c r="I628" i="22"/>
  <c r="J627" i="22"/>
  <c r="I627" i="22"/>
  <c r="J626" i="22"/>
  <c r="I626" i="22"/>
  <c r="J625" i="22"/>
  <c r="I625" i="22"/>
  <c r="J624" i="22"/>
  <c r="I624" i="22"/>
  <c r="J623" i="22"/>
  <c r="I623" i="22"/>
  <c r="J622" i="22"/>
  <c r="I622" i="22"/>
  <c r="J621" i="22"/>
  <c r="I621" i="22"/>
  <c r="J620" i="22"/>
  <c r="I620" i="22"/>
  <c r="J619" i="22"/>
  <c r="I619" i="22"/>
  <c r="J618" i="22"/>
  <c r="I618" i="22"/>
  <c r="J617" i="22"/>
  <c r="I617" i="22"/>
  <c r="J616" i="22"/>
  <c r="I616" i="22"/>
  <c r="J615" i="22"/>
  <c r="I615" i="22"/>
  <c r="J614" i="22"/>
  <c r="I614" i="22"/>
  <c r="J613" i="22"/>
  <c r="I613" i="22"/>
  <c r="J612" i="22"/>
  <c r="I612" i="22"/>
  <c r="J611" i="22"/>
  <c r="I611" i="22"/>
  <c r="J610" i="22"/>
  <c r="I610" i="22"/>
  <c r="J609" i="22"/>
  <c r="I609" i="22"/>
  <c r="J608" i="22"/>
  <c r="I608" i="22"/>
  <c r="J607" i="22"/>
  <c r="I607" i="22"/>
  <c r="J606" i="22"/>
  <c r="I606" i="22"/>
  <c r="J605" i="22"/>
  <c r="I605" i="22"/>
  <c r="J604" i="22"/>
  <c r="I604" i="22"/>
  <c r="J603" i="22"/>
  <c r="I603" i="22"/>
  <c r="J602" i="22"/>
  <c r="I602" i="22"/>
  <c r="J601" i="22"/>
  <c r="I601" i="22"/>
  <c r="J600" i="22"/>
  <c r="I600" i="22"/>
  <c r="J599" i="22"/>
  <c r="I599" i="22"/>
  <c r="J598" i="22"/>
  <c r="I598" i="22"/>
  <c r="J597" i="22"/>
  <c r="I597" i="22"/>
  <c r="J596" i="22"/>
  <c r="I596" i="22"/>
  <c r="J595" i="22"/>
  <c r="I595" i="22"/>
  <c r="J594" i="22"/>
  <c r="I594" i="22"/>
  <c r="J593" i="22"/>
  <c r="I593" i="22"/>
  <c r="J592" i="22"/>
  <c r="I592" i="22"/>
  <c r="J591" i="22"/>
  <c r="I591" i="22"/>
  <c r="J590" i="22"/>
  <c r="I590" i="22"/>
  <c r="J589" i="22"/>
  <c r="I589" i="22"/>
  <c r="J588" i="22"/>
  <c r="I588" i="22"/>
  <c r="J587" i="22"/>
  <c r="I587" i="22"/>
  <c r="J586" i="22"/>
  <c r="I586" i="22"/>
  <c r="J585" i="22"/>
  <c r="I585" i="22"/>
  <c r="J584" i="22"/>
  <c r="I584" i="22"/>
  <c r="J583" i="22"/>
  <c r="I583" i="22"/>
  <c r="J582" i="22"/>
  <c r="I582" i="22"/>
  <c r="J581" i="22"/>
  <c r="I581" i="22"/>
  <c r="J580" i="22"/>
  <c r="I580" i="22"/>
  <c r="J579" i="22"/>
  <c r="I579" i="22"/>
  <c r="J578" i="22"/>
  <c r="I578" i="22"/>
  <c r="J577" i="22"/>
  <c r="I577" i="22"/>
  <c r="J576" i="22"/>
  <c r="I576" i="22"/>
  <c r="J575" i="22"/>
  <c r="I575" i="22"/>
  <c r="J574" i="22"/>
  <c r="I574" i="22"/>
  <c r="J573" i="22"/>
  <c r="I573" i="22"/>
  <c r="J572" i="22"/>
  <c r="I572" i="22"/>
  <c r="J571" i="22"/>
  <c r="I571" i="22"/>
  <c r="J570" i="22"/>
  <c r="I570" i="22"/>
  <c r="J569" i="22"/>
  <c r="I569" i="22"/>
  <c r="J568" i="22"/>
  <c r="I568" i="22"/>
  <c r="J567" i="22"/>
  <c r="I567" i="22"/>
  <c r="J566" i="22"/>
  <c r="I566" i="22"/>
  <c r="J565" i="22"/>
  <c r="I565" i="22"/>
  <c r="J564" i="22"/>
  <c r="I564" i="22"/>
  <c r="J563" i="22"/>
  <c r="I563" i="22"/>
  <c r="J562" i="22"/>
  <c r="I562" i="22"/>
  <c r="J561" i="22"/>
  <c r="I561" i="22"/>
  <c r="J560" i="22"/>
  <c r="I560" i="22"/>
  <c r="J559" i="22"/>
  <c r="I559" i="22"/>
  <c r="J558" i="22"/>
  <c r="I558" i="22"/>
  <c r="J557" i="22"/>
  <c r="I557" i="22"/>
  <c r="J556" i="22"/>
  <c r="I556" i="22"/>
  <c r="J555" i="22"/>
  <c r="I555" i="22"/>
  <c r="J554" i="22"/>
  <c r="I554" i="22"/>
  <c r="J553" i="22"/>
  <c r="I553" i="22"/>
  <c r="J552" i="22"/>
  <c r="I552" i="22"/>
  <c r="J551" i="22"/>
  <c r="I551" i="22"/>
  <c r="J550" i="22"/>
  <c r="I550" i="22"/>
  <c r="J549" i="22"/>
  <c r="I549" i="22"/>
  <c r="J548" i="22"/>
  <c r="I548" i="22"/>
  <c r="J547" i="22"/>
  <c r="I547" i="22"/>
  <c r="J546" i="22"/>
  <c r="I546" i="22"/>
  <c r="J545" i="22"/>
  <c r="I545" i="22"/>
  <c r="J544" i="22"/>
  <c r="I544" i="22"/>
  <c r="J543" i="22"/>
  <c r="I543" i="22"/>
  <c r="J542" i="22"/>
  <c r="I542" i="22"/>
  <c r="J541" i="22"/>
  <c r="I541" i="22"/>
  <c r="J540" i="22"/>
  <c r="I540" i="22"/>
  <c r="J539" i="22"/>
  <c r="I539" i="22"/>
  <c r="J538" i="22"/>
  <c r="I538" i="22"/>
  <c r="J537" i="22"/>
  <c r="I537" i="22"/>
  <c r="J536" i="22"/>
  <c r="I536" i="22"/>
  <c r="J535" i="22"/>
  <c r="I535" i="22"/>
  <c r="J534" i="22"/>
  <c r="I534" i="22"/>
  <c r="J533" i="22"/>
  <c r="I533" i="22"/>
  <c r="J532" i="22"/>
  <c r="I532" i="22"/>
  <c r="J531" i="22"/>
  <c r="I531" i="22"/>
  <c r="J530" i="22"/>
  <c r="I530" i="22"/>
  <c r="J529" i="22"/>
  <c r="I529" i="22"/>
  <c r="J528" i="22"/>
  <c r="I528" i="22"/>
  <c r="J527" i="22"/>
  <c r="I527" i="22"/>
  <c r="J526" i="22"/>
  <c r="I526" i="22"/>
  <c r="J525" i="22"/>
  <c r="I525" i="22"/>
  <c r="J524" i="22"/>
  <c r="I524" i="22"/>
  <c r="J523" i="22"/>
  <c r="I523" i="22"/>
  <c r="J522" i="22"/>
  <c r="I522" i="22"/>
  <c r="J521" i="22"/>
  <c r="I521" i="22"/>
  <c r="J520" i="22"/>
  <c r="I520" i="22"/>
  <c r="J519" i="22"/>
  <c r="I519" i="22"/>
  <c r="J518" i="22"/>
  <c r="I518" i="22"/>
  <c r="J517" i="22"/>
  <c r="I517" i="22"/>
  <c r="J516" i="22"/>
  <c r="I516" i="22"/>
  <c r="J515" i="22"/>
  <c r="I515" i="22"/>
  <c r="J514" i="22"/>
  <c r="I514" i="22"/>
  <c r="J513" i="22"/>
  <c r="I513" i="22"/>
  <c r="J512" i="22"/>
  <c r="I512" i="22"/>
  <c r="J511" i="22"/>
  <c r="I511" i="22"/>
  <c r="J510" i="22"/>
  <c r="I510" i="22"/>
  <c r="J509" i="22"/>
  <c r="I509" i="22"/>
  <c r="J508" i="22"/>
  <c r="I508" i="22"/>
  <c r="J507" i="22"/>
  <c r="I507" i="22"/>
  <c r="J506" i="22"/>
  <c r="I506" i="22"/>
  <c r="J505" i="22"/>
  <c r="I505" i="22"/>
  <c r="J504" i="22"/>
  <c r="I504" i="22"/>
  <c r="J503" i="22"/>
  <c r="I503" i="22"/>
  <c r="J502" i="22"/>
  <c r="I502" i="22"/>
  <c r="J501" i="22"/>
  <c r="I501" i="22"/>
  <c r="J500" i="22"/>
  <c r="I500" i="22"/>
  <c r="J499" i="22"/>
  <c r="I499" i="22"/>
  <c r="J498" i="22"/>
  <c r="I498" i="22"/>
  <c r="J497" i="22"/>
  <c r="I497" i="22"/>
  <c r="J496" i="22"/>
  <c r="I496" i="22"/>
  <c r="J495" i="22"/>
  <c r="I495" i="22"/>
  <c r="J494" i="22"/>
  <c r="I494" i="22"/>
  <c r="J493" i="22"/>
  <c r="I493" i="22"/>
  <c r="J492" i="22"/>
  <c r="I492" i="22"/>
  <c r="J491" i="22"/>
  <c r="I491" i="22"/>
  <c r="J490" i="22"/>
  <c r="I490" i="22"/>
  <c r="J489" i="22"/>
  <c r="I489" i="22"/>
  <c r="J488" i="22"/>
  <c r="I488" i="22"/>
  <c r="J487" i="22"/>
  <c r="I487" i="22"/>
  <c r="J486" i="22"/>
  <c r="I486" i="22"/>
  <c r="J485" i="22"/>
  <c r="I485" i="22"/>
  <c r="J484" i="22"/>
  <c r="I484" i="22"/>
  <c r="J483" i="22"/>
  <c r="I483" i="22"/>
  <c r="J482" i="22"/>
  <c r="I482" i="22"/>
  <c r="J481" i="22"/>
  <c r="I481" i="22"/>
  <c r="J480" i="22"/>
  <c r="I480" i="22"/>
  <c r="J479" i="22"/>
  <c r="I479" i="22"/>
  <c r="J478" i="22"/>
  <c r="I478" i="22"/>
  <c r="J477" i="22"/>
  <c r="I477" i="22"/>
  <c r="J476" i="22"/>
  <c r="I476" i="22"/>
  <c r="J475" i="22"/>
  <c r="I475" i="22"/>
  <c r="J474" i="22"/>
  <c r="I474" i="22"/>
  <c r="J473" i="22"/>
  <c r="I473" i="22"/>
  <c r="J472" i="22"/>
  <c r="I472" i="22"/>
  <c r="J471" i="22"/>
  <c r="I471" i="22"/>
  <c r="J470" i="22"/>
  <c r="I470" i="22"/>
  <c r="J469" i="22"/>
  <c r="I469" i="22"/>
  <c r="J468" i="22"/>
  <c r="I468" i="22"/>
  <c r="J467" i="22"/>
  <c r="I467" i="22"/>
  <c r="J466" i="22"/>
  <c r="I466" i="22"/>
  <c r="J465" i="22"/>
  <c r="I465" i="22"/>
  <c r="J464" i="22"/>
  <c r="I464" i="22"/>
  <c r="J463" i="22"/>
  <c r="I463" i="22"/>
  <c r="J462" i="22"/>
  <c r="I462" i="22"/>
  <c r="J461" i="22"/>
  <c r="I461" i="22"/>
  <c r="J460" i="22"/>
  <c r="I460" i="22"/>
  <c r="J459" i="22"/>
  <c r="I459" i="22"/>
  <c r="J458" i="22"/>
  <c r="I458" i="22"/>
  <c r="J457" i="22"/>
  <c r="I457" i="22"/>
  <c r="J456" i="22"/>
  <c r="I456" i="22"/>
  <c r="J455" i="22"/>
  <c r="I455" i="22"/>
  <c r="J454" i="22"/>
  <c r="I454" i="22"/>
  <c r="J453" i="22"/>
  <c r="I453" i="22"/>
  <c r="J452" i="22"/>
  <c r="I452" i="22"/>
  <c r="J451" i="22"/>
  <c r="I451" i="22"/>
  <c r="J450" i="22"/>
  <c r="I450" i="22"/>
  <c r="J449" i="22"/>
  <c r="I449" i="22"/>
  <c r="J448" i="22"/>
  <c r="I448" i="22"/>
  <c r="J447" i="22"/>
  <c r="I447" i="22"/>
  <c r="J446" i="22"/>
  <c r="I446" i="22"/>
  <c r="J445" i="22"/>
  <c r="I445" i="22"/>
  <c r="J444" i="22"/>
  <c r="I444" i="22"/>
  <c r="J443" i="22"/>
  <c r="I443" i="22"/>
  <c r="J442" i="22"/>
  <c r="I442" i="22"/>
  <c r="J441" i="22"/>
  <c r="I441" i="22"/>
  <c r="J440" i="22"/>
  <c r="I440" i="22"/>
  <c r="J439" i="22"/>
  <c r="I439" i="22"/>
  <c r="J438" i="22"/>
  <c r="I438" i="22"/>
  <c r="J437" i="22"/>
  <c r="I437" i="22"/>
  <c r="J436" i="22"/>
  <c r="I436" i="22"/>
  <c r="J435" i="22"/>
  <c r="I435" i="22"/>
  <c r="J434" i="22"/>
  <c r="I434" i="22"/>
  <c r="J433" i="22"/>
  <c r="I433" i="22"/>
  <c r="J432" i="22"/>
  <c r="I432" i="22"/>
  <c r="J431" i="22"/>
  <c r="I431" i="22"/>
  <c r="J430" i="22"/>
  <c r="I430" i="22"/>
  <c r="J429" i="22"/>
  <c r="I429" i="22"/>
  <c r="J428" i="22"/>
  <c r="I428" i="22"/>
  <c r="J427" i="22"/>
  <c r="I427" i="22"/>
  <c r="J426" i="22"/>
  <c r="I426" i="22"/>
  <c r="J425" i="22"/>
  <c r="I425" i="22"/>
  <c r="J424" i="22"/>
  <c r="I424" i="22"/>
  <c r="J423" i="22"/>
  <c r="I423" i="22"/>
  <c r="J422" i="22"/>
  <c r="I422" i="22"/>
  <c r="J421" i="22"/>
  <c r="I421" i="22"/>
  <c r="J420" i="22"/>
  <c r="I420" i="22"/>
  <c r="J419" i="22"/>
  <c r="I419" i="22"/>
  <c r="J418" i="22"/>
  <c r="I418" i="22"/>
  <c r="J417" i="22"/>
  <c r="I417" i="22"/>
  <c r="J416" i="22"/>
  <c r="I416" i="22"/>
  <c r="J415" i="22"/>
  <c r="I415" i="22"/>
  <c r="J414" i="22"/>
  <c r="I414" i="22"/>
  <c r="J413" i="22"/>
  <c r="I413" i="22"/>
  <c r="J412" i="22"/>
  <c r="I412" i="22"/>
  <c r="J411" i="22"/>
  <c r="I411" i="22"/>
  <c r="J410" i="22"/>
  <c r="I410" i="22"/>
  <c r="J409" i="22"/>
  <c r="I409" i="22"/>
  <c r="J408" i="22"/>
  <c r="I408" i="22"/>
  <c r="J407" i="22"/>
  <c r="I407" i="22"/>
  <c r="J406" i="22"/>
  <c r="I406" i="22"/>
  <c r="J405" i="22"/>
  <c r="I405" i="22"/>
  <c r="J404" i="22"/>
  <c r="I404" i="22"/>
  <c r="J403" i="22"/>
  <c r="I403" i="22"/>
  <c r="J402" i="22"/>
  <c r="I402" i="22"/>
  <c r="J401" i="22"/>
  <c r="I401" i="22"/>
  <c r="J400" i="22"/>
  <c r="I400" i="22"/>
  <c r="J399" i="22"/>
  <c r="I399" i="22"/>
  <c r="J398" i="22"/>
  <c r="I398" i="22"/>
  <c r="J397" i="22"/>
  <c r="I397" i="22"/>
  <c r="J396" i="22"/>
  <c r="I396" i="22"/>
  <c r="J395" i="22"/>
  <c r="I395" i="22"/>
  <c r="J394" i="22"/>
  <c r="I394" i="22"/>
  <c r="J393" i="22"/>
  <c r="I393" i="22"/>
  <c r="J392" i="22"/>
  <c r="I392" i="22"/>
  <c r="J391" i="22"/>
  <c r="I391" i="22"/>
  <c r="J390" i="22"/>
  <c r="I390" i="22"/>
  <c r="J389" i="22"/>
  <c r="I389" i="22"/>
  <c r="J388" i="22"/>
  <c r="I388" i="22"/>
  <c r="J387" i="22"/>
  <c r="I387" i="22"/>
  <c r="J386" i="22"/>
  <c r="I386" i="22"/>
  <c r="J385" i="22"/>
  <c r="I385" i="22"/>
  <c r="J384" i="22"/>
  <c r="I384" i="22"/>
  <c r="J383" i="22"/>
  <c r="I383" i="22"/>
  <c r="J382" i="22"/>
  <c r="I382" i="22"/>
  <c r="J381" i="22"/>
  <c r="I381" i="22"/>
  <c r="J380" i="22"/>
  <c r="I380" i="22"/>
  <c r="J379" i="22"/>
  <c r="I379" i="22"/>
  <c r="J378" i="22"/>
  <c r="I378" i="22"/>
  <c r="J377" i="22"/>
  <c r="I377" i="22"/>
  <c r="J376" i="22"/>
  <c r="I376" i="22"/>
  <c r="J375" i="22"/>
  <c r="I375" i="22"/>
  <c r="J374" i="22"/>
  <c r="I374" i="22"/>
  <c r="J373" i="22"/>
  <c r="I373" i="22"/>
  <c r="J372" i="22"/>
  <c r="I372" i="22"/>
  <c r="J371" i="22"/>
  <c r="I371" i="22"/>
  <c r="J370" i="22"/>
  <c r="I370" i="22"/>
  <c r="J369" i="22"/>
  <c r="I369" i="22"/>
  <c r="J368" i="22"/>
  <c r="I368" i="22"/>
  <c r="J367" i="22"/>
  <c r="I367" i="22"/>
  <c r="J366" i="22"/>
  <c r="I366" i="22"/>
  <c r="J365" i="22"/>
  <c r="I365" i="22"/>
  <c r="J364" i="22"/>
  <c r="I364" i="22"/>
  <c r="J363" i="22"/>
  <c r="I363" i="22"/>
  <c r="J362" i="22"/>
  <c r="I362" i="22"/>
  <c r="J361" i="22"/>
  <c r="I361" i="22"/>
  <c r="J360" i="22"/>
  <c r="I360" i="22"/>
  <c r="J359" i="22"/>
  <c r="I359" i="22"/>
  <c r="J358" i="22"/>
  <c r="I358" i="22"/>
  <c r="J357" i="22"/>
  <c r="I357" i="22"/>
  <c r="J356" i="22"/>
  <c r="I356" i="22"/>
  <c r="J355" i="22"/>
  <c r="I355" i="22"/>
  <c r="J354" i="22"/>
  <c r="I354" i="22"/>
  <c r="J353" i="22"/>
  <c r="I353" i="22"/>
  <c r="J352" i="22"/>
  <c r="I352" i="22"/>
  <c r="J351" i="22"/>
  <c r="I351" i="22"/>
  <c r="J350" i="22"/>
  <c r="I350" i="22"/>
  <c r="J349" i="22"/>
  <c r="I349" i="22"/>
  <c r="J348" i="22"/>
  <c r="I348" i="22"/>
  <c r="J347" i="22"/>
  <c r="I347" i="22"/>
  <c r="J346" i="22"/>
  <c r="I346" i="22"/>
  <c r="J345" i="22"/>
  <c r="I345" i="22"/>
  <c r="J344" i="22"/>
  <c r="I344" i="22"/>
  <c r="J343" i="22"/>
  <c r="I343" i="22"/>
  <c r="J342" i="22"/>
  <c r="I342" i="22"/>
  <c r="J341" i="22"/>
  <c r="I341" i="22"/>
  <c r="J340" i="22"/>
  <c r="I340" i="22"/>
  <c r="J339" i="22"/>
  <c r="I339" i="22"/>
  <c r="J338" i="22"/>
  <c r="I338" i="22"/>
  <c r="J337" i="22"/>
  <c r="I337" i="22"/>
  <c r="J336" i="22"/>
  <c r="I336" i="22"/>
  <c r="J335" i="22"/>
  <c r="I335" i="22"/>
  <c r="J334" i="22"/>
  <c r="I334" i="22"/>
  <c r="J333" i="22"/>
  <c r="I333" i="22"/>
  <c r="J332" i="22"/>
  <c r="I332" i="22"/>
  <c r="J331" i="22"/>
  <c r="I331" i="22"/>
  <c r="J330" i="22"/>
  <c r="I330" i="22"/>
  <c r="J329" i="22"/>
  <c r="I329" i="22"/>
  <c r="J328" i="22"/>
  <c r="I328" i="22"/>
  <c r="J327" i="22"/>
  <c r="I327" i="22"/>
  <c r="J326" i="22"/>
  <c r="I326" i="22"/>
  <c r="J325" i="22"/>
  <c r="I325" i="22"/>
  <c r="J324" i="22"/>
  <c r="I324" i="22"/>
  <c r="J323" i="22"/>
  <c r="I323" i="22"/>
  <c r="J322" i="22"/>
  <c r="I322" i="22"/>
  <c r="J321" i="22"/>
  <c r="I321" i="22"/>
  <c r="J320" i="22"/>
  <c r="I320" i="22"/>
  <c r="J319" i="22"/>
  <c r="I319" i="22"/>
  <c r="J318" i="22"/>
  <c r="I318" i="22"/>
  <c r="J317" i="22"/>
  <c r="I317" i="22"/>
  <c r="J316" i="22"/>
  <c r="I316" i="22"/>
  <c r="J315" i="22"/>
  <c r="I315" i="22"/>
  <c r="J314" i="22"/>
  <c r="I314" i="22"/>
  <c r="J313" i="22"/>
  <c r="I313" i="22"/>
  <c r="J312" i="22"/>
  <c r="I312" i="22"/>
  <c r="J311" i="22"/>
  <c r="I311" i="22"/>
  <c r="J310" i="22"/>
  <c r="I310" i="22"/>
  <c r="J309" i="22"/>
  <c r="I309" i="22"/>
  <c r="J308" i="22"/>
  <c r="I308" i="22"/>
  <c r="J307" i="22"/>
  <c r="I307" i="22"/>
  <c r="J306" i="22"/>
  <c r="I306" i="22"/>
  <c r="J305" i="22"/>
  <c r="I305" i="22"/>
  <c r="J304" i="22"/>
  <c r="I304" i="22"/>
  <c r="J303" i="22"/>
  <c r="I303" i="22"/>
  <c r="J302" i="22"/>
  <c r="I302" i="22"/>
  <c r="J301" i="22"/>
  <c r="I301" i="22"/>
  <c r="J300" i="22"/>
  <c r="I300" i="22"/>
  <c r="J299" i="22"/>
  <c r="I299" i="22"/>
  <c r="J298" i="22"/>
  <c r="I298" i="22"/>
  <c r="J297" i="22"/>
  <c r="I297" i="22"/>
  <c r="J296" i="22"/>
  <c r="I296" i="22"/>
  <c r="J295" i="22"/>
  <c r="I295" i="22"/>
  <c r="J294" i="22"/>
  <c r="I294" i="22"/>
  <c r="J293" i="22"/>
  <c r="I293" i="22"/>
  <c r="J292" i="22"/>
  <c r="I292" i="22"/>
  <c r="J291" i="22"/>
  <c r="I291" i="22"/>
  <c r="J290" i="22"/>
  <c r="I290" i="22"/>
  <c r="J289" i="22"/>
  <c r="I289" i="22"/>
  <c r="J288" i="22"/>
  <c r="I288" i="22"/>
  <c r="J287" i="22"/>
  <c r="I287" i="22"/>
  <c r="J286" i="22"/>
  <c r="I286" i="22"/>
  <c r="J285" i="22"/>
  <c r="I285" i="22"/>
  <c r="J284" i="22"/>
  <c r="I284" i="22"/>
  <c r="J283" i="22"/>
  <c r="I283" i="22"/>
  <c r="J282" i="22"/>
  <c r="I282" i="22"/>
  <c r="J281" i="22"/>
  <c r="I281" i="22"/>
  <c r="J280" i="22"/>
  <c r="I280" i="22"/>
  <c r="J279" i="22"/>
  <c r="I279" i="22"/>
  <c r="J278" i="22"/>
  <c r="I278" i="22"/>
  <c r="J277" i="22"/>
  <c r="I277" i="22"/>
  <c r="J276" i="22"/>
  <c r="I276" i="22"/>
  <c r="J275" i="22"/>
  <c r="I275" i="22"/>
  <c r="J274" i="22"/>
  <c r="I274" i="22"/>
  <c r="J273" i="22"/>
  <c r="I273" i="22"/>
  <c r="J272" i="22"/>
  <c r="I272" i="22"/>
  <c r="J271" i="22"/>
  <c r="I271" i="22"/>
  <c r="J270" i="22"/>
  <c r="I270" i="22"/>
  <c r="J269" i="22"/>
  <c r="I269" i="22"/>
  <c r="J268" i="22"/>
  <c r="I268" i="22"/>
  <c r="J267" i="22"/>
  <c r="I267" i="22"/>
  <c r="J266" i="22"/>
  <c r="I266" i="22"/>
  <c r="J265" i="22"/>
  <c r="I265" i="22"/>
  <c r="J264" i="22"/>
  <c r="I264" i="22"/>
  <c r="J263" i="22"/>
  <c r="I263" i="22"/>
  <c r="J262" i="22"/>
  <c r="I262" i="22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J247" i="22"/>
  <c r="I247" i="22"/>
  <c r="J246" i="22"/>
  <c r="I246" i="22"/>
  <c r="J245" i="22"/>
  <c r="I245" i="22"/>
  <c r="J244" i="22"/>
  <c r="I244" i="22"/>
  <c r="J243" i="22"/>
  <c r="I243" i="22"/>
  <c r="J242" i="22"/>
  <c r="I242" i="22"/>
  <c r="J241" i="22"/>
  <c r="I241" i="22"/>
  <c r="J240" i="22"/>
  <c r="I240" i="22"/>
  <c r="J239" i="22"/>
  <c r="I239" i="22"/>
  <c r="J238" i="22"/>
  <c r="I238" i="22"/>
  <c r="J237" i="22"/>
  <c r="I237" i="22"/>
  <c r="J236" i="22"/>
  <c r="I236" i="22"/>
  <c r="J235" i="22"/>
  <c r="I235" i="22"/>
  <c r="J234" i="22"/>
  <c r="I234" i="22"/>
  <c r="J233" i="22"/>
  <c r="I233" i="22"/>
  <c r="J232" i="22"/>
  <c r="I232" i="22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J205" i="22"/>
  <c r="I205" i="22"/>
  <c r="J204" i="22"/>
  <c r="I204" i="22"/>
  <c r="J203" i="22"/>
  <c r="I203" i="22"/>
  <c r="J202" i="22"/>
  <c r="I202" i="22"/>
  <c r="J201" i="22"/>
  <c r="I201" i="22"/>
  <c r="J200" i="22"/>
  <c r="I200" i="22"/>
  <c r="J199" i="22"/>
  <c r="I199" i="22"/>
  <c r="J198" i="22"/>
  <c r="I198" i="22"/>
  <c r="J197" i="22"/>
  <c r="I197" i="22"/>
  <c r="J196" i="22"/>
  <c r="I196" i="22"/>
  <c r="J195" i="22"/>
  <c r="I195" i="22"/>
  <c r="J194" i="22"/>
  <c r="I194" i="22"/>
  <c r="J193" i="22"/>
  <c r="I193" i="22"/>
  <c r="J192" i="22"/>
  <c r="I192" i="22"/>
  <c r="J191" i="22"/>
  <c r="I191" i="22"/>
  <c r="J190" i="22"/>
  <c r="I190" i="22"/>
  <c r="J189" i="22"/>
  <c r="I189" i="22"/>
  <c r="J188" i="22"/>
  <c r="I188" i="22"/>
  <c r="J187" i="22"/>
  <c r="I187" i="22"/>
  <c r="J186" i="22"/>
  <c r="I186" i="22"/>
  <c r="J185" i="22"/>
  <c r="I185" i="22"/>
  <c r="J184" i="22"/>
  <c r="I184" i="22"/>
  <c r="J183" i="22"/>
  <c r="I183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J158" i="22"/>
  <c r="I158" i="22"/>
  <c r="J157" i="22"/>
  <c r="I157" i="22"/>
  <c r="J156" i="22"/>
  <c r="I156" i="22"/>
  <c r="J155" i="22"/>
  <c r="I155" i="22"/>
  <c r="J154" i="22"/>
  <c r="I154" i="22"/>
  <c r="J153" i="22"/>
  <c r="I153" i="22"/>
  <c r="J152" i="22"/>
  <c r="I152" i="22"/>
  <c r="J151" i="22"/>
  <c r="I151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J143" i="22"/>
  <c r="I143" i="22"/>
  <c r="J142" i="22"/>
  <c r="I142" i="22"/>
  <c r="J141" i="22"/>
  <c r="I141" i="22"/>
  <c r="J140" i="22"/>
  <c r="I140" i="22"/>
  <c r="J139" i="22"/>
  <c r="I139" i="22"/>
  <c r="J138" i="22"/>
  <c r="I138" i="22"/>
  <c r="J137" i="22"/>
  <c r="I137" i="22"/>
  <c r="J136" i="22"/>
  <c r="I136" i="22"/>
  <c r="J135" i="22"/>
  <c r="I135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J127" i="22"/>
  <c r="I127" i="22"/>
  <c r="J126" i="22"/>
  <c r="I126" i="22"/>
  <c r="J125" i="22"/>
  <c r="I125" i="22"/>
  <c r="J124" i="22"/>
  <c r="I124" i="22"/>
  <c r="J123" i="22"/>
  <c r="I123" i="22"/>
  <c r="J122" i="22"/>
  <c r="I122" i="22"/>
  <c r="J121" i="22"/>
  <c r="I121" i="22"/>
  <c r="J120" i="22"/>
  <c r="I120" i="22"/>
  <c r="J119" i="22"/>
  <c r="I119" i="22"/>
  <c r="J118" i="22"/>
  <c r="I118" i="22"/>
  <c r="J117" i="22"/>
  <c r="I117" i="22"/>
  <c r="J116" i="22"/>
  <c r="I116" i="22"/>
  <c r="J115" i="22"/>
  <c r="I115" i="22"/>
  <c r="J114" i="22"/>
  <c r="I114" i="22"/>
  <c r="J113" i="22"/>
  <c r="I113" i="22"/>
  <c r="J112" i="22"/>
  <c r="I112" i="22"/>
  <c r="J111" i="22"/>
  <c r="I111" i="22"/>
  <c r="J110" i="22"/>
  <c r="I110" i="22"/>
  <c r="J109" i="22"/>
  <c r="I109" i="22"/>
  <c r="J108" i="22"/>
  <c r="I108" i="22"/>
  <c r="J107" i="22"/>
  <c r="I107" i="22"/>
  <c r="J106" i="22"/>
  <c r="I106" i="22"/>
  <c r="J105" i="22"/>
  <c r="I105" i="22"/>
  <c r="J104" i="22"/>
  <c r="I104" i="22"/>
  <c r="J103" i="22"/>
  <c r="I103" i="22"/>
  <c r="J102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J95" i="22"/>
  <c r="I95" i="22"/>
  <c r="J94" i="22"/>
  <c r="I94" i="22"/>
  <c r="J93" i="22"/>
  <c r="I93" i="22"/>
  <c r="J92" i="22"/>
  <c r="I92" i="22"/>
  <c r="J91" i="22"/>
  <c r="I91" i="22"/>
  <c r="J90" i="22"/>
  <c r="I90" i="22"/>
  <c r="J89" i="22"/>
  <c r="I89" i="22"/>
  <c r="J88" i="22"/>
  <c r="I88" i="22"/>
  <c r="J87" i="22"/>
  <c r="I87" i="22"/>
  <c r="J86" i="22"/>
  <c r="I86" i="22"/>
  <c r="J85" i="22"/>
  <c r="I85" i="22"/>
  <c r="J84" i="22"/>
  <c r="I84" i="22"/>
  <c r="J83" i="22"/>
  <c r="I83" i="22"/>
  <c r="J82" i="22"/>
  <c r="I82" i="22"/>
  <c r="J81" i="22"/>
  <c r="I81" i="22"/>
  <c r="J80" i="22"/>
  <c r="I80" i="22"/>
  <c r="J79" i="22"/>
  <c r="I79" i="22"/>
  <c r="J78" i="22"/>
  <c r="I78" i="22"/>
  <c r="J77" i="22"/>
  <c r="I77" i="22"/>
  <c r="J76" i="22"/>
  <c r="I76" i="22"/>
  <c r="J75" i="22"/>
  <c r="I75" i="22"/>
  <c r="J74" i="22"/>
  <c r="I74" i="22"/>
  <c r="J73" i="22"/>
  <c r="I73" i="22"/>
  <c r="J72" i="22"/>
  <c r="I72" i="22"/>
  <c r="J71" i="22"/>
  <c r="I71" i="22"/>
  <c r="J70" i="22"/>
  <c r="I70" i="22"/>
  <c r="J69" i="22"/>
  <c r="I69" i="22"/>
  <c r="J68" i="22"/>
  <c r="I68" i="22"/>
  <c r="J67" i="22"/>
  <c r="I67" i="22"/>
  <c r="J66" i="22"/>
  <c r="I66" i="22"/>
  <c r="J65" i="22"/>
  <c r="I65" i="22"/>
  <c r="J64" i="22"/>
  <c r="I64" i="22"/>
  <c r="J63" i="22"/>
  <c r="I63" i="22"/>
  <c r="J62" i="22"/>
  <c r="I62" i="22"/>
  <c r="J61" i="22"/>
  <c r="I61" i="22"/>
  <c r="J60" i="22"/>
  <c r="I60" i="22"/>
  <c r="J59" i="22"/>
  <c r="I59" i="22"/>
  <c r="J58" i="22"/>
  <c r="I58" i="22"/>
  <c r="J57" i="22"/>
  <c r="I57" i="22"/>
  <c r="J56" i="22"/>
  <c r="I56" i="22"/>
  <c r="J55" i="22"/>
  <c r="I55" i="22"/>
  <c r="J54" i="22"/>
  <c r="I54" i="22"/>
  <c r="J53" i="22"/>
  <c r="I53" i="22"/>
  <c r="J52" i="22"/>
  <c r="I52" i="22"/>
  <c r="J51" i="22"/>
  <c r="I51" i="22"/>
  <c r="J50" i="22"/>
  <c r="I50" i="22"/>
  <c r="J49" i="22"/>
  <c r="I49" i="22"/>
  <c r="J48" i="22"/>
  <c r="I48" i="22"/>
  <c r="J47" i="22"/>
  <c r="I47" i="22"/>
  <c r="J46" i="22"/>
  <c r="I46" i="22"/>
  <c r="J45" i="22"/>
  <c r="I45" i="22"/>
  <c r="J44" i="22"/>
  <c r="I44" i="22"/>
  <c r="J43" i="22"/>
  <c r="I43" i="22"/>
  <c r="J42" i="22"/>
  <c r="I42" i="22"/>
  <c r="J41" i="22"/>
  <c r="I41" i="22"/>
  <c r="J40" i="22"/>
  <c r="I40" i="22"/>
  <c r="J39" i="22"/>
  <c r="I39" i="22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I8" i="22"/>
  <c r="J7" i="22"/>
  <c r="I7" i="22"/>
  <c r="J6" i="22"/>
  <c r="I6" i="22"/>
  <c r="J5" i="22"/>
  <c r="I5" i="22"/>
  <c r="J4" i="22"/>
  <c r="I4" i="22"/>
  <c r="J3" i="22"/>
  <c r="I3" i="22"/>
  <c r="J2" i="22"/>
  <c r="I2" i="22"/>
  <c r="J629" i="21"/>
  <c r="I629" i="21"/>
  <c r="J628" i="21"/>
  <c r="I628" i="21"/>
  <c r="J627" i="21"/>
  <c r="I627" i="21"/>
  <c r="J626" i="21"/>
  <c r="I626" i="21"/>
  <c r="J625" i="21"/>
  <c r="I625" i="21"/>
  <c r="J624" i="21"/>
  <c r="I624" i="21"/>
  <c r="J623" i="21"/>
  <c r="I623" i="21"/>
  <c r="J622" i="21"/>
  <c r="I622" i="21"/>
  <c r="J621" i="21"/>
  <c r="I621" i="21"/>
  <c r="J620" i="21"/>
  <c r="I620" i="21"/>
  <c r="J619" i="21"/>
  <c r="I619" i="21"/>
  <c r="J618" i="21"/>
  <c r="I618" i="21"/>
  <c r="J617" i="21"/>
  <c r="I617" i="21"/>
  <c r="J616" i="21"/>
  <c r="I616" i="21"/>
  <c r="J615" i="21"/>
  <c r="I615" i="21"/>
  <c r="J614" i="21"/>
  <c r="I614" i="21"/>
  <c r="J613" i="21"/>
  <c r="I613" i="21"/>
  <c r="J612" i="21"/>
  <c r="I612" i="21"/>
  <c r="J611" i="21"/>
  <c r="I611" i="21"/>
  <c r="J610" i="21"/>
  <c r="I610" i="21"/>
  <c r="J609" i="21"/>
  <c r="I609" i="21"/>
  <c r="J608" i="21"/>
  <c r="I608" i="21"/>
  <c r="J607" i="21"/>
  <c r="I607" i="21"/>
  <c r="J606" i="21"/>
  <c r="I606" i="21"/>
  <c r="J605" i="21"/>
  <c r="I605" i="21"/>
  <c r="J604" i="21"/>
  <c r="I604" i="21"/>
  <c r="J603" i="21"/>
  <c r="I603" i="21"/>
  <c r="J602" i="21"/>
  <c r="I602" i="21"/>
  <c r="J601" i="21"/>
  <c r="I601" i="21"/>
  <c r="J600" i="21"/>
  <c r="I600" i="21"/>
  <c r="J599" i="21"/>
  <c r="I599" i="21"/>
  <c r="J598" i="21"/>
  <c r="I598" i="21"/>
  <c r="J597" i="21"/>
  <c r="I597" i="21"/>
  <c r="J596" i="21"/>
  <c r="I596" i="21"/>
  <c r="J595" i="21"/>
  <c r="I595" i="21"/>
  <c r="J594" i="21"/>
  <c r="I594" i="21"/>
  <c r="J593" i="21"/>
  <c r="I593" i="21"/>
  <c r="J592" i="21"/>
  <c r="I592" i="21"/>
  <c r="J591" i="21"/>
  <c r="I591" i="21"/>
  <c r="J590" i="21"/>
  <c r="I590" i="21"/>
  <c r="J589" i="21"/>
  <c r="I589" i="21"/>
  <c r="J588" i="21"/>
  <c r="I588" i="21"/>
  <c r="J587" i="21"/>
  <c r="I587" i="21"/>
  <c r="J586" i="21"/>
  <c r="I586" i="21"/>
  <c r="J585" i="21"/>
  <c r="I585" i="21"/>
  <c r="J584" i="21"/>
  <c r="I584" i="21"/>
  <c r="J583" i="21"/>
  <c r="I583" i="21"/>
  <c r="J582" i="21"/>
  <c r="I582" i="21"/>
  <c r="J581" i="21"/>
  <c r="I581" i="21"/>
  <c r="J580" i="21"/>
  <c r="I580" i="21"/>
  <c r="J579" i="21"/>
  <c r="I579" i="21"/>
  <c r="J578" i="21"/>
  <c r="I578" i="21"/>
  <c r="J577" i="21"/>
  <c r="I577" i="21"/>
  <c r="J576" i="21"/>
  <c r="I576" i="21"/>
  <c r="J575" i="21"/>
  <c r="I575" i="21"/>
  <c r="J574" i="21"/>
  <c r="I574" i="21"/>
  <c r="J573" i="21"/>
  <c r="I573" i="21"/>
  <c r="J572" i="21"/>
  <c r="I572" i="21"/>
  <c r="J571" i="21"/>
  <c r="I571" i="21"/>
  <c r="J570" i="21"/>
  <c r="I570" i="21"/>
  <c r="J569" i="21"/>
  <c r="I569" i="21"/>
  <c r="J568" i="21"/>
  <c r="I568" i="21"/>
  <c r="J567" i="21"/>
  <c r="I567" i="21"/>
  <c r="J566" i="21"/>
  <c r="I566" i="21"/>
  <c r="J565" i="21"/>
  <c r="I565" i="21"/>
  <c r="J564" i="21"/>
  <c r="I564" i="21"/>
  <c r="J563" i="21"/>
  <c r="I563" i="21"/>
  <c r="J562" i="21"/>
  <c r="I562" i="21"/>
  <c r="J561" i="21"/>
  <c r="I561" i="21"/>
  <c r="J560" i="21"/>
  <c r="I560" i="21"/>
  <c r="J559" i="21"/>
  <c r="I559" i="21"/>
  <c r="J558" i="21"/>
  <c r="I558" i="21"/>
  <c r="J557" i="21"/>
  <c r="I557" i="21"/>
  <c r="J556" i="21"/>
  <c r="I556" i="21"/>
  <c r="J555" i="21"/>
  <c r="I555" i="21"/>
  <c r="J554" i="21"/>
  <c r="I554" i="21"/>
  <c r="J553" i="21"/>
  <c r="I553" i="21"/>
  <c r="J552" i="21"/>
  <c r="I552" i="21"/>
  <c r="J551" i="21"/>
  <c r="I551" i="21"/>
  <c r="J550" i="21"/>
  <c r="I550" i="21"/>
  <c r="J549" i="21"/>
  <c r="I549" i="21"/>
  <c r="J548" i="21"/>
  <c r="I548" i="21"/>
  <c r="J547" i="21"/>
  <c r="I547" i="21"/>
  <c r="J546" i="21"/>
  <c r="I546" i="21"/>
  <c r="J545" i="21"/>
  <c r="I545" i="21"/>
  <c r="J544" i="21"/>
  <c r="I544" i="21"/>
  <c r="J543" i="21"/>
  <c r="I543" i="21"/>
  <c r="J542" i="21"/>
  <c r="I542" i="21"/>
  <c r="J541" i="21"/>
  <c r="I541" i="21"/>
  <c r="J540" i="21"/>
  <c r="I540" i="21"/>
  <c r="J539" i="21"/>
  <c r="I539" i="21"/>
  <c r="J538" i="21"/>
  <c r="I538" i="21"/>
  <c r="J537" i="21"/>
  <c r="I537" i="21"/>
  <c r="J536" i="21"/>
  <c r="I536" i="21"/>
  <c r="J535" i="21"/>
  <c r="I535" i="21"/>
  <c r="J534" i="21"/>
  <c r="I534" i="21"/>
  <c r="J533" i="21"/>
  <c r="I533" i="21"/>
  <c r="J532" i="21"/>
  <c r="I532" i="21"/>
  <c r="J531" i="21"/>
  <c r="I531" i="21"/>
  <c r="J530" i="21"/>
  <c r="I530" i="21"/>
  <c r="J529" i="21"/>
  <c r="I529" i="21"/>
  <c r="J528" i="21"/>
  <c r="I528" i="21"/>
  <c r="J527" i="21"/>
  <c r="I527" i="21"/>
  <c r="J526" i="21"/>
  <c r="I526" i="21"/>
  <c r="J525" i="21"/>
  <c r="I525" i="21"/>
  <c r="J524" i="21"/>
  <c r="I524" i="21"/>
  <c r="J523" i="21"/>
  <c r="I523" i="21"/>
  <c r="J522" i="21"/>
  <c r="I522" i="21"/>
  <c r="J521" i="21"/>
  <c r="I521" i="21"/>
  <c r="J520" i="21"/>
  <c r="I520" i="21"/>
  <c r="J519" i="21"/>
  <c r="I519" i="21"/>
  <c r="J518" i="21"/>
  <c r="I518" i="21"/>
  <c r="J517" i="21"/>
  <c r="I517" i="21"/>
  <c r="J516" i="21"/>
  <c r="I516" i="21"/>
  <c r="J515" i="21"/>
  <c r="I515" i="21"/>
  <c r="J514" i="21"/>
  <c r="I514" i="21"/>
  <c r="J513" i="21"/>
  <c r="I513" i="21"/>
  <c r="J512" i="21"/>
  <c r="I512" i="21"/>
  <c r="J511" i="21"/>
  <c r="I511" i="21"/>
  <c r="J510" i="21"/>
  <c r="I510" i="21"/>
  <c r="J509" i="21"/>
  <c r="I509" i="21"/>
  <c r="J508" i="21"/>
  <c r="I508" i="21"/>
  <c r="J507" i="21"/>
  <c r="I507" i="21"/>
  <c r="J506" i="21"/>
  <c r="I506" i="21"/>
  <c r="J505" i="21"/>
  <c r="I505" i="21"/>
  <c r="J504" i="21"/>
  <c r="I504" i="21"/>
  <c r="J503" i="21"/>
  <c r="I503" i="21"/>
  <c r="J502" i="21"/>
  <c r="I502" i="21"/>
  <c r="J501" i="21"/>
  <c r="I501" i="21"/>
  <c r="J500" i="21"/>
  <c r="I500" i="21"/>
  <c r="J499" i="21"/>
  <c r="I499" i="21"/>
  <c r="J498" i="21"/>
  <c r="I498" i="21"/>
  <c r="J497" i="21"/>
  <c r="I497" i="21"/>
  <c r="J496" i="21"/>
  <c r="I496" i="21"/>
  <c r="J495" i="21"/>
  <c r="I495" i="21"/>
  <c r="J494" i="21"/>
  <c r="I494" i="21"/>
  <c r="J493" i="21"/>
  <c r="I493" i="21"/>
  <c r="J492" i="21"/>
  <c r="I492" i="21"/>
  <c r="J491" i="21"/>
  <c r="I491" i="21"/>
  <c r="J490" i="21"/>
  <c r="I490" i="21"/>
  <c r="J489" i="21"/>
  <c r="I489" i="21"/>
  <c r="J488" i="21"/>
  <c r="I488" i="21"/>
  <c r="J487" i="21"/>
  <c r="I487" i="21"/>
  <c r="J486" i="21"/>
  <c r="I486" i="21"/>
  <c r="J485" i="21"/>
  <c r="I485" i="21"/>
  <c r="J484" i="21"/>
  <c r="I484" i="21"/>
  <c r="J483" i="21"/>
  <c r="I483" i="21"/>
  <c r="J482" i="21"/>
  <c r="I482" i="21"/>
  <c r="J481" i="21"/>
  <c r="I481" i="21"/>
  <c r="J480" i="21"/>
  <c r="I480" i="21"/>
  <c r="J479" i="21"/>
  <c r="I479" i="21"/>
  <c r="J478" i="21"/>
  <c r="I478" i="21"/>
  <c r="J477" i="21"/>
  <c r="I477" i="21"/>
  <c r="J476" i="21"/>
  <c r="I476" i="21"/>
  <c r="J475" i="21"/>
  <c r="I475" i="21"/>
  <c r="J474" i="21"/>
  <c r="I474" i="21"/>
  <c r="J473" i="21"/>
  <c r="I473" i="21"/>
  <c r="J472" i="21"/>
  <c r="I472" i="21"/>
  <c r="J471" i="21"/>
  <c r="I471" i="21"/>
  <c r="J470" i="21"/>
  <c r="I470" i="21"/>
  <c r="J469" i="21"/>
  <c r="I469" i="21"/>
  <c r="J468" i="21"/>
  <c r="I468" i="21"/>
  <c r="J467" i="21"/>
  <c r="I467" i="21"/>
  <c r="J466" i="21"/>
  <c r="I466" i="21"/>
  <c r="J465" i="21"/>
  <c r="I465" i="21"/>
  <c r="J464" i="21"/>
  <c r="I464" i="21"/>
  <c r="J463" i="21"/>
  <c r="I463" i="21"/>
  <c r="J462" i="21"/>
  <c r="I462" i="21"/>
  <c r="J461" i="21"/>
  <c r="I461" i="21"/>
  <c r="J460" i="21"/>
  <c r="I460" i="21"/>
  <c r="J459" i="21"/>
  <c r="I459" i="21"/>
  <c r="J458" i="21"/>
  <c r="I458" i="21"/>
  <c r="J457" i="21"/>
  <c r="I457" i="21"/>
  <c r="J456" i="21"/>
  <c r="I456" i="21"/>
  <c r="J455" i="21"/>
  <c r="I455" i="21"/>
  <c r="J454" i="21"/>
  <c r="I454" i="21"/>
  <c r="J453" i="21"/>
  <c r="I453" i="21"/>
  <c r="J452" i="21"/>
  <c r="I452" i="21"/>
  <c r="J451" i="21"/>
  <c r="I451" i="21"/>
  <c r="J450" i="21"/>
  <c r="I450" i="21"/>
  <c r="J449" i="21"/>
  <c r="I449" i="21"/>
  <c r="J448" i="21"/>
  <c r="I448" i="21"/>
  <c r="J447" i="21"/>
  <c r="I447" i="21"/>
  <c r="J446" i="21"/>
  <c r="I446" i="21"/>
  <c r="J445" i="21"/>
  <c r="I445" i="21"/>
  <c r="J444" i="21"/>
  <c r="I444" i="21"/>
  <c r="J443" i="21"/>
  <c r="I443" i="21"/>
  <c r="J442" i="21"/>
  <c r="I442" i="21"/>
  <c r="J441" i="21"/>
  <c r="I441" i="21"/>
  <c r="J440" i="21"/>
  <c r="I440" i="21"/>
  <c r="J439" i="21"/>
  <c r="I439" i="21"/>
  <c r="J438" i="21"/>
  <c r="I438" i="21"/>
  <c r="J437" i="21"/>
  <c r="I437" i="21"/>
  <c r="J436" i="21"/>
  <c r="I436" i="21"/>
  <c r="J435" i="21"/>
  <c r="I435" i="21"/>
  <c r="J434" i="21"/>
  <c r="I434" i="21"/>
  <c r="J433" i="21"/>
  <c r="I433" i="21"/>
  <c r="J432" i="21"/>
  <c r="I432" i="21"/>
  <c r="J431" i="21"/>
  <c r="I431" i="21"/>
  <c r="J430" i="21"/>
  <c r="I430" i="21"/>
  <c r="J429" i="21"/>
  <c r="I429" i="21"/>
  <c r="J428" i="21"/>
  <c r="I428" i="21"/>
  <c r="J427" i="21"/>
  <c r="I427" i="21"/>
  <c r="J426" i="21"/>
  <c r="I426" i="21"/>
  <c r="J425" i="21"/>
  <c r="I425" i="21"/>
  <c r="J424" i="21"/>
  <c r="I424" i="21"/>
  <c r="J423" i="21"/>
  <c r="I423" i="21"/>
  <c r="J422" i="21"/>
  <c r="I422" i="21"/>
  <c r="J421" i="21"/>
  <c r="I421" i="21"/>
  <c r="J420" i="21"/>
  <c r="I420" i="21"/>
  <c r="J419" i="21"/>
  <c r="I419" i="21"/>
  <c r="J418" i="21"/>
  <c r="I418" i="21"/>
  <c r="J417" i="21"/>
  <c r="I417" i="21"/>
  <c r="J416" i="21"/>
  <c r="I416" i="21"/>
  <c r="J415" i="21"/>
  <c r="I415" i="21"/>
  <c r="J414" i="21"/>
  <c r="I414" i="21"/>
  <c r="J413" i="21"/>
  <c r="I413" i="21"/>
  <c r="J412" i="21"/>
  <c r="I412" i="21"/>
  <c r="J411" i="21"/>
  <c r="I411" i="21"/>
  <c r="J410" i="21"/>
  <c r="I410" i="21"/>
  <c r="J409" i="21"/>
  <c r="I409" i="21"/>
  <c r="J408" i="21"/>
  <c r="I408" i="21"/>
  <c r="J407" i="21"/>
  <c r="I407" i="21"/>
  <c r="J406" i="21"/>
  <c r="I406" i="21"/>
  <c r="J405" i="21"/>
  <c r="I405" i="21"/>
  <c r="J404" i="21"/>
  <c r="I404" i="21"/>
  <c r="J403" i="21"/>
  <c r="I403" i="21"/>
  <c r="J402" i="21"/>
  <c r="I402" i="21"/>
  <c r="J401" i="21"/>
  <c r="I401" i="21"/>
  <c r="J400" i="21"/>
  <c r="I400" i="21"/>
  <c r="J399" i="21"/>
  <c r="I399" i="21"/>
  <c r="J398" i="21"/>
  <c r="I398" i="21"/>
  <c r="J397" i="21"/>
  <c r="I397" i="21"/>
  <c r="J396" i="21"/>
  <c r="I396" i="21"/>
  <c r="J395" i="21"/>
  <c r="I395" i="21"/>
  <c r="J394" i="21"/>
  <c r="I394" i="21"/>
  <c r="J393" i="21"/>
  <c r="I393" i="21"/>
  <c r="J392" i="21"/>
  <c r="I392" i="21"/>
  <c r="J391" i="21"/>
  <c r="I391" i="21"/>
  <c r="J390" i="21"/>
  <c r="I390" i="21"/>
  <c r="J389" i="21"/>
  <c r="I389" i="21"/>
  <c r="J388" i="21"/>
  <c r="I388" i="21"/>
  <c r="J387" i="21"/>
  <c r="I387" i="21"/>
  <c r="J386" i="21"/>
  <c r="I386" i="21"/>
  <c r="J385" i="21"/>
  <c r="I385" i="21"/>
  <c r="J384" i="21"/>
  <c r="I384" i="21"/>
  <c r="J383" i="21"/>
  <c r="I383" i="21"/>
  <c r="J382" i="21"/>
  <c r="I382" i="21"/>
  <c r="J381" i="21"/>
  <c r="I381" i="21"/>
  <c r="J380" i="21"/>
  <c r="I380" i="21"/>
  <c r="J379" i="21"/>
  <c r="I379" i="21"/>
  <c r="J378" i="21"/>
  <c r="I378" i="21"/>
  <c r="J377" i="21"/>
  <c r="I377" i="21"/>
  <c r="J376" i="21"/>
  <c r="I376" i="21"/>
  <c r="J375" i="21"/>
  <c r="I375" i="21"/>
  <c r="J374" i="21"/>
  <c r="I374" i="21"/>
  <c r="J373" i="21"/>
  <c r="I373" i="21"/>
  <c r="J372" i="21"/>
  <c r="I372" i="21"/>
  <c r="J371" i="21"/>
  <c r="I371" i="21"/>
  <c r="J370" i="21"/>
  <c r="I370" i="21"/>
  <c r="J369" i="21"/>
  <c r="I369" i="21"/>
  <c r="J368" i="21"/>
  <c r="I368" i="21"/>
  <c r="J367" i="21"/>
  <c r="I367" i="21"/>
  <c r="J366" i="21"/>
  <c r="I366" i="21"/>
  <c r="J365" i="21"/>
  <c r="I365" i="21"/>
  <c r="J364" i="21"/>
  <c r="I364" i="21"/>
  <c r="J363" i="21"/>
  <c r="I363" i="21"/>
  <c r="J362" i="21"/>
  <c r="I362" i="21"/>
  <c r="J361" i="21"/>
  <c r="I361" i="21"/>
  <c r="J360" i="21"/>
  <c r="I360" i="21"/>
  <c r="J359" i="21"/>
  <c r="I359" i="21"/>
  <c r="J358" i="21"/>
  <c r="I358" i="21"/>
  <c r="J357" i="21"/>
  <c r="I357" i="21"/>
  <c r="J356" i="21"/>
  <c r="I356" i="21"/>
  <c r="J355" i="21"/>
  <c r="I355" i="21"/>
  <c r="J354" i="21"/>
  <c r="I354" i="21"/>
  <c r="J353" i="21"/>
  <c r="I353" i="21"/>
  <c r="J352" i="21"/>
  <c r="I352" i="21"/>
  <c r="J351" i="21"/>
  <c r="I351" i="21"/>
  <c r="J350" i="21"/>
  <c r="I350" i="21"/>
  <c r="J349" i="21"/>
  <c r="I349" i="21"/>
  <c r="J348" i="21"/>
  <c r="I348" i="21"/>
  <c r="J347" i="21"/>
  <c r="I347" i="21"/>
  <c r="J346" i="21"/>
  <c r="I346" i="21"/>
  <c r="J345" i="21"/>
  <c r="I345" i="21"/>
  <c r="J344" i="21"/>
  <c r="I344" i="21"/>
  <c r="J343" i="21"/>
  <c r="I343" i="21"/>
  <c r="J342" i="21"/>
  <c r="I342" i="21"/>
  <c r="J341" i="21"/>
  <c r="I341" i="21"/>
  <c r="J340" i="21"/>
  <c r="I340" i="21"/>
  <c r="J339" i="21"/>
  <c r="I339" i="21"/>
  <c r="J338" i="21"/>
  <c r="I338" i="21"/>
  <c r="J337" i="21"/>
  <c r="I337" i="21"/>
  <c r="J336" i="21"/>
  <c r="I336" i="21"/>
  <c r="J335" i="21"/>
  <c r="I335" i="21"/>
  <c r="J334" i="21"/>
  <c r="I334" i="21"/>
  <c r="J333" i="21"/>
  <c r="I333" i="21"/>
  <c r="J332" i="21"/>
  <c r="I332" i="21"/>
  <c r="J331" i="21"/>
  <c r="I331" i="21"/>
  <c r="J330" i="21"/>
  <c r="I330" i="21"/>
  <c r="J329" i="21"/>
  <c r="I329" i="21"/>
  <c r="J328" i="21"/>
  <c r="I328" i="21"/>
  <c r="J327" i="21"/>
  <c r="I327" i="21"/>
  <c r="J326" i="21"/>
  <c r="I326" i="21"/>
  <c r="J325" i="21"/>
  <c r="I325" i="21"/>
  <c r="J324" i="21"/>
  <c r="I324" i="21"/>
  <c r="J323" i="21"/>
  <c r="I323" i="21"/>
  <c r="J322" i="21"/>
  <c r="I322" i="21"/>
  <c r="J321" i="21"/>
  <c r="I321" i="21"/>
  <c r="J320" i="21"/>
  <c r="I320" i="21"/>
  <c r="J319" i="21"/>
  <c r="I319" i="21"/>
  <c r="J318" i="21"/>
  <c r="I318" i="21"/>
  <c r="J317" i="21"/>
  <c r="I317" i="21"/>
  <c r="J316" i="21"/>
  <c r="I316" i="21"/>
  <c r="J315" i="21"/>
  <c r="I315" i="21"/>
  <c r="J314" i="21"/>
  <c r="I314" i="21"/>
  <c r="J313" i="21"/>
  <c r="I313" i="21"/>
  <c r="J312" i="21"/>
  <c r="I312" i="21"/>
  <c r="J311" i="21"/>
  <c r="I311" i="21"/>
  <c r="J310" i="21"/>
  <c r="I310" i="21"/>
  <c r="J309" i="21"/>
  <c r="I309" i="21"/>
  <c r="J308" i="21"/>
  <c r="I308" i="21"/>
  <c r="J307" i="21"/>
  <c r="I307" i="21"/>
  <c r="J306" i="21"/>
  <c r="I306" i="21"/>
  <c r="J305" i="21"/>
  <c r="I305" i="21"/>
  <c r="J304" i="21"/>
  <c r="I304" i="21"/>
  <c r="J303" i="21"/>
  <c r="I303" i="21"/>
  <c r="J302" i="21"/>
  <c r="I302" i="21"/>
  <c r="J301" i="21"/>
  <c r="I301" i="21"/>
  <c r="J300" i="21"/>
  <c r="I300" i="21"/>
  <c r="J299" i="21"/>
  <c r="I299" i="21"/>
  <c r="J298" i="21"/>
  <c r="I298" i="21"/>
  <c r="J297" i="21"/>
  <c r="I297" i="21"/>
  <c r="J296" i="21"/>
  <c r="I296" i="21"/>
  <c r="J295" i="21"/>
  <c r="I295" i="21"/>
  <c r="J294" i="21"/>
  <c r="I294" i="21"/>
  <c r="J293" i="21"/>
  <c r="I293" i="21"/>
  <c r="J292" i="21"/>
  <c r="I292" i="21"/>
  <c r="J291" i="21"/>
  <c r="I291" i="21"/>
  <c r="J290" i="21"/>
  <c r="I290" i="21"/>
  <c r="J289" i="21"/>
  <c r="I289" i="21"/>
  <c r="J288" i="21"/>
  <c r="I288" i="21"/>
  <c r="J287" i="21"/>
  <c r="I287" i="21"/>
  <c r="J286" i="21"/>
  <c r="I286" i="21"/>
  <c r="J285" i="21"/>
  <c r="I285" i="21"/>
  <c r="J284" i="21"/>
  <c r="I284" i="21"/>
  <c r="J283" i="21"/>
  <c r="I283" i="21"/>
  <c r="J282" i="21"/>
  <c r="I282" i="21"/>
  <c r="J281" i="21"/>
  <c r="I281" i="21"/>
  <c r="J280" i="21"/>
  <c r="I280" i="21"/>
  <c r="J279" i="21"/>
  <c r="I279" i="21"/>
  <c r="J278" i="21"/>
  <c r="I278" i="21"/>
  <c r="J277" i="21"/>
  <c r="I277" i="21"/>
  <c r="J276" i="21"/>
  <c r="I276" i="21"/>
  <c r="J275" i="21"/>
  <c r="I275" i="21"/>
  <c r="J274" i="21"/>
  <c r="I274" i="21"/>
  <c r="J273" i="21"/>
  <c r="I273" i="21"/>
  <c r="J272" i="21"/>
  <c r="I272" i="21"/>
  <c r="J271" i="21"/>
  <c r="I271" i="21"/>
  <c r="J270" i="21"/>
  <c r="I270" i="21"/>
  <c r="J269" i="21"/>
  <c r="I269" i="21"/>
  <c r="J268" i="21"/>
  <c r="I268" i="21"/>
  <c r="J267" i="21"/>
  <c r="I267" i="21"/>
  <c r="J266" i="21"/>
  <c r="I266" i="21"/>
  <c r="J265" i="21"/>
  <c r="I265" i="21"/>
  <c r="J264" i="21"/>
  <c r="I264" i="21"/>
  <c r="J263" i="21"/>
  <c r="I263" i="21"/>
  <c r="J262" i="21"/>
  <c r="I262" i="21"/>
  <c r="J261" i="21"/>
  <c r="I261" i="21"/>
  <c r="J260" i="21"/>
  <c r="I260" i="21"/>
  <c r="J259" i="21"/>
  <c r="I259" i="21"/>
  <c r="J258" i="21"/>
  <c r="I258" i="21"/>
  <c r="J257" i="21"/>
  <c r="I257" i="21"/>
  <c r="J256" i="21"/>
  <c r="I256" i="21"/>
  <c r="J255" i="21"/>
  <c r="I255" i="21"/>
  <c r="J254" i="21"/>
  <c r="I254" i="21"/>
  <c r="J253" i="21"/>
  <c r="I253" i="21"/>
  <c r="J252" i="21"/>
  <c r="I252" i="21"/>
  <c r="J251" i="21"/>
  <c r="I251" i="21"/>
  <c r="J250" i="21"/>
  <c r="I250" i="21"/>
  <c r="J249" i="21"/>
  <c r="I249" i="21"/>
  <c r="J248" i="21"/>
  <c r="I248" i="21"/>
  <c r="J247" i="21"/>
  <c r="I247" i="21"/>
  <c r="J246" i="21"/>
  <c r="I246" i="21"/>
  <c r="J245" i="21"/>
  <c r="I245" i="21"/>
  <c r="J244" i="21"/>
  <c r="I244" i="21"/>
  <c r="J243" i="21"/>
  <c r="I243" i="21"/>
  <c r="J242" i="21"/>
  <c r="I242" i="21"/>
  <c r="J241" i="21"/>
  <c r="I241" i="21"/>
  <c r="J240" i="21"/>
  <c r="I240" i="21"/>
  <c r="J239" i="21"/>
  <c r="I239" i="21"/>
  <c r="J238" i="21"/>
  <c r="I238" i="21"/>
  <c r="J237" i="21"/>
  <c r="I237" i="21"/>
  <c r="J236" i="21"/>
  <c r="I236" i="21"/>
  <c r="J235" i="21"/>
  <c r="I235" i="21"/>
  <c r="J234" i="21"/>
  <c r="I234" i="21"/>
  <c r="J233" i="21"/>
  <c r="I233" i="21"/>
  <c r="J232" i="21"/>
  <c r="I232" i="21"/>
  <c r="J231" i="21"/>
  <c r="I231" i="21"/>
  <c r="J230" i="21"/>
  <c r="I230" i="21"/>
  <c r="J229" i="21"/>
  <c r="I229" i="21"/>
  <c r="J228" i="21"/>
  <c r="I228" i="21"/>
  <c r="J227" i="21"/>
  <c r="I227" i="21"/>
  <c r="J226" i="21"/>
  <c r="I226" i="21"/>
  <c r="J225" i="21"/>
  <c r="I225" i="21"/>
  <c r="J224" i="21"/>
  <c r="I224" i="21"/>
  <c r="J223" i="21"/>
  <c r="I223" i="21"/>
  <c r="J222" i="21"/>
  <c r="I222" i="21"/>
  <c r="J221" i="21"/>
  <c r="I221" i="21"/>
  <c r="J220" i="21"/>
  <c r="I220" i="21"/>
  <c r="J219" i="21"/>
  <c r="I219" i="21"/>
  <c r="J218" i="21"/>
  <c r="I218" i="21"/>
  <c r="J217" i="21"/>
  <c r="I217" i="21"/>
  <c r="J216" i="21"/>
  <c r="I216" i="21"/>
  <c r="J215" i="21"/>
  <c r="I215" i="21"/>
  <c r="J214" i="21"/>
  <c r="I214" i="21"/>
  <c r="J213" i="21"/>
  <c r="I213" i="21"/>
  <c r="J212" i="21"/>
  <c r="I212" i="21"/>
  <c r="J211" i="21"/>
  <c r="I211" i="21"/>
  <c r="J210" i="21"/>
  <c r="I210" i="21"/>
  <c r="J209" i="21"/>
  <c r="I209" i="21"/>
  <c r="J208" i="21"/>
  <c r="I208" i="21"/>
  <c r="J207" i="21"/>
  <c r="I207" i="21"/>
  <c r="J206" i="21"/>
  <c r="I206" i="21"/>
  <c r="J205" i="21"/>
  <c r="I205" i="21"/>
  <c r="J204" i="21"/>
  <c r="I204" i="21"/>
  <c r="J203" i="21"/>
  <c r="I203" i="21"/>
  <c r="J202" i="21"/>
  <c r="I202" i="21"/>
  <c r="J201" i="21"/>
  <c r="I201" i="21"/>
  <c r="J200" i="21"/>
  <c r="I200" i="21"/>
  <c r="J199" i="21"/>
  <c r="I199" i="21"/>
  <c r="J198" i="21"/>
  <c r="I198" i="21"/>
  <c r="J197" i="21"/>
  <c r="I197" i="21"/>
  <c r="J196" i="21"/>
  <c r="I196" i="21"/>
  <c r="J195" i="21"/>
  <c r="I195" i="21"/>
  <c r="J194" i="21"/>
  <c r="I194" i="21"/>
  <c r="J193" i="21"/>
  <c r="I193" i="21"/>
  <c r="J192" i="21"/>
  <c r="I192" i="21"/>
  <c r="J191" i="21"/>
  <c r="I191" i="21"/>
  <c r="J190" i="21"/>
  <c r="I190" i="21"/>
  <c r="J189" i="21"/>
  <c r="I189" i="21"/>
  <c r="J188" i="21"/>
  <c r="I188" i="21"/>
  <c r="J187" i="21"/>
  <c r="I187" i="21"/>
  <c r="J186" i="21"/>
  <c r="I186" i="21"/>
  <c r="J185" i="21"/>
  <c r="I185" i="21"/>
  <c r="J184" i="21"/>
  <c r="I184" i="21"/>
  <c r="J183" i="21"/>
  <c r="I183" i="21"/>
  <c r="J182" i="21"/>
  <c r="I182" i="21"/>
  <c r="J181" i="21"/>
  <c r="I181" i="21"/>
  <c r="J180" i="21"/>
  <c r="I180" i="21"/>
  <c r="J179" i="21"/>
  <c r="I179" i="21"/>
  <c r="J178" i="21"/>
  <c r="I178" i="21"/>
  <c r="J177" i="21"/>
  <c r="I177" i="21"/>
  <c r="J176" i="21"/>
  <c r="I176" i="21"/>
  <c r="J175" i="21"/>
  <c r="I175" i="21"/>
  <c r="J174" i="21"/>
  <c r="I174" i="21"/>
  <c r="J173" i="21"/>
  <c r="I173" i="21"/>
  <c r="J172" i="21"/>
  <c r="I172" i="21"/>
  <c r="J171" i="21"/>
  <c r="I171" i="21"/>
  <c r="J170" i="21"/>
  <c r="I170" i="21"/>
  <c r="J169" i="21"/>
  <c r="I169" i="21"/>
  <c r="J168" i="21"/>
  <c r="I168" i="21"/>
  <c r="J167" i="21"/>
  <c r="I167" i="21"/>
  <c r="J166" i="21"/>
  <c r="I166" i="21"/>
  <c r="J165" i="21"/>
  <c r="I165" i="21"/>
  <c r="J164" i="21"/>
  <c r="I164" i="21"/>
  <c r="J163" i="21"/>
  <c r="I163" i="21"/>
  <c r="J162" i="21"/>
  <c r="I162" i="21"/>
  <c r="J161" i="21"/>
  <c r="I161" i="21"/>
  <c r="J160" i="21"/>
  <c r="I160" i="21"/>
  <c r="J159" i="21"/>
  <c r="I159" i="21"/>
  <c r="J158" i="21"/>
  <c r="I158" i="21"/>
  <c r="J157" i="21"/>
  <c r="I157" i="21"/>
  <c r="J156" i="21"/>
  <c r="I156" i="21"/>
  <c r="J155" i="21"/>
  <c r="I155" i="21"/>
  <c r="J154" i="21"/>
  <c r="I154" i="21"/>
  <c r="J153" i="21"/>
  <c r="I153" i="21"/>
  <c r="J152" i="21"/>
  <c r="I152" i="21"/>
  <c r="J151" i="21"/>
  <c r="I151" i="21"/>
  <c r="J150" i="21"/>
  <c r="I150" i="21"/>
  <c r="J149" i="21"/>
  <c r="I149" i="21"/>
  <c r="J148" i="21"/>
  <c r="I148" i="21"/>
  <c r="J147" i="21"/>
  <c r="I147" i="21"/>
  <c r="J146" i="21"/>
  <c r="I146" i="21"/>
  <c r="J145" i="21"/>
  <c r="I145" i="21"/>
  <c r="J144" i="21"/>
  <c r="I144" i="21"/>
  <c r="J143" i="21"/>
  <c r="I143" i="21"/>
  <c r="J142" i="21"/>
  <c r="I142" i="21"/>
  <c r="J141" i="21"/>
  <c r="I141" i="21"/>
  <c r="J140" i="21"/>
  <c r="I140" i="21"/>
  <c r="J139" i="21"/>
  <c r="I139" i="21"/>
  <c r="J138" i="21"/>
  <c r="I138" i="21"/>
  <c r="J137" i="21"/>
  <c r="I137" i="21"/>
  <c r="J136" i="21"/>
  <c r="I136" i="21"/>
  <c r="J135" i="21"/>
  <c r="I135" i="21"/>
  <c r="J134" i="21"/>
  <c r="I134" i="21"/>
  <c r="J133" i="21"/>
  <c r="I133" i="21"/>
  <c r="J132" i="21"/>
  <c r="I132" i="21"/>
  <c r="J131" i="21"/>
  <c r="I131" i="21"/>
  <c r="J130" i="21"/>
  <c r="I130" i="21"/>
  <c r="J129" i="21"/>
  <c r="I129" i="21"/>
  <c r="J128" i="21"/>
  <c r="I128" i="21"/>
  <c r="J127" i="21"/>
  <c r="I127" i="21"/>
  <c r="J126" i="21"/>
  <c r="I126" i="21"/>
  <c r="J125" i="21"/>
  <c r="I125" i="21"/>
  <c r="J124" i="21"/>
  <c r="I124" i="21"/>
  <c r="J123" i="21"/>
  <c r="I123" i="21"/>
  <c r="J122" i="21"/>
  <c r="I122" i="21"/>
  <c r="J121" i="21"/>
  <c r="I121" i="21"/>
  <c r="J120" i="21"/>
  <c r="I120" i="21"/>
  <c r="J119" i="21"/>
  <c r="I119" i="21"/>
  <c r="J118" i="21"/>
  <c r="I118" i="21"/>
  <c r="J117" i="21"/>
  <c r="I117" i="21"/>
  <c r="J116" i="21"/>
  <c r="I116" i="21"/>
  <c r="J115" i="21"/>
  <c r="I115" i="21"/>
  <c r="J114" i="21"/>
  <c r="I114" i="21"/>
  <c r="J113" i="21"/>
  <c r="I113" i="21"/>
  <c r="J112" i="21"/>
  <c r="I112" i="21"/>
  <c r="J111" i="21"/>
  <c r="I111" i="21"/>
  <c r="J110" i="21"/>
  <c r="I110" i="21"/>
  <c r="J109" i="21"/>
  <c r="I109" i="21"/>
  <c r="J108" i="21"/>
  <c r="I108" i="21"/>
  <c r="J107" i="21"/>
  <c r="I107" i="21"/>
  <c r="J106" i="21"/>
  <c r="I106" i="21"/>
  <c r="J105" i="21"/>
  <c r="I105" i="21"/>
  <c r="J104" i="21"/>
  <c r="I104" i="21"/>
  <c r="J103" i="21"/>
  <c r="I103" i="21"/>
  <c r="J102" i="21"/>
  <c r="I102" i="21"/>
  <c r="J101" i="21"/>
  <c r="I101" i="21"/>
  <c r="J100" i="21"/>
  <c r="I100" i="21"/>
  <c r="J99" i="21"/>
  <c r="I99" i="21"/>
  <c r="J98" i="21"/>
  <c r="I98" i="21"/>
  <c r="J97" i="21"/>
  <c r="I97" i="21"/>
  <c r="J96" i="21"/>
  <c r="I96" i="21"/>
  <c r="J95" i="21"/>
  <c r="I95" i="21"/>
  <c r="J94" i="21"/>
  <c r="I94" i="21"/>
  <c r="J93" i="21"/>
  <c r="I93" i="21"/>
  <c r="J92" i="21"/>
  <c r="I92" i="21"/>
  <c r="J91" i="21"/>
  <c r="I91" i="21"/>
  <c r="J90" i="21"/>
  <c r="I90" i="21"/>
  <c r="J89" i="21"/>
  <c r="I89" i="21"/>
  <c r="J88" i="21"/>
  <c r="I88" i="21"/>
  <c r="J87" i="21"/>
  <c r="I87" i="21"/>
  <c r="J86" i="21"/>
  <c r="I86" i="21"/>
  <c r="J85" i="21"/>
  <c r="I85" i="21"/>
  <c r="J84" i="21"/>
  <c r="I84" i="21"/>
  <c r="J83" i="21"/>
  <c r="I83" i="21"/>
  <c r="J82" i="21"/>
  <c r="I82" i="21"/>
  <c r="J81" i="21"/>
  <c r="I81" i="21"/>
  <c r="J80" i="21"/>
  <c r="I80" i="21"/>
  <c r="J79" i="21"/>
  <c r="I79" i="21"/>
  <c r="J78" i="21"/>
  <c r="I78" i="21"/>
  <c r="J77" i="21"/>
  <c r="I77" i="21"/>
  <c r="J76" i="21"/>
  <c r="I76" i="21"/>
  <c r="J75" i="21"/>
  <c r="I75" i="21"/>
  <c r="J74" i="21"/>
  <c r="I74" i="21"/>
  <c r="J73" i="21"/>
  <c r="I73" i="21"/>
  <c r="J72" i="21"/>
  <c r="I72" i="21"/>
  <c r="J71" i="21"/>
  <c r="I71" i="21"/>
  <c r="J70" i="21"/>
  <c r="I70" i="21"/>
  <c r="J69" i="21"/>
  <c r="I69" i="21"/>
  <c r="J68" i="21"/>
  <c r="I68" i="21"/>
  <c r="J67" i="21"/>
  <c r="I67" i="21"/>
  <c r="J66" i="21"/>
  <c r="I66" i="21"/>
  <c r="J65" i="21"/>
  <c r="I65" i="21"/>
  <c r="J64" i="21"/>
  <c r="I64" i="21"/>
  <c r="J63" i="21"/>
  <c r="I63" i="21"/>
  <c r="J62" i="21"/>
  <c r="I62" i="21"/>
  <c r="J61" i="21"/>
  <c r="I61" i="21"/>
  <c r="J60" i="21"/>
  <c r="I60" i="21"/>
  <c r="J59" i="21"/>
  <c r="I59" i="21"/>
  <c r="J58" i="21"/>
  <c r="I58" i="21"/>
  <c r="J57" i="21"/>
  <c r="I57" i="21"/>
  <c r="J56" i="21"/>
  <c r="I56" i="21"/>
  <c r="J55" i="21"/>
  <c r="I55" i="21"/>
  <c r="J54" i="21"/>
  <c r="I54" i="21"/>
  <c r="J53" i="21"/>
  <c r="I53" i="21"/>
  <c r="J52" i="21"/>
  <c r="I52" i="21"/>
  <c r="J51" i="21"/>
  <c r="I51" i="21"/>
  <c r="J50" i="21"/>
  <c r="I50" i="21"/>
  <c r="J49" i="21"/>
  <c r="I49" i="21"/>
  <c r="J48" i="21"/>
  <c r="I48" i="21"/>
  <c r="J47" i="21"/>
  <c r="I47" i="21"/>
  <c r="J46" i="21"/>
  <c r="I46" i="21"/>
  <c r="J45" i="21"/>
  <c r="I45" i="21"/>
  <c r="J44" i="21"/>
  <c r="I44" i="21"/>
  <c r="J43" i="21"/>
  <c r="I43" i="21"/>
  <c r="J42" i="21"/>
  <c r="I42" i="21"/>
  <c r="J41" i="21"/>
  <c r="I41" i="21"/>
  <c r="J40" i="21"/>
  <c r="I40" i="21"/>
  <c r="J39" i="21"/>
  <c r="I39" i="21"/>
  <c r="J38" i="21"/>
  <c r="I38" i="21"/>
  <c r="J37" i="21"/>
  <c r="I37" i="21"/>
  <c r="J36" i="21"/>
  <c r="I36" i="21"/>
  <c r="J35" i="21"/>
  <c r="I35" i="21"/>
  <c r="J34" i="21"/>
  <c r="I34" i="21"/>
  <c r="J33" i="21"/>
  <c r="I33" i="21"/>
  <c r="J32" i="21"/>
  <c r="I32" i="21"/>
  <c r="J31" i="21"/>
  <c r="I31" i="21"/>
  <c r="J30" i="21"/>
  <c r="I30" i="21"/>
  <c r="J29" i="21"/>
  <c r="I29" i="21"/>
  <c r="J28" i="21"/>
  <c r="I28" i="21"/>
  <c r="J27" i="21"/>
  <c r="I27" i="21"/>
  <c r="J26" i="21"/>
  <c r="I26" i="21"/>
  <c r="J25" i="21"/>
  <c r="I25" i="21"/>
  <c r="J24" i="21"/>
  <c r="I24" i="21"/>
  <c r="J23" i="21"/>
  <c r="I23" i="21"/>
  <c r="J22" i="21"/>
  <c r="I22" i="21"/>
  <c r="J21" i="21"/>
  <c r="I21" i="21"/>
  <c r="J20" i="21"/>
  <c r="I20" i="21"/>
  <c r="J19" i="21"/>
  <c r="I19" i="21"/>
  <c r="J18" i="21"/>
  <c r="I18" i="21"/>
  <c r="J17" i="21"/>
  <c r="I17" i="21"/>
  <c r="J16" i="21"/>
  <c r="I16" i="21"/>
  <c r="J15" i="21"/>
  <c r="I15" i="21"/>
  <c r="J14" i="21"/>
  <c r="I14" i="21"/>
  <c r="J13" i="21"/>
  <c r="I13" i="21"/>
  <c r="J12" i="21"/>
  <c r="I12" i="21"/>
  <c r="J11" i="21"/>
  <c r="I11" i="21"/>
  <c r="J10" i="21"/>
  <c r="I10" i="21"/>
  <c r="J9" i="21"/>
  <c r="I9" i="21"/>
  <c r="J8" i="21"/>
  <c r="I8" i="21"/>
  <c r="J7" i="21"/>
  <c r="I7" i="21"/>
  <c r="J6" i="21"/>
  <c r="I6" i="21"/>
  <c r="J5" i="21"/>
  <c r="I5" i="21"/>
  <c r="J4" i="21"/>
  <c r="I4" i="21"/>
  <c r="J3" i="21"/>
  <c r="I3" i="21"/>
  <c r="J2" i="21"/>
  <c r="I2" i="21"/>
  <c r="I655" i="20"/>
  <c r="G655" i="20"/>
  <c r="I654" i="20"/>
  <c r="G654" i="20"/>
  <c r="I653" i="20"/>
  <c r="G653" i="20"/>
  <c r="I652" i="20"/>
  <c r="G652" i="20"/>
  <c r="I651" i="20"/>
  <c r="G651" i="20"/>
  <c r="I650" i="20"/>
  <c r="G650" i="20"/>
  <c r="I649" i="20"/>
  <c r="G649" i="20"/>
  <c r="I648" i="20"/>
  <c r="G648" i="20"/>
  <c r="I647" i="20"/>
  <c r="G647" i="20"/>
  <c r="I646" i="20"/>
  <c r="G646" i="20"/>
  <c r="I645" i="20"/>
  <c r="G645" i="20"/>
  <c r="I644" i="20"/>
  <c r="G644" i="20"/>
  <c r="I643" i="20"/>
  <c r="G643" i="20"/>
  <c r="I642" i="20"/>
  <c r="G642" i="20"/>
  <c r="I641" i="20"/>
  <c r="G641" i="20"/>
  <c r="I640" i="20"/>
  <c r="G640" i="20"/>
  <c r="I639" i="20"/>
  <c r="G639" i="20"/>
  <c r="I638" i="20"/>
  <c r="G638" i="20"/>
  <c r="I637" i="20"/>
  <c r="G637" i="20"/>
  <c r="I636" i="20"/>
  <c r="G636" i="20"/>
  <c r="I635" i="20"/>
  <c r="G635" i="20"/>
  <c r="I634" i="20"/>
  <c r="G634" i="20"/>
  <c r="I633" i="20"/>
  <c r="G633" i="20"/>
  <c r="I632" i="20"/>
  <c r="G632" i="20"/>
  <c r="I631" i="20"/>
  <c r="G631" i="20"/>
  <c r="I630" i="20"/>
  <c r="G630" i="20"/>
  <c r="I629" i="20"/>
  <c r="G629" i="20"/>
  <c r="I628" i="20"/>
  <c r="G628" i="20"/>
  <c r="I627" i="20"/>
  <c r="G627" i="20"/>
  <c r="I626" i="20"/>
  <c r="G626" i="20"/>
  <c r="I625" i="20"/>
  <c r="G625" i="20"/>
  <c r="I624" i="20"/>
  <c r="G624" i="20"/>
  <c r="I623" i="20"/>
  <c r="G623" i="20"/>
  <c r="I622" i="20"/>
  <c r="G622" i="20"/>
  <c r="I621" i="20"/>
  <c r="G621" i="20"/>
  <c r="I620" i="20"/>
  <c r="G620" i="20"/>
  <c r="I619" i="20"/>
  <c r="G619" i="20"/>
  <c r="I618" i="20"/>
  <c r="G618" i="20"/>
  <c r="I617" i="20"/>
  <c r="G617" i="20"/>
  <c r="I616" i="20"/>
  <c r="G616" i="20"/>
  <c r="I615" i="20"/>
  <c r="G615" i="20"/>
  <c r="I614" i="20"/>
  <c r="G614" i="20"/>
  <c r="I613" i="20"/>
  <c r="G613" i="20"/>
  <c r="I612" i="20"/>
  <c r="G612" i="20"/>
  <c r="I611" i="20"/>
  <c r="G611" i="20"/>
  <c r="I610" i="20"/>
  <c r="G610" i="20"/>
  <c r="I609" i="20"/>
  <c r="G609" i="20"/>
  <c r="I608" i="20"/>
  <c r="G608" i="20"/>
  <c r="I607" i="20"/>
  <c r="G607" i="20"/>
  <c r="I606" i="20"/>
  <c r="G606" i="20"/>
  <c r="I605" i="20"/>
  <c r="G605" i="20"/>
  <c r="I604" i="20"/>
  <c r="G604" i="20"/>
  <c r="I603" i="20"/>
  <c r="G603" i="20"/>
  <c r="I602" i="20"/>
  <c r="G602" i="20"/>
  <c r="I601" i="20"/>
  <c r="G601" i="20"/>
  <c r="I600" i="20"/>
  <c r="G600" i="20"/>
  <c r="I599" i="20"/>
  <c r="G599" i="20"/>
  <c r="I598" i="20"/>
  <c r="G598" i="20"/>
  <c r="I597" i="20"/>
  <c r="G597" i="20"/>
  <c r="I596" i="20"/>
  <c r="G596" i="20"/>
  <c r="I595" i="20"/>
  <c r="G595" i="20"/>
  <c r="I594" i="20"/>
  <c r="G594" i="20"/>
  <c r="I593" i="20"/>
  <c r="G593" i="20"/>
  <c r="I592" i="20"/>
  <c r="G592" i="20"/>
  <c r="I591" i="20"/>
  <c r="G591" i="20"/>
  <c r="I590" i="20"/>
  <c r="G590" i="20"/>
  <c r="I589" i="20"/>
  <c r="G589" i="20"/>
  <c r="I588" i="20"/>
  <c r="G588" i="20"/>
  <c r="I587" i="20"/>
  <c r="G587" i="20"/>
  <c r="I586" i="20"/>
  <c r="G586" i="20"/>
  <c r="I585" i="20"/>
  <c r="G585" i="20"/>
  <c r="I584" i="20"/>
  <c r="G584" i="20"/>
  <c r="I583" i="20"/>
  <c r="G583" i="20"/>
  <c r="I582" i="20"/>
  <c r="G582" i="20"/>
  <c r="I581" i="20"/>
  <c r="G581" i="20"/>
  <c r="I580" i="20"/>
  <c r="G580" i="20"/>
  <c r="I579" i="20"/>
  <c r="G579" i="20"/>
  <c r="I578" i="20"/>
  <c r="G578" i="20"/>
  <c r="I577" i="20"/>
  <c r="G577" i="20"/>
  <c r="I576" i="20"/>
  <c r="G576" i="20"/>
  <c r="I575" i="20"/>
  <c r="G575" i="20"/>
  <c r="I574" i="20"/>
  <c r="G574" i="20"/>
  <c r="I573" i="20"/>
  <c r="G573" i="20"/>
  <c r="I572" i="20"/>
  <c r="G572" i="20"/>
  <c r="I571" i="20"/>
  <c r="G571" i="20"/>
  <c r="I570" i="20"/>
  <c r="G570" i="20"/>
  <c r="I569" i="20"/>
  <c r="G569" i="20"/>
  <c r="I568" i="20"/>
  <c r="G568" i="20"/>
  <c r="I567" i="20"/>
  <c r="G567" i="20"/>
  <c r="I566" i="20"/>
  <c r="G566" i="20"/>
  <c r="I565" i="20"/>
  <c r="G565" i="20"/>
  <c r="I564" i="20"/>
  <c r="G564" i="20"/>
  <c r="I563" i="20"/>
  <c r="G563" i="20"/>
  <c r="I562" i="20"/>
  <c r="G562" i="20"/>
  <c r="I561" i="20"/>
  <c r="G561" i="20"/>
  <c r="I560" i="20"/>
  <c r="G560" i="20"/>
  <c r="I559" i="20"/>
  <c r="G559" i="20"/>
  <c r="I558" i="20"/>
  <c r="G558" i="20"/>
  <c r="I557" i="20"/>
  <c r="G557" i="20"/>
  <c r="I556" i="20"/>
  <c r="G556" i="20"/>
  <c r="I555" i="20"/>
  <c r="G555" i="20"/>
  <c r="I554" i="20"/>
  <c r="G554" i="20"/>
  <c r="I553" i="20"/>
  <c r="G553" i="20"/>
  <c r="I552" i="20"/>
  <c r="G552" i="20"/>
  <c r="I551" i="20"/>
  <c r="G551" i="20"/>
  <c r="I550" i="20"/>
  <c r="G550" i="20"/>
  <c r="I549" i="20"/>
  <c r="G549" i="20"/>
  <c r="I548" i="20"/>
  <c r="G548" i="20"/>
  <c r="I547" i="20"/>
  <c r="G547" i="20"/>
  <c r="I546" i="20"/>
  <c r="G546" i="20"/>
  <c r="I545" i="20"/>
  <c r="G545" i="20"/>
  <c r="I544" i="20"/>
  <c r="G544" i="20"/>
  <c r="I543" i="20"/>
  <c r="G543" i="20"/>
  <c r="I542" i="20"/>
  <c r="G542" i="20"/>
  <c r="I541" i="20"/>
  <c r="G541" i="20"/>
  <c r="I540" i="20"/>
  <c r="G540" i="20"/>
  <c r="I539" i="20"/>
  <c r="G539" i="20"/>
  <c r="I538" i="20"/>
  <c r="G538" i="20"/>
  <c r="I537" i="20"/>
  <c r="G537" i="20"/>
  <c r="I536" i="20"/>
  <c r="G536" i="20"/>
  <c r="I535" i="20"/>
  <c r="G535" i="20"/>
  <c r="I534" i="20"/>
  <c r="G534" i="20"/>
  <c r="I533" i="20"/>
  <c r="G533" i="20"/>
  <c r="I532" i="20"/>
  <c r="G532" i="20"/>
  <c r="I531" i="20"/>
  <c r="G531" i="20"/>
  <c r="I530" i="20"/>
  <c r="G530" i="20"/>
  <c r="I529" i="20"/>
  <c r="G529" i="20"/>
  <c r="I528" i="20"/>
  <c r="G528" i="20"/>
  <c r="I527" i="20"/>
  <c r="G527" i="20"/>
  <c r="I526" i="20"/>
  <c r="G526" i="20"/>
  <c r="I525" i="20"/>
  <c r="G525" i="20"/>
  <c r="I524" i="20"/>
  <c r="G524" i="20"/>
  <c r="I523" i="20"/>
  <c r="G523" i="20"/>
  <c r="I522" i="20"/>
  <c r="G522" i="20"/>
  <c r="I521" i="20"/>
  <c r="G521" i="20"/>
  <c r="I520" i="20"/>
  <c r="G520" i="20"/>
  <c r="I519" i="20"/>
  <c r="G519" i="20"/>
  <c r="I518" i="20"/>
  <c r="G518" i="20"/>
  <c r="I517" i="20"/>
  <c r="G517" i="20"/>
  <c r="I516" i="20"/>
  <c r="G516" i="20"/>
  <c r="I515" i="20"/>
  <c r="G515" i="20"/>
  <c r="I514" i="20"/>
  <c r="G514" i="20"/>
  <c r="I513" i="20"/>
  <c r="G513" i="20"/>
  <c r="I512" i="20"/>
  <c r="G512" i="20"/>
  <c r="I511" i="20"/>
  <c r="G511" i="20"/>
  <c r="I510" i="20"/>
  <c r="G510" i="20"/>
  <c r="I509" i="20"/>
  <c r="G509" i="20"/>
  <c r="I508" i="20"/>
  <c r="G508" i="20"/>
  <c r="I507" i="20"/>
  <c r="G507" i="20"/>
  <c r="I506" i="20"/>
  <c r="G506" i="20"/>
  <c r="I505" i="20"/>
  <c r="G505" i="20"/>
  <c r="I504" i="20"/>
  <c r="G504" i="20"/>
  <c r="I503" i="20"/>
  <c r="G503" i="20"/>
  <c r="I502" i="20"/>
  <c r="G502" i="20"/>
  <c r="I501" i="20"/>
  <c r="G501" i="20"/>
  <c r="I500" i="20"/>
  <c r="G500" i="20"/>
  <c r="I499" i="20"/>
  <c r="G499" i="20"/>
  <c r="I498" i="20"/>
  <c r="G498" i="20"/>
  <c r="I497" i="20"/>
  <c r="G497" i="20"/>
  <c r="I496" i="20"/>
  <c r="G496" i="20"/>
  <c r="I495" i="20"/>
  <c r="G495" i="20"/>
  <c r="I494" i="20"/>
  <c r="G494" i="20"/>
  <c r="I493" i="20"/>
  <c r="G493" i="20"/>
  <c r="I492" i="20"/>
  <c r="G492" i="20"/>
  <c r="I491" i="20"/>
  <c r="G491" i="20"/>
  <c r="I490" i="20"/>
  <c r="G490" i="20"/>
  <c r="I489" i="20"/>
  <c r="G489" i="20"/>
  <c r="I488" i="20"/>
  <c r="G488" i="20"/>
  <c r="I487" i="20"/>
  <c r="G487" i="20"/>
  <c r="I486" i="20"/>
  <c r="G486" i="20"/>
  <c r="I485" i="20"/>
  <c r="G485" i="20"/>
  <c r="I484" i="20"/>
  <c r="G484" i="20"/>
  <c r="I483" i="20"/>
  <c r="G483" i="20"/>
  <c r="I482" i="20"/>
  <c r="G482" i="20"/>
  <c r="I481" i="20"/>
  <c r="G481" i="20"/>
  <c r="I480" i="20"/>
  <c r="G480" i="20"/>
  <c r="I479" i="20"/>
  <c r="G479" i="20"/>
  <c r="I478" i="20"/>
  <c r="G478" i="20"/>
  <c r="I477" i="20"/>
  <c r="G477" i="20"/>
  <c r="I476" i="20"/>
  <c r="G476" i="20"/>
  <c r="I475" i="20"/>
  <c r="G475" i="20"/>
  <c r="I474" i="20"/>
  <c r="G474" i="20"/>
  <c r="I473" i="20"/>
  <c r="G473" i="20"/>
  <c r="I472" i="20"/>
  <c r="G472" i="20"/>
  <c r="I471" i="20"/>
  <c r="G471" i="20"/>
  <c r="I470" i="20"/>
  <c r="G470" i="20"/>
  <c r="I469" i="20"/>
  <c r="G469" i="20"/>
  <c r="I468" i="20"/>
  <c r="G468" i="20"/>
  <c r="I467" i="20"/>
  <c r="G467" i="20"/>
  <c r="I466" i="20"/>
  <c r="G466" i="20"/>
  <c r="I465" i="20"/>
  <c r="G465" i="20"/>
  <c r="I464" i="20"/>
  <c r="G464" i="20"/>
  <c r="I463" i="20"/>
  <c r="G463" i="20"/>
  <c r="I462" i="20"/>
  <c r="G462" i="20"/>
  <c r="I461" i="20"/>
  <c r="G461" i="20"/>
  <c r="I460" i="20"/>
  <c r="G460" i="20"/>
  <c r="I459" i="20"/>
  <c r="G459" i="20"/>
  <c r="I458" i="20"/>
  <c r="G458" i="20"/>
  <c r="I457" i="20"/>
  <c r="G457" i="20"/>
  <c r="I456" i="20"/>
  <c r="G456" i="20"/>
  <c r="I455" i="20"/>
  <c r="G455" i="20"/>
  <c r="I454" i="20"/>
  <c r="G454" i="20"/>
  <c r="I453" i="20"/>
  <c r="G453" i="20"/>
  <c r="I452" i="20"/>
  <c r="G452" i="20"/>
  <c r="I451" i="20"/>
  <c r="G451" i="20"/>
  <c r="I450" i="20"/>
  <c r="G450" i="20"/>
  <c r="I449" i="20"/>
  <c r="G449" i="20"/>
  <c r="I448" i="20"/>
  <c r="G448" i="20"/>
  <c r="I447" i="20"/>
  <c r="G447" i="20"/>
  <c r="I446" i="20"/>
  <c r="G446" i="20"/>
  <c r="I445" i="20"/>
  <c r="G445" i="20"/>
  <c r="I444" i="20"/>
  <c r="G444" i="20"/>
  <c r="I443" i="20"/>
  <c r="G443" i="20"/>
  <c r="I442" i="20"/>
  <c r="G442" i="20"/>
  <c r="I441" i="20"/>
  <c r="G441" i="20"/>
  <c r="I440" i="20"/>
  <c r="G440" i="20"/>
  <c r="I439" i="20"/>
  <c r="G439" i="20"/>
  <c r="I438" i="20"/>
  <c r="G438" i="20"/>
  <c r="I437" i="20"/>
  <c r="G437" i="20"/>
  <c r="I436" i="20"/>
  <c r="G436" i="20"/>
  <c r="I435" i="20"/>
  <c r="G435" i="20"/>
  <c r="I434" i="20"/>
  <c r="G434" i="20"/>
  <c r="I433" i="20"/>
  <c r="G433" i="20"/>
  <c r="I432" i="20"/>
  <c r="G432" i="20"/>
  <c r="I431" i="20"/>
  <c r="G431" i="20"/>
  <c r="I430" i="20"/>
  <c r="G430" i="20"/>
  <c r="I429" i="20"/>
  <c r="G429" i="20"/>
  <c r="I428" i="20"/>
  <c r="G428" i="20"/>
  <c r="I427" i="20"/>
  <c r="G427" i="20"/>
  <c r="I426" i="20"/>
  <c r="G426" i="20"/>
  <c r="I425" i="20"/>
  <c r="G425" i="20"/>
  <c r="I424" i="20"/>
  <c r="G424" i="20"/>
  <c r="I423" i="20"/>
  <c r="G423" i="20"/>
  <c r="I422" i="20"/>
  <c r="G422" i="20"/>
  <c r="I421" i="20"/>
  <c r="G421" i="20"/>
  <c r="I420" i="20"/>
  <c r="G420" i="20"/>
  <c r="I419" i="20"/>
  <c r="G419" i="20"/>
  <c r="I418" i="20"/>
  <c r="G418" i="20"/>
  <c r="I417" i="20"/>
  <c r="G417" i="20"/>
  <c r="I416" i="20"/>
  <c r="G416" i="20"/>
  <c r="I415" i="20"/>
  <c r="G415" i="20"/>
  <c r="I414" i="20"/>
  <c r="G414" i="20"/>
  <c r="I413" i="20"/>
  <c r="G413" i="20"/>
  <c r="I412" i="20"/>
  <c r="G412" i="20"/>
  <c r="I411" i="20"/>
  <c r="G411" i="20"/>
  <c r="I410" i="20"/>
  <c r="G410" i="20"/>
  <c r="I409" i="20"/>
  <c r="G409" i="20"/>
  <c r="I408" i="20"/>
  <c r="G408" i="20"/>
  <c r="I407" i="20"/>
  <c r="G407" i="20"/>
  <c r="I406" i="20"/>
  <c r="G406" i="20"/>
  <c r="I405" i="20"/>
  <c r="G405" i="20"/>
  <c r="I404" i="20"/>
  <c r="G404" i="20"/>
  <c r="I403" i="20"/>
  <c r="G403" i="20"/>
  <c r="I402" i="20"/>
  <c r="G402" i="20"/>
  <c r="I401" i="20"/>
  <c r="G401" i="20"/>
  <c r="I400" i="20"/>
  <c r="G400" i="20"/>
  <c r="I399" i="20"/>
  <c r="G399" i="20"/>
  <c r="I398" i="20"/>
  <c r="G398" i="20"/>
  <c r="I397" i="20"/>
  <c r="G397" i="20"/>
  <c r="I396" i="20"/>
  <c r="G396" i="20"/>
  <c r="I395" i="20"/>
  <c r="G395" i="20"/>
  <c r="I394" i="20"/>
  <c r="G394" i="20"/>
  <c r="I393" i="20"/>
  <c r="G393" i="20"/>
  <c r="I392" i="20"/>
  <c r="G392" i="20"/>
  <c r="I391" i="20"/>
  <c r="G391" i="20"/>
  <c r="I390" i="20"/>
  <c r="G390" i="20"/>
  <c r="I389" i="20"/>
  <c r="G389" i="20"/>
  <c r="I388" i="20"/>
  <c r="G388" i="20"/>
  <c r="I387" i="20"/>
  <c r="G387" i="20"/>
  <c r="I386" i="20"/>
  <c r="G386" i="20"/>
  <c r="I385" i="20"/>
  <c r="G385" i="20"/>
  <c r="I384" i="20"/>
  <c r="G384" i="20"/>
  <c r="I383" i="20"/>
  <c r="G383" i="20"/>
  <c r="I382" i="20"/>
  <c r="G382" i="20"/>
  <c r="I381" i="20"/>
  <c r="G381" i="20"/>
  <c r="I380" i="20"/>
  <c r="G380" i="20"/>
  <c r="I379" i="20"/>
  <c r="G379" i="20"/>
  <c r="I378" i="20"/>
  <c r="G378" i="20"/>
  <c r="I377" i="20"/>
  <c r="G377" i="20"/>
  <c r="I376" i="20"/>
  <c r="G376" i="20"/>
  <c r="I375" i="20"/>
  <c r="G375" i="20"/>
  <c r="I374" i="20"/>
  <c r="G374" i="20"/>
  <c r="I373" i="20"/>
  <c r="G373" i="20"/>
  <c r="I372" i="20"/>
  <c r="G372" i="20"/>
  <c r="I371" i="20"/>
  <c r="G371" i="20"/>
  <c r="I370" i="20"/>
  <c r="G370" i="20"/>
  <c r="I369" i="20"/>
  <c r="G369" i="20"/>
  <c r="I368" i="20"/>
  <c r="G368" i="20"/>
  <c r="I367" i="20"/>
  <c r="G367" i="20"/>
  <c r="I366" i="20"/>
  <c r="G366" i="20"/>
  <c r="I365" i="20"/>
  <c r="G365" i="20"/>
  <c r="I364" i="20"/>
  <c r="G364" i="20"/>
  <c r="I363" i="20"/>
  <c r="G363" i="20"/>
  <c r="I362" i="20"/>
  <c r="G362" i="20"/>
  <c r="I361" i="20"/>
  <c r="G361" i="20"/>
  <c r="I360" i="20"/>
  <c r="G360" i="20"/>
  <c r="I359" i="20"/>
  <c r="G359" i="20"/>
  <c r="I358" i="20"/>
  <c r="G358" i="20"/>
  <c r="I357" i="20"/>
  <c r="G357" i="20"/>
  <c r="I356" i="20"/>
  <c r="G356" i="20"/>
  <c r="I355" i="20"/>
  <c r="G355" i="20"/>
  <c r="I354" i="20"/>
  <c r="G354" i="20"/>
  <c r="I353" i="20"/>
  <c r="G353" i="20"/>
  <c r="I352" i="20"/>
  <c r="G352" i="20"/>
  <c r="I351" i="20"/>
  <c r="G351" i="20"/>
  <c r="I350" i="20"/>
  <c r="G350" i="20"/>
  <c r="I349" i="20"/>
  <c r="G349" i="20"/>
  <c r="I348" i="20"/>
  <c r="G348" i="20"/>
  <c r="I347" i="20"/>
  <c r="G347" i="20"/>
  <c r="I346" i="20"/>
  <c r="G346" i="20"/>
  <c r="I345" i="20"/>
  <c r="G345" i="20"/>
  <c r="I344" i="20"/>
  <c r="G344" i="20"/>
  <c r="I343" i="20"/>
  <c r="G343" i="20"/>
  <c r="I342" i="20"/>
  <c r="G342" i="20"/>
  <c r="I341" i="20"/>
  <c r="G341" i="20"/>
  <c r="I340" i="20"/>
  <c r="G340" i="20"/>
  <c r="I339" i="20"/>
  <c r="G339" i="20"/>
  <c r="I338" i="20"/>
  <c r="G338" i="20"/>
  <c r="I337" i="20"/>
  <c r="G337" i="20"/>
  <c r="I336" i="20"/>
  <c r="G336" i="20"/>
  <c r="I335" i="20"/>
  <c r="G335" i="20"/>
  <c r="I334" i="20"/>
  <c r="G334" i="20"/>
  <c r="I333" i="20"/>
  <c r="G333" i="20"/>
  <c r="I332" i="20"/>
  <c r="G332" i="20"/>
  <c r="I331" i="20"/>
  <c r="G331" i="20"/>
  <c r="I330" i="20"/>
  <c r="G330" i="20"/>
  <c r="I329" i="20"/>
  <c r="G329" i="20"/>
  <c r="I328" i="20"/>
  <c r="G328" i="20"/>
  <c r="I327" i="20"/>
  <c r="G327" i="20"/>
  <c r="I326" i="20"/>
  <c r="G326" i="20"/>
  <c r="I325" i="20"/>
  <c r="G325" i="20"/>
  <c r="I324" i="20"/>
  <c r="G324" i="20"/>
  <c r="I323" i="20"/>
  <c r="G323" i="20"/>
  <c r="I322" i="20"/>
  <c r="G322" i="20"/>
  <c r="I321" i="20"/>
  <c r="G321" i="20"/>
  <c r="I320" i="20"/>
  <c r="G320" i="20"/>
  <c r="I319" i="20"/>
  <c r="G319" i="20"/>
  <c r="I318" i="20"/>
  <c r="G318" i="20"/>
  <c r="I317" i="20"/>
  <c r="G317" i="20"/>
  <c r="I316" i="20"/>
  <c r="G316" i="20"/>
  <c r="I315" i="20"/>
  <c r="G315" i="20"/>
  <c r="I314" i="20"/>
  <c r="G314" i="20"/>
  <c r="I313" i="20"/>
  <c r="G313" i="20"/>
  <c r="I312" i="20"/>
  <c r="G312" i="20"/>
  <c r="I311" i="20"/>
  <c r="G311" i="20"/>
  <c r="I310" i="20"/>
  <c r="G310" i="20"/>
  <c r="I309" i="20"/>
  <c r="G309" i="20"/>
  <c r="I308" i="20"/>
  <c r="G308" i="20"/>
  <c r="I307" i="20"/>
  <c r="G307" i="20"/>
  <c r="I306" i="20"/>
  <c r="G306" i="20"/>
  <c r="I305" i="20"/>
  <c r="G305" i="20"/>
  <c r="I304" i="20"/>
  <c r="G304" i="20"/>
  <c r="I303" i="20"/>
  <c r="G303" i="20"/>
  <c r="I302" i="20"/>
  <c r="G302" i="20"/>
  <c r="I301" i="20"/>
  <c r="G301" i="20"/>
  <c r="I300" i="20"/>
  <c r="G300" i="20"/>
  <c r="I299" i="20"/>
  <c r="G299" i="20"/>
  <c r="I298" i="20"/>
  <c r="G298" i="20"/>
  <c r="I297" i="20"/>
  <c r="G297" i="20"/>
  <c r="I296" i="20"/>
  <c r="G296" i="20"/>
  <c r="I295" i="20"/>
  <c r="G295" i="20"/>
  <c r="I294" i="20"/>
  <c r="G294" i="20"/>
  <c r="I293" i="20"/>
  <c r="G293" i="20"/>
  <c r="I292" i="20"/>
  <c r="G292" i="20"/>
  <c r="I291" i="20"/>
  <c r="G291" i="20"/>
  <c r="I290" i="20"/>
  <c r="G290" i="20"/>
  <c r="I289" i="20"/>
  <c r="G289" i="20"/>
  <c r="I288" i="20"/>
  <c r="G288" i="20"/>
  <c r="I287" i="20"/>
  <c r="G287" i="20"/>
  <c r="I286" i="20"/>
  <c r="G286" i="20"/>
  <c r="I285" i="20"/>
  <c r="G285" i="20"/>
  <c r="I284" i="20"/>
  <c r="G284" i="20"/>
  <c r="I283" i="20"/>
  <c r="G283" i="20"/>
  <c r="I282" i="20"/>
  <c r="G282" i="20"/>
  <c r="I281" i="20"/>
  <c r="G281" i="20"/>
  <c r="I280" i="20"/>
  <c r="G280" i="20"/>
  <c r="I279" i="20"/>
  <c r="G279" i="20"/>
  <c r="I278" i="20"/>
  <c r="G278" i="20"/>
  <c r="I277" i="20"/>
  <c r="G277" i="20"/>
  <c r="I276" i="20"/>
  <c r="G276" i="20"/>
  <c r="I275" i="20"/>
  <c r="G275" i="20"/>
  <c r="I274" i="20"/>
  <c r="G274" i="20"/>
  <c r="I273" i="20"/>
  <c r="G273" i="20"/>
  <c r="I272" i="20"/>
  <c r="G272" i="20"/>
  <c r="I271" i="20"/>
  <c r="G271" i="20"/>
  <c r="I270" i="20"/>
  <c r="G270" i="20"/>
  <c r="I269" i="20"/>
  <c r="G269" i="20"/>
  <c r="I268" i="20"/>
  <c r="G268" i="20"/>
  <c r="I267" i="20"/>
  <c r="G267" i="20"/>
  <c r="I266" i="20"/>
  <c r="G266" i="20"/>
  <c r="I265" i="20"/>
  <c r="G265" i="20"/>
  <c r="I264" i="20"/>
  <c r="G264" i="20"/>
  <c r="I263" i="20"/>
  <c r="G263" i="20"/>
  <c r="I262" i="20"/>
  <c r="G262" i="20"/>
  <c r="I261" i="20"/>
  <c r="G261" i="20"/>
  <c r="I260" i="20"/>
  <c r="G260" i="20"/>
  <c r="I259" i="20"/>
  <c r="G259" i="20"/>
  <c r="I258" i="20"/>
  <c r="G258" i="20"/>
  <c r="I257" i="20"/>
  <c r="G257" i="20"/>
  <c r="I256" i="20"/>
  <c r="G256" i="20"/>
  <c r="I255" i="20"/>
  <c r="G255" i="20"/>
  <c r="I254" i="20"/>
  <c r="G254" i="20"/>
  <c r="I253" i="20"/>
  <c r="G253" i="20"/>
  <c r="I252" i="20"/>
  <c r="G252" i="20"/>
  <c r="I251" i="20"/>
  <c r="G251" i="20"/>
  <c r="I250" i="20"/>
  <c r="G250" i="20"/>
  <c r="I249" i="20"/>
  <c r="G249" i="20"/>
  <c r="I248" i="20"/>
  <c r="G248" i="20"/>
  <c r="I247" i="20"/>
  <c r="G247" i="20"/>
  <c r="I246" i="20"/>
  <c r="G246" i="20"/>
  <c r="I245" i="20"/>
  <c r="G245" i="20"/>
  <c r="I244" i="20"/>
  <c r="G244" i="20"/>
  <c r="I243" i="20"/>
  <c r="G243" i="20"/>
  <c r="I242" i="20"/>
  <c r="G242" i="20"/>
  <c r="I241" i="20"/>
  <c r="G241" i="20"/>
  <c r="I240" i="20"/>
  <c r="G240" i="20"/>
  <c r="I239" i="20"/>
  <c r="G239" i="20"/>
  <c r="I238" i="20"/>
  <c r="G238" i="20"/>
  <c r="I237" i="20"/>
  <c r="G237" i="20"/>
  <c r="I236" i="20"/>
  <c r="G236" i="20"/>
  <c r="I235" i="20"/>
  <c r="G235" i="20"/>
  <c r="I234" i="20"/>
  <c r="G234" i="20"/>
  <c r="I233" i="20"/>
  <c r="G233" i="20"/>
  <c r="I232" i="20"/>
  <c r="G232" i="20"/>
  <c r="I231" i="20"/>
  <c r="G231" i="20"/>
  <c r="I230" i="20"/>
  <c r="G230" i="20"/>
  <c r="I229" i="20"/>
  <c r="G229" i="20"/>
  <c r="I228" i="20"/>
  <c r="G228" i="20"/>
  <c r="I227" i="20"/>
  <c r="G227" i="20"/>
  <c r="I226" i="20"/>
  <c r="G226" i="20"/>
  <c r="I225" i="20"/>
  <c r="G225" i="20"/>
  <c r="I224" i="20"/>
  <c r="G224" i="20"/>
  <c r="I223" i="20"/>
  <c r="G223" i="20"/>
  <c r="I222" i="20"/>
  <c r="G222" i="20"/>
  <c r="I221" i="20"/>
  <c r="G221" i="20"/>
  <c r="I220" i="20"/>
  <c r="G220" i="20"/>
  <c r="I219" i="20"/>
  <c r="G219" i="20"/>
  <c r="I218" i="20"/>
  <c r="G218" i="20"/>
  <c r="I217" i="20"/>
  <c r="G217" i="20"/>
  <c r="I216" i="20"/>
  <c r="G216" i="20"/>
  <c r="I215" i="20"/>
  <c r="G215" i="20"/>
  <c r="I214" i="20"/>
  <c r="G214" i="20"/>
  <c r="I213" i="20"/>
  <c r="G213" i="20"/>
  <c r="I212" i="20"/>
  <c r="G212" i="20"/>
  <c r="I211" i="20"/>
  <c r="G211" i="20"/>
  <c r="I210" i="20"/>
  <c r="G210" i="20"/>
  <c r="I209" i="20"/>
  <c r="G209" i="20"/>
  <c r="I208" i="20"/>
  <c r="G208" i="20"/>
  <c r="I207" i="20"/>
  <c r="G207" i="20"/>
  <c r="I206" i="20"/>
  <c r="G206" i="20"/>
  <c r="I205" i="20"/>
  <c r="G205" i="20"/>
  <c r="I204" i="20"/>
  <c r="G204" i="20"/>
  <c r="I203" i="20"/>
  <c r="G203" i="20"/>
  <c r="I202" i="20"/>
  <c r="G202" i="20"/>
  <c r="I201" i="20"/>
  <c r="G201" i="20"/>
  <c r="I200" i="20"/>
  <c r="G200" i="20"/>
  <c r="I199" i="20"/>
  <c r="G199" i="20"/>
  <c r="I198" i="20"/>
  <c r="G198" i="20"/>
  <c r="I197" i="20"/>
  <c r="G197" i="20"/>
  <c r="I196" i="20"/>
  <c r="G196" i="20"/>
  <c r="I195" i="20"/>
  <c r="G195" i="20"/>
  <c r="I194" i="20"/>
  <c r="G194" i="20"/>
  <c r="I193" i="20"/>
  <c r="G193" i="20"/>
  <c r="I192" i="20"/>
  <c r="G192" i="20"/>
  <c r="I191" i="20"/>
  <c r="G191" i="20"/>
  <c r="I190" i="20"/>
  <c r="G190" i="20"/>
  <c r="I189" i="20"/>
  <c r="G189" i="20"/>
  <c r="I188" i="20"/>
  <c r="G188" i="20"/>
  <c r="I187" i="20"/>
  <c r="G187" i="20"/>
  <c r="I186" i="20"/>
  <c r="G186" i="20"/>
  <c r="I185" i="20"/>
  <c r="G185" i="20"/>
  <c r="I184" i="20"/>
  <c r="G184" i="20"/>
  <c r="I183" i="20"/>
  <c r="G183" i="20"/>
  <c r="I182" i="20"/>
  <c r="G182" i="20"/>
  <c r="I181" i="20"/>
  <c r="G181" i="20"/>
  <c r="I180" i="20"/>
  <c r="G180" i="20"/>
  <c r="I179" i="20"/>
  <c r="G179" i="20"/>
  <c r="I178" i="20"/>
  <c r="G178" i="20"/>
  <c r="I177" i="20"/>
  <c r="G177" i="20"/>
  <c r="I176" i="20"/>
  <c r="G176" i="20"/>
  <c r="I175" i="20"/>
  <c r="G175" i="20"/>
  <c r="I174" i="20"/>
  <c r="G174" i="20"/>
  <c r="I173" i="20"/>
  <c r="G173" i="20"/>
  <c r="I172" i="20"/>
  <c r="G172" i="20"/>
  <c r="I171" i="20"/>
  <c r="G171" i="20"/>
  <c r="I170" i="20"/>
  <c r="G170" i="20"/>
  <c r="I169" i="20"/>
  <c r="G169" i="20"/>
  <c r="I168" i="20"/>
  <c r="G168" i="20"/>
  <c r="I167" i="20"/>
  <c r="G167" i="20"/>
  <c r="I166" i="20"/>
  <c r="G166" i="20"/>
  <c r="I165" i="20"/>
  <c r="G165" i="20"/>
  <c r="I164" i="20"/>
  <c r="G164" i="20"/>
  <c r="I163" i="20"/>
  <c r="G163" i="20"/>
  <c r="I162" i="20"/>
  <c r="G162" i="20"/>
  <c r="I161" i="20"/>
  <c r="G161" i="20"/>
  <c r="I160" i="20"/>
  <c r="G160" i="20"/>
  <c r="I159" i="20"/>
  <c r="G159" i="20"/>
  <c r="I158" i="20"/>
  <c r="G158" i="20"/>
  <c r="I157" i="20"/>
  <c r="G157" i="20"/>
  <c r="I156" i="20"/>
  <c r="G156" i="20"/>
  <c r="I155" i="20"/>
  <c r="G155" i="20"/>
  <c r="I154" i="20"/>
  <c r="G154" i="20"/>
  <c r="I153" i="20"/>
  <c r="G153" i="20"/>
  <c r="I152" i="20"/>
  <c r="G152" i="20"/>
  <c r="I151" i="20"/>
  <c r="G151" i="20"/>
  <c r="I150" i="20"/>
  <c r="G150" i="20"/>
  <c r="I149" i="20"/>
  <c r="G149" i="20"/>
  <c r="I148" i="20"/>
  <c r="G148" i="20"/>
  <c r="I147" i="20"/>
  <c r="G147" i="20"/>
  <c r="I146" i="20"/>
  <c r="G146" i="20"/>
  <c r="I145" i="20"/>
  <c r="G145" i="20"/>
  <c r="I144" i="20"/>
  <c r="G144" i="20"/>
  <c r="I143" i="20"/>
  <c r="G143" i="20"/>
  <c r="I142" i="20"/>
  <c r="G142" i="20"/>
  <c r="I141" i="20"/>
  <c r="G141" i="20"/>
  <c r="I140" i="20"/>
  <c r="G140" i="20"/>
  <c r="I139" i="20"/>
  <c r="G139" i="20"/>
  <c r="I138" i="20"/>
  <c r="G138" i="20"/>
  <c r="I137" i="20"/>
  <c r="G137" i="20"/>
  <c r="I136" i="20"/>
  <c r="G136" i="20"/>
  <c r="I135" i="20"/>
  <c r="G135" i="20"/>
  <c r="I134" i="20"/>
  <c r="G134" i="20"/>
  <c r="I133" i="20"/>
  <c r="G133" i="20"/>
  <c r="I132" i="20"/>
  <c r="G132" i="20"/>
  <c r="I131" i="20"/>
  <c r="G131" i="20"/>
  <c r="I130" i="20"/>
  <c r="G130" i="20"/>
  <c r="I129" i="20"/>
  <c r="G129" i="20"/>
  <c r="I128" i="20"/>
  <c r="G128" i="20"/>
  <c r="I127" i="20"/>
  <c r="G127" i="20"/>
  <c r="I126" i="20"/>
  <c r="G126" i="20"/>
  <c r="I125" i="20"/>
  <c r="G125" i="20"/>
  <c r="I124" i="20"/>
  <c r="G124" i="20"/>
  <c r="I123" i="20"/>
  <c r="G123" i="20"/>
  <c r="I122" i="20"/>
  <c r="G122" i="20"/>
  <c r="I121" i="20"/>
  <c r="G121" i="20"/>
  <c r="I120" i="20"/>
  <c r="G120" i="20"/>
  <c r="I119" i="20"/>
  <c r="G119" i="20"/>
  <c r="I118" i="20"/>
  <c r="G118" i="20"/>
  <c r="I117" i="20"/>
  <c r="G117" i="20"/>
  <c r="I116" i="20"/>
  <c r="G116" i="20"/>
  <c r="I115" i="20"/>
  <c r="G115" i="20"/>
  <c r="I114" i="20"/>
  <c r="G114" i="20"/>
  <c r="I113" i="20"/>
  <c r="G113" i="20"/>
  <c r="I112" i="20"/>
  <c r="G112" i="20"/>
  <c r="I111" i="20"/>
  <c r="G111" i="20"/>
  <c r="I110" i="20"/>
  <c r="G110" i="20"/>
  <c r="I109" i="20"/>
  <c r="G109" i="20"/>
  <c r="I108" i="20"/>
  <c r="G108" i="20"/>
  <c r="I107" i="20"/>
  <c r="G107" i="20"/>
  <c r="I106" i="20"/>
  <c r="G106" i="20"/>
  <c r="I105" i="20"/>
  <c r="G105" i="20"/>
  <c r="I104" i="20"/>
  <c r="G104" i="20"/>
  <c r="I103" i="20"/>
  <c r="G103" i="20"/>
  <c r="I102" i="20"/>
  <c r="G102" i="20"/>
  <c r="I101" i="20"/>
  <c r="G101" i="20"/>
  <c r="I100" i="20"/>
  <c r="G100" i="20"/>
  <c r="I99" i="20"/>
  <c r="G99" i="20"/>
  <c r="I98" i="20"/>
  <c r="G98" i="20"/>
  <c r="I97" i="20"/>
  <c r="G97" i="20"/>
  <c r="I96" i="20"/>
  <c r="G96" i="20"/>
  <c r="I95" i="20"/>
  <c r="G95" i="20"/>
  <c r="I94" i="20"/>
  <c r="G94" i="20"/>
  <c r="I93" i="20"/>
  <c r="G93" i="20"/>
  <c r="I92" i="20"/>
  <c r="G92" i="20"/>
  <c r="I91" i="20"/>
  <c r="G91" i="20"/>
  <c r="I90" i="20"/>
  <c r="G90" i="20"/>
  <c r="I89" i="20"/>
  <c r="G89" i="20"/>
  <c r="I88" i="20"/>
  <c r="G88" i="20"/>
  <c r="I87" i="20"/>
  <c r="G87" i="20"/>
  <c r="I86" i="20"/>
  <c r="G86" i="20"/>
  <c r="I85" i="20"/>
  <c r="G85" i="20"/>
  <c r="I84" i="20"/>
  <c r="G84" i="20"/>
  <c r="I83" i="20"/>
  <c r="G83" i="20"/>
  <c r="I82" i="20"/>
  <c r="G82" i="20"/>
  <c r="I81" i="20"/>
  <c r="G81" i="20"/>
  <c r="I80" i="20"/>
  <c r="G80" i="20"/>
  <c r="I79" i="20"/>
  <c r="G79" i="20"/>
  <c r="I78" i="20"/>
  <c r="G78" i="20"/>
  <c r="I77" i="20"/>
  <c r="G77" i="20"/>
  <c r="I76" i="20"/>
  <c r="G76" i="20"/>
  <c r="I75" i="20"/>
  <c r="G75" i="20"/>
  <c r="I74" i="20"/>
  <c r="G74" i="20"/>
  <c r="I73" i="20"/>
  <c r="G73" i="20"/>
  <c r="I72" i="20"/>
  <c r="G72" i="20"/>
  <c r="I71" i="20"/>
  <c r="G71" i="20"/>
  <c r="I70" i="20"/>
  <c r="G70" i="20"/>
  <c r="I69" i="20"/>
  <c r="G69" i="20"/>
  <c r="I68" i="20"/>
  <c r="G68" i="20"/>
  <c r="I67" i="20"/>
  <c r="G67" i="20"/>
  <c r="I66" i="20"/>
  <c r="G66" i="20"/>
  <c r="I65" i="20"/>
  <c r="G65" i="20"/>
  <c r="I64" i="20"/>
  <c r="G64" i="20"/>
  <c r="I63" i="20"/>
  <c r="G63" i="20"/>
  <c r="I62" i="20"/>
  <c r="G62" i="20"/>
  <c r="I61" i="20"/>
  <c r="G61" i="20"/>
  <c r="I60" i="20"/>
  <c r="G60" i="20"/>
  <c r="I59" i="20"/>
  <c r="G59" i="20"/>
  <c r="I58" i="20"/>
  <c r="G58" i="20"/>
  <c r="I57" i="20"/>
  <c r="G57" i="20"/>
  <c r="I56" i="20"/>
  <c r="G56" i="20"/>
  <c r="I55" i="20"/>
  <c r="G55" i="20"/>
  <c r="I54" i="20"/>
  <c r="G54" i="20"/>
  <c r="I53" i="20"/>
  <c r="G53" i="20"/>
  <c r="I52" i="20"/>
  <c r="G52" i="20"/>
  <c r="I51" i="20"/>
  <c r="G51" i="20"/>
  <c r="I50" i="20"/>
  <c r="G50" i="20"/>
  <c r="I49" i="20"/>
  <c r="G49" i="20"/>
  <c r="I48" i="20"/>
  <c r="G48" i="20"/>
  <c r="I47" i="20"/>
  <c r="G47" i="20"/>
  <c r="I46" i="20"/>
  <c r="G46" i="20"/>
  <c r="I45" i="20"/>
  <c r="G45" i="20"/>
  <c r="I44" i="20"/>
  <c r="G44" i="20"/>
  <c r="I43" i="20"/>
  <c r="G43" i="20"/>
  <c r="I42" i="20"/>
  <c r="G42" i="20"/>
  <c r="I41" i="20"/>
  <c r="G41" i="20"/>
  <c r="I40" i="20"/>
  <c r="G40" i="20"/>
  <c r="I39" i="20"/>
  <c r="G39" i="20"/>
  <c r="I38" i="20"/>
  <c r="G38" i="20"/>
  <c r="I37" i="20"/>
  <c r="G37" i="20"/>
  <c r="I36" i="20"/>
  <c r="G36" i="20"/>
  <c r="I35" i="20"/>
  <c r="G35" i="20"/>
  <c r="I34" i="20"/>
  <c r="G34" i="20"/>
  <c r="I33" i="20"/>
  <c r="G33" i="20"/>
  <c r="I32" i="20"/>
  <c r="G32" i="20"/>
  <c r="I31" i="20"/>
  <c r="G31" i="20"/>
  <c r="I30" i="20"/>
  <c r="G30" i="20"/>
  <c r="I29" i="20"/>
  <c r="G29" i="20"/>
  <c r="I28" i="20"/>
  <c r="G28" i="20"/>
  <c r="I27" i="20"/>
  <c r="G27" i="20"/>
  <c r="I26" i="20"/>
  <c r="G26" i="20"/>
  <c r="I25" i="20"/>
  <c r="G25" i="20"/>
  <c r="I24" i="20"/>
  <c r="G24" i="20"/>
  <c r="I23" i="20"/>
  <c r="G23" i="20"/>
  <c r="I22" i="20"/>
  <c r="G22" i="20"/>
  <c r="I21" i="20"/>
  <c r="G21" i="20"/>
  <c r="I20" i="20"/>
  <c r="G20" i="20"/>
  <c r="I19" i="20"/>
  <c r="G19" i="20"/>
  <c r="I18" i="20"/>
  <c r="G18" i="20"/>
  <c r="I17" i="20"/>
  <c r="G17" i="20"/>
  <c r="I16" i="20"/>
  <c r="G16" i="20"/>
  <c r="I15" i="20"/>
  <c r="G15" i="20"/>
  <c r="I14" i="20"/>
  <c r="G14" i="20"/>
  <c r="I13" i="20"/>
  <c r="G13" i="20"/>
  <c r="I12" i="20"/>
  <c r="G12" i="20"/>
  <c r="I11" i="20"/>
  <c r="G11" i="20"/>
  <c r="I10" i="20"/>
  <c r="G10" i="20"/>
  <c r="I9" i="20"/>
  <c r="G9" i="20"/>
  <c r="I8" i="20"/>
  <c r="G8" i="20"/>
  <c r="I7" i="20"/>
  <c r="G7" i="20"/>
  <c r="I6" i="20"/>
  <c r="G6" i="20"/>
  <c r="I5" i="20"/>
  <c r="G5" i="20"/>
  <c r="I4" i="20"/>
  <c r="G4" i="20"/>
  <c r="I3" i="20"/>
  <c r="G3" i="20"/>
  <c r="I2" i="20"/>
  <c r="G2" i="20"/>
  <c r="I629" i="19"/>
  <c r="G629" i="19"/>
  <c r="I628" i="19"/>
  <c r="G628" i="19"/>
  <c r="I627" i="19"/>
  <c r="G627" i="19"/>
  <c r="I626" i="19"/>
  <c r="G626" i="19"/>
  <c r="I625" i="19"/>
  <c r="G625" i="19"/>
  <c r="I624" i="19"/>
  <c r="G624" i="19"/>
  <c r="I623" i="19"/>
  <c r="G623" i="19"/>
  <c r="I622" i="19"/>
  <c r="G622" i="19"/>
  <c r="I621" i="19"/>
  <c r="G621" i="19"/>
  <c r="I620" i="19"/>
  <c r="G620" i="19"/>
  <c r="I619" i="19"/>
  <c r="G619" i="19"/>
  <c r="I618" i="19"/>
  <c r="G618" i="19"/>
  <c r="I617" i="19"/>
  <c r="G617" i="19"/>
  <c r="I616" i="19"/>
  <c r="G616" i="19"/>
  <c r="I615" i="19"/>
  <c r="G615" i="19"/>
  <c r="I614" i="19"/>
  <c r="G614" i="19"/>
  <c r="I613" i="19"/>
  <c r="G613" i="19"/>
  <c r="I612" i="19"/>
  <c r="G612" i="19"/>
  <c r="I611" i="19"/>
  <c r="G611" i="19"/>
  <c r="I610" i="19"/>
  <c r="G610" i="19"/>
  <c r="I609" i="19"/>
  <c r="G609" i="19"/>
  <c r="I608" i="19"/>
  <c r="G608" i="19"/>
  <c r="I607" i="19"/>
  <c r="G607" i="19"/>
  <c r="I606" i="19"/>
  <c r="G606" i="19"/>
  <c r="I605" i="19"/>
  <c r="G605" i="19"/>
  <c r="I604" i="19"/>
  <c r="G604" i="19"/>
  <c r="I603" i="19"/>
  <c r="G603" i="19"/>
  <c r="I602" i="19"/>
  <c r="G602" i="19"/>
  <c r="I601" i="19"/>
  <c r="G601" i="19"/>
  <c r="I600" i="19"/>
  <c r="G600" i="19"/>
  <c r="I599" i="19"/>
  <c r="G599" i="19"/>
  <c r="I598" i="19"/>
  <c r="G598" i="19"/>
  <c r="I597" i="19"/>
  <c r="G597" i="19"/>
  <c r="I596" i="19"/>
  <c r="G596" i="19"/>
  <c r="I595" i="19"/>
  <c r="G595" i="19"/>
  <c r="I594" i="19"/>
  <c r="G594" i="19"/>
  <c r="I593" i="19"/>
  <c r="G593" i="19"/>
  <c r="I592" i="19"/>
  <c r="G592" i="19"/>
  <c r="I591" i="19"/>
  <c r="G591" i="19"/>
  <c r="I590" i="19"/>
  <c r="G590" i="19"/>
  <c r="I589" i="19"/>
  <c r="G589" i="19"/>
  <c r="I588" i="19"/>
  <c r="G588" i="19"/>
  <c r="I587" i="19"/>
  <c r="G587" i="19"/>
  <c r="I586" i="19"/>
  <c r="G586" i="19"/>
  <c r="I585" i="19"/>
  <c r="G585" i="19"/>
  <c r="I584" i="19"/>
  <c r="G584" i="19"/>
  <c r="I583" i="19"/>
  <c r="G583" i="19"/>
  <c r="I582" i="19"/>
  <c r="G582" i="19"/>
  <c r="I581" i="19"/>
  <c r="G581" i="19"/>
  <c r="I580" i="19"/>
  <c r="G580" i="19"/>
  <c r="I579" i="19"/>
  <c r="G579" i="19"/>
  <c r="I578" i="19"/>
  <c r="G578" i="19"/>
  <c r="I577" i="19"/>
  <c r="G577" i="19"/>
  <c r="I576" i="19"/>
  <c r="G576" i="19"/>
  <c r="I575" i="19"/>
  <c r="G575" i="19"/>
  <c r="I574" i="19"/>
  <c r="G574" i="19"/>
  <c r="I573" i="19"/>
  <c r="G573" i="19"/>
  <c r="I572" i="19"/>
  <c r="G572" i="19"/>
  <c r="I571" i="19"/>
  <c r="G571" i="19"/>
  <c r="I570" i="19"/>
  <c r="G570" i="19"/>
  <c r="I569" i="19"/>
  <c r="G569" i="19"/>
  <c r="I568" i="19"/>
  <c r="G568" i="19"/>
  <c r="I567" i="19"/>
  <c r="G567" i="19"/>
  <c r="I566" i="19"/>
  <c r="G566" i="19"/>
  <c r="I565" i="19"/>
  <c r="G565" i="19"/>
  <c r="I564" i="19"/>
  <c r="G564" i="19"/>
  <c r="I563" i="19"/>
  <c r="G563" i="19"/>
  <c r="I562" i="19"/>
  <c r="G562" i="19"/>
  <c r="I561" i="19"/>
  <c r="G561" i="19"/>
  <c r="I560" i="19"/>
  <c r="G560" i="19"/>
  <c r="I559" i="19"/>
  <c r="G559" i="19"/>
  <c r="I558" i="19"/>
  <c r="G558" i="19"/>
  <c r="I557" i="19"/>
  <c r="G557" i="19"/>
  <c r="I556" i="19"/>
  <c r="G556" i="19"/>
  <c r="I555" i="19"/>
  <c r="G555" i="19"/>
  <c r="I554" i="19"/>
  <c r="G554" i="19"/>
  <c r="I553" i="19"/>
  <c r="G553" i="19"/>
  <c r="I552" i="19"/>
  <c r="G552" i="19"/>
  <c r="I551" i="19"/>
  <c r="G551" i="19"/>
  <c r="I550" i="19"/>
  <c r="G550" i="19"/>
  <c r="I549" i="19"/>
  <c r="G549" i="19"/>
  <c r="I548" i="19"/>
  <c r="G548" i="19"/>
  <c r="I547" i="19"/>
  <c r="G547" i="19"/>
  <c r="I546" i="19"/>
  <c r="G546" i="19"/>
  <c r="I545" i="19"/>
  <c r="G545" i="19"/>
  <c r="I544" i="19"/>
  <c r="G544" i="19"/>
  <c r="I543" i="19"/>
  <c r="G543" i="19"/>
  <c r="I542" i="19"/>
  <c r="G542" i="19"/>
  <c r="I541" i="19"/>
  <c r="G541" i="19"/>
  <c r="I540" i="19"/>
  <c r="G540" i="19"/>
  <c r="I539" i="19"/>
  <c r="G539" i="19"/>
  <c r="I538" i="19"/>
  <c r="G538" i="19"/>
  <c r="I537" i="19"/>
  <c r="G537" i="19"/>
  <c r="I536" i="19"/>
  <c r="G536" i="19"/>
  <c r="I535" i="19"/>
  <c r="G535" i="19"/>
  <c r="I534" i="19"/>
  <c r="G534" i="19"/>
  <c r="I533" i="19"/>
  <c r="G533" i="19"/>
  <c r="I532" i="19"/>
  <c r="G532" i="19"/>
  <c r="I531" i="19"/>
  <c r="G531" i="19"/>
  <c r="I530" i="19"/>
  <c r="G530" i="19"/>
  <c r="I529" i="19"/>
  <c r="G529" i="19"/>
  <c r="I528" i="19"/>
  <c r="G528" i="19"/>
  <c r="I527" i="19"/>
  <c r="G527" i="19"/>
  <c r="I526" i="19"/>
  <c r="G526" i="19"/>
  <c r="I525" i="19"/>
  <c r="G525" i="19"/>
  <c r="I524" i="19"/>
  <c r="G524" i="19"/>
  <c r="I523" i="19"/>
  <c r="G523" i="19"/>
  <c r="I522" i="19"/>
  <c r="G522" i="19"/>
  <c r="I521" i="19"/>
  <c r="G521" i="19"/>
  <c r="I520" i="19"/>
  <c r="G520" i="19"/>
  <c r="I519" i="19"/>
  <c r="G519" i="19"/>
  <c r="I518" i="19"/>
  <c r="G518" i="19"/>
  <c r="I517" i="19"/>
  <c r="G517" i="19"/>
  <c r="I516" i="19"/>
  <c r="G516" i="19"/>
  <c r="I515" i="19"/>
  <c r="G515" i="19"/>
  <c r="I514" i="19"/>
  <c r="G514" i="19"/>
  <c r="I513" i="19"/>
  <c r="G513" i="19"/>
  <c r="I512" i="19"/>
  <c r="G512" i="19"/>
  <c r="I511" i="19"/>
  <c r="G511" i="19"/>
  <c r="I510" i="19"/>
  <c r="G510" i="19"/>
  <c r="I509" i="19"/>
  <c r="G509" i="19"/>
  <c r="I508" i="19"/>
  <c r="G508" i="19"/>
  <c r="I507" i="19"/>
  <c r="G507" i="19"/>
  <c r="I506" i="19"/>
  <c r="G506" i="19"/>
  <c r="I505" i="19"/>
  <c r="G505" i="19"/>
  <c r="I504" i="19"/>
  <c r="G504" i="19"/>
  <c r="I503" i="19"/>
  <c r="G503" i="19"/>
  <c r="I502" i="19"/>
  <c r="G502" i="19"/>
  <c r="I501" i="19"/>
  <c r="G501" i="19"/>
  <c r="I500" i="19"/>
  <c r="G500" i="19"/>
  <c r="I499" i="19"/>
  <c r="G499" i="19"/>
  <c r="I498" i="19"/>
  <c r="G498" i="19"/>
  <c r="I497" i="19"/>
  <c r="G497" i="19"/>
  <c r="I496" i="19"/>
  <c r="G496" i="19"/>
  <c r="I495" i="19"/>
  <c r="G495" i="19"/>
  <c r="I494" i="19"/>
  <c r="G494" i="19"/>
  <c r="I493" i="19"/>
  <c r="G493" i="19"/>
  <c r="I492" i="19"/>
  <c r="G492" i="19"/>
  <c r="I491" i="19"/>
  <c r="G491" i="19"/>
  <c r="I490" i="19"/>
  <c r="G490" i="19"/>
  <c r="I489" i="19"/>
  <c r="G489" i="19"/>
  <c r="I488" i="19"/>
  <c r="G488" i="19"/>
  <c r="I487" i="19"/>
  <c r="G487" i="19"/>
  <c r="I486" i="19"/>
  <c r="G486" i="19"/>
  <c r="I485" i="19"/>
  <c r="G485" i="19"/>
  <c r="I484" i="19"/>
  <c r="G484" i="19"/>
  <c r="I483" i="19"/>
  <c r="G483" i="19"/>
  <c r="I482" i="19"/>
  <c r="G482" i="19"/>
  <c r="I481" i="19"/>
  <c r="G481" i="19"/>
  <c r="I480" i="19"/>
  <c r="G480" i="19"/>
  <c r="I479" i="19"/>
  <c r="G479" i="19"/>
  <c r="I478" i="19"/>
  <c r="G478" i="19"/>
  <c r="I477" i="19"/>
  <c r="G477" i="19"/>
  <c r="I476" i="19"/>
  <c r="G476" i="19"/>
  <c r="I475" i="19"/>
  <c r="G475" i="19"/>
  <c r="I474" i="19"/>
  <c r="G474" i="19"/>
  <c r="I473" i="19"/>
  <c r="G473" i="19"/>
  <c r="I472" i="19"/>
  <c r="G472" i="19"/>
  <c r="I471" i="19"/>
  <c r="G471" i="19"/>
  <c r="I470" i="19"/>
  <c r="G470" i="19"/>
  <c r="I469" i="19"/>
  <c r="G469" i="19"/>
  <c r="I468" i="19"/>
  <c r="G468" i="19"/>
  <c r="I467" i="19"/>
  <c r="G467" i="19"/>
  <c r="I466" i="19"/>
  <c r="G466" i="19"/>
  <c r="I465" i="19"/>
  <c r="G465" i="19"/>
  <c r="I464" i="19"/>
  <c r="G464" i="19"/>
  <c r="I463" i="19"/>
  <c r="G463" i="19"/>
  <c r="I462" i="19"/>
  <c r="G462" i="19"/>
  <c r="I461" i="19"/>
  <c r="G461" i="19"/>
  <c r="I460" i="19"/>
  <c r="G460" i="19"/>
  <c r="I459" i="19"/>
  <c r="G459" i="19"/>
  <c r="I458" i="19"/>
  <c r="G458" i="19"/>
  <c r="I457" i="19"/>
  <c r="G457" i="19"/>
  <c r="I456" i="19"/>
  <c r="G456" i="19"/>
  <c r="I455" i="19"/>
  <c r="G455" i="19"/>
  <c r="I454" i="19"/>
  <c r="G454" i="19"/>
  <c r="I453" i="19"/>
  <c r="G453" i="19"/>
  <c r="I452" i="19"/>
  <c r="G452" i="19"/>
  <c r="I451" i="19"/>
  <c r="G451" i="19"/>
  <c r="I450" i="19"/>
  <c r="G450" i="19"/>
  <c r="I449" i="19"/>
  <c r="G449" i="19"/>
  <c r="I448" i="19"/>
  <c r="G448" i="19"/>
  <c r="I447" i="19"/>
  <c r="G447" i="19"/>
  <c r="I446" i="19"/>
  <c r="G446" i="19"/>
  <c r="I445" i="19"/>
  <c r="G445" i="19"/>
  <c r="I444" i="19"/>
  <c r="G444" i="19"/>
  <c r="I443" i="19"/>
  <c r="G443" i="19"/>
  <c r="I442" i="19"/>
  <c r="G442" i="19"/>
  <c r="I441" i="19"/>
  <c r="G441" i="19"/>
  <c r="I440" i="19"/>
  <c r="G440" i="19"/>
  <c r="I439" i="19"/>
  <c r="G439" i="19"/>
  <c r="I438" i="19"/>
  <c r="G438" i="19"/>
  <c r="I437" i="19"/>
  <c r="G437" i="19"/>
  <c r="I436" i="19"/>
  <c r="G436" i="19"/>
  <c r="I435" i="19"/>
  <c r="G435" i="19"/>
  <c r="I434" i="19"/>
  <c r="G434" i="19"/>
  <c r="I433" i="19"/>
  <c r="G433" i="19"/>
  <c r="I432" i="19"/>
  <c r="G432" i="19"/>
  <c r="I431" i="19"/>
  <c r="G431" i="19"/>
  <c r="I430" i="19"/>
  <c r="G430" i="19"/>
  <c r="I429" i="19"/>
  <c r="G429" i="19"/>
  <c r="I428" i="19"/>
  <c r="G428" i="19"/>
  <c r="I427" i="19"/>
  <c r="G427" i="19"/>
  <c r="I426" i="19"/>
  <c r="G426" i="19"/>
  <c r="I425" i="19"/>
  <c r="G425" i="19"/>
  <c r="I424" i="19"/>
  <c r="G424" i="19"/>
  <c r="I423" i="19"/>
  <c r="G423" i="19"/>
  <c r="I422" i="19"/>
  <c r="G422" i="19"/>
  <c r="I421" i="19"/>
  <c r="G421" i="19"/>
  <c r="I420" i="19"/>
  <c r="G420" i="19"/>
  <c r="I419" i="19"/>
  <c r="G419" i="19"/>
  <c r="I418" i="19"/>
  <c r="G418" i="19"/>
  <c r="I417" i="19"/>
  <c r="G417" i="19"/>
  <c r="I416" i="19"/>
  <c r="G416" i="19"/>
  <c r="I415" i="19"/>
  <c r="G415" i="19"/>
  <c r="I414" i="19"/>
  <c r="G414" i="19"/>
  <c r="I413" i="19"/>
  <c r="G413" i="19"/>
  <c r="I412" i="19"/>
  <c r="G412" i="19"/>
  <c r="I411" i="19"/>
  <c r="G411" i="19"/>
  <c r="I410" i="19"/>
  <c r="G410" i="19"/>
  <c r="I409" i="19"/>
  <c r="G409" i="19"/>
  <c r="I408" i="19"/>
  <c r="G408" i="19"/>
  <c r="I407" i="19"/>
  <c r="G407" i="19"/>
  <c r="I406" i="19"/>
  <c r="G406" i="19"/>
  <c r="I405" i="19"/>
  <c r="G405" i="19"/>
  <c r="I404" i="19"/>
  <c r="G404" i="19"/>
  <c r="I403" i="19"/>
  <c r="G403" i="19"/>
  <c r="I402" i="19"/>
  <c r="G402" i="19"/>
  <c r="I401" i="19"/>
  <c r="G401" i="19"/>
  <c r="I400" i="19"/>
  <c r="G400" i="19"/>
  <c r="I399" i="19"/>
  <c r="G399" i="19"/>
  <c r="I398" i="19"/>
  <c r="G398" i="19"/>
  <c r="I397" i="19"/>
  <c r="G397" i="19"/>
  <c r="I396" i="19"/>
  <c r="G396" i="19"/>
  <c r="I395" i="19"/>
  <c r="G395" i="19"/>
  <c r="I394" i="19"/>
  <c r="G394" i="19"/>
  <c r="I393" i="19"/>
  <c r="G393" i="19"/>
  <c r="I392" i="19"/>
  <c r="G392" i="19"/>
  <c r="I391" i="19"/>
  <c r="G391" i="19"/>
  <c r="I390" i="19"/>
  <c r="G390" i="19"/>
  <c r="I389" i="19"/>
  <c r="G389" i="19"/>
  <c r="I388" i="19"/>
  <c r="G388" i="19"/>
  <c r="I387" i="19"/>
  <c r="G387" i="19"/>
  <c r="I386" i="19"/>
  <c r="G386" i="19"/>
  <c r="I385" i="19"/>
  <c r="G385" i="19"/>
  <c r="I384" i="19"/>
  <c r="G384" i="19"/>
  <c r="I383" i="19"/>
  <c r="G383" i="19"/>
  <c r="I382" i="19"/>
  <c r="G382" i="19"/>
  <c r="I381" i="19"/>
  <c r="G381" i="19"/>
  <c r="I380" i="19"/>
  <c r="G380" i="19"/>
  <c r="I379" i="19"/>
  <c r="G379" i="19"/>
  <c r="I378" i="19"/>
  <c r="G378" i="19"/>
  <c r="I377" i="19"/>
  <c r="G377" i="19"/>
  <c r="I376" i="19"/>
  <c r="G376" i="19"/>
  <c r="I375" i="19"/>
  <c r="G375" i="19"/>
  <c r="I374" i="19"/>
  <c r="G374" i="19"/>
  <c r="I373" i="19"/>
  <c r="G373" i="19"/>
  <c r="I372" i="19"/>
  <c r="G372" i="19"/>
  <c r="I371" i="19"/>
  <c r="G371" i="19"/>
  <c r="I370" i="19"/>
  <c r="G370" i="19"/>
  <c r="I369" i="19"/>
  <c r="G369" i="19"/>
  <c r="I368" i="19"/>
  <c r="G368" i="19"/>
  <c r="I367" i="19"/>
  <c r="G367" i="19"/>
  <c r="I366" i="19"/>
  <c r="G366" i="19"/>
  <c r="I365" i="19"/>
  <c r="G365" i="19"/>
  <c r="I364" i="19"/>
  <c r="G364" i="19"/>
  <c r="I363" i="19"/>
  <c r="G363" i="19"/>
  <c r="I362" i="19"/>
  <c r="G362" i="19"/>
  <c r="I361" i="19"/>
  <c r="G361" i="19"/>
  <c r="I360" i="19"/>
  <c r="G360" i="19"/>
  <c r="I359" i="19"/>
  <c r="G359" i="19"/>
  <c r="I358" i="19"/>
  <c r="G358" i="19"/>
  <c r="I357" i="19"/>
  <c r="G357" i="19"/>
  <c r="I356" i="19"/>
  <c r="G356" i="19"/>
  <c r="I355" i="19"/>
  <c r="G355" i="19"/>
  <c r="I354" i="19"/>
  <c r="G354" i="19"/>
  <c r="I353" i="19"/>
  <c r="G353" i="19"/>
  <c r="I352" i="19"/>
  <c r="G352" i="19"/>
  <c r="I351" i="19"/>
  <c r="G351" i="19"/>
  <c r="I350" i="19"/>
  <c r="G350" i="19"/>
  <c r="I349" i="19"/>
  <c r="G349" i="19"/>
  <c r="I348" i="19"/>
  <c r="G348" i="19"/>
  <c r="I347" i="19"/>
  <c r="G347" i="19"/>
  <c r="I346" i="19"/>
  <c r="G346" i="19"/>
  <c r="I345" i="19"/>
  <c r="G345" i="19"/>
  <c r="I344" i="19"/>
  <c r="G344" i="19"/>
  <c r="I343" i="19"/>
  <c r="G343" i="19"/>
  <c r="I342" i="19"/>
  <c r="G342" i="19"/>
  <c r="I341" i="19"/>
  <c r="G341" i="19"/>
  <c r="I340" i="19"/>
  <c r="G340" i="19"/>
  <c r="I339" i="19"/>
  <c r="G339" i="19"/>
  <c r="I338" i="19"/>
  <c r="G338" i="19"/>
  <c r="I337" i="19"/>
  <c r="G337" i="19"/>
  <c r="I336" i="19"/>
  <c r="G336" i="19"/>
  <c r="I335" i="19"/>
  <c r="G335" i="19"/>
  <c r="I334" i="19"/>
  <c r="G334" i="19"/>
  <c r="I333" i="19"/>
  <c r="G333" i="19"/>
  <c r="I332" i="19"/>
  <c r="G332" i="19"/>
  <c r="I331" i="19"/>
  <c r="G331" i="19"/>
  <c r="I330" i="19"/>
  <c r="G330" i="19"/>
  <c r="I329" i="19"/>
  <c r="G329" i="19"/>
  <c r="I328" i="19"/>
  <c r="G328" i="19"/>
  <c r="I327" i="19"/>
  <c r="G327" i="19"/>
  <c r="I326" i="19"/>
  <c r="G326" i="19"/>
  <c r="I325" i="19"/>
  <c r="G325" i="19"/>
  <c r="I324" i="19"/>
  <c r="G324" i="19"/>
  <c r="I323" i="19"/>
  <c r="G323" i="19"/>
  <c r="I322" i="19"/>
  <c r="G322" i="19"/>
  <c r="I321" i="19"/>
  <c r="G321" i="19"/>
  <c r="I320" i="19"/>
  <c r="G320" i="19"/>
  <c r="I319" i="19"/>
  <c r="G319" i="19"/>
  <c r="I318" i="19"/>
  <c r="G318" i="19"/>
  <c r="I317" i="19"/>
  <c r="G317" i="19"/>
  <c r="I316" i="19"/>
  <c r="G316" i="19"/>
  <c r="I315" i="19"/>
  <c r="G315" i="19"/>
  <c r="I314" i="19"/>
  <c r="G314" i="19"/>
  <c r="I313" i="19"/>
  <c r="G313" i="19"/>
  <c r="I312" i="19"/>
  <c r="G312" i="19"/>
  <c r="I311" i="19"/>
  <c r="G311" i="19"/>
  <c r="I310" i="19"/>
  <c r="G310" i="19"/>
  <c r="I309" i="19"/>
  <c r="G309" i="19"/>
  <c r="I308" i="19"/>
  <c r="G308" i="19"/>
  <c r="I307" i="19"/>
  <c r="G307" i="19"/>
  <c r="I306" i="19"/>
  <c r="G306" i="19"/>
  <c r="I305" i="19"/>
  <c r="G305" i="19"/>
  <c r="I304" i="19"/>
  <c r="G304" i="19"/>
  <c r="I303" i="19"/>
  <c r="G303" i="19"/>
  <c r="I302" i="19"/>
  <c r="G302" i="19"/>
  <c r="I301" i="19"/>
  <c r="G301" i="19"/>
  <c r="I300" i="19"/>
  <c r="G300" i="19"/>
  <c r="I299" i="19"/>
  <c r="G299" i="19"/>
  <c r="I298" i="19"/>
  <c r="G298" i="19"/>
  <c r="I297" i="19"/>
  <c r="G297" i="19"/>
  <c r="I296" i="19"/>
  <c r="G296" i="19"/>
  <c r="I295" i="19"/>
  <c r="G295" i="19"/>
  <c r="I294" i="19"/>
  <c r="G294" i="19"/>
  <c r="I293" i="19"/>
  <c r="G293" i="19"/>
  <c r="I292" i="19"/>
  <c r="G292" i="19"/>
  <c r="I291" i="19"/>
  <c r="G291" i="19"/>
  <c r="I290" i="19"/>
  <c r="G290" i="19"/>
  <c r="I289" i="19"/>
  <c r="G289" i="19"/>
  <c r="I288" i="19"/>
  <c r="G288" i="19"/>
  <c r="I287" i="19"/>
  <c r="G287" i="19"/>
  <c r="I286" i="19"/>
  <c r="G286" i="19"/>
  <c r="I285" i="19"/>
  <c r="G285" i="19"/>
  <c r="I284" i="19"/>
  <c r="G284" i="19"/>
  <c r="I283" i="19"/>
  <c r="G283" i="19"/>
  <c r="I282" i="19"/>
  <c r="G282" i="19"/>
  <c r="I281" i="19"/>
  <c r="G281" i="19"/>
  <c r="I280" i="19"/>
  <c r="G280" i="19"/>
  <c r="I279" i="19"/>
  <c r="G279" i="19"/>
  <c r="I278" i="19"/>
  <c r="G278" i="19"/>
  <c r="I277" i="19"/>
  <c r="G277" i="19"/>
  <c r="I276" i="19"/>
  <c r="G276" i="19"/>
  <c r="I275" i="19"/>
  <c r="G275" i="19"/>
  <c r="I274" i="19"/>
  <c r="G274" i="19"/>
  <c r="I273" i="19"/>
  <c r="G273" i="19"/>
  <c r="I272" i="19"/>
  <c r="G272" i="19"/>
  <c r="I271" i="19"/>
  <c r="G271" i="19"/>
  <c r="I270" i="19"/>
  <c r="G270" i="19"/>
  <c r="I269" i="19"/>
  <c r="G269" i="19"/>
  <c r="I268" i="19"/>
  <c r="G268" i="19"/>
  <c r="I267" i="19"/>
  <c r="G267" i="19"/>
  <c r="I266" i="19"/>
  <c r="G266" i="19"/>
  <c r="I265" i="19"/>
  <c r="G265" i="19"/>
  <c r="I264" i="19"/>
  <c r="G264" i="19"/>
  <c r="I263" i="19"/>
  <c r="G263" i="19"/>
  <c r="I262" i="19"/>
  <c r="G262" i="19"/>
  <c r="I261" i="19"/>
  <c r="G261" i="19"/>
  <c r="I260" i="19"/>
  <c r="G260" i="19"/>
  <c r="I259" i="19"/>
  <c r="G259" i="19"/>
  <c r="I258" i="19"/>
  <c r="G258" i="19"/>
  <c r="I257" i="19"/>
  <c r="G257" i="19"/>
  <c r="I256" i="19"/>
  <c r="G256" i="19"/>
  <c r="I255" i="19"/>
  <c r="G255" i="19"/>
  <c r="I254" i="19"/>
  <c r="G254" i="19"/>
  <c r="I253" i="19"/>
  <c r="G253" i="19"/>
  <c r="I252" i="19"/>
  <c r="G252" i="19"/>
  <c r="I251" i="19"/>
  <c r="G251" i="19"/>
  <c r="I250" i="19"/>
  <c r="G250" i="19"/>
  <c r="I249" i="19"/>
  <c r="G249" i="19"/>
  <c r="I248" i="19"/>
  <c r="G248" i="19"/>
  <c r="I247" i="19"/>
  <c r="G247" i="19"/>
  <c r="I246" i="19"/>
  <c r="G246" i="19"/>
  <c r="I245" i="19"/>
  <c r="G245" i="19"/>
  <c r="I244" i="19"/>
  <c r="G244" i="19"/>
  <c r="I243" i="19"/>
  <c r="G243" i="19"/>
  <c r="I242" i="19"/>
  <c r="G242" i="19"/>
  <c r="I241" i="19"/>
  <c r="G241" i="19"/>
  <c r="I240" i="19"/>
  <c r="G240" i="19"/>
  <c r="I239" i="19"/>
  <c r="G239" i="19"/>
  <c r="I238" i="19"/>
  <c r="G238" i="19"/>
  <c r="I237" i="19"/>
  <c r="G237" i="19"/>
  <c r="I236" i="19"/>
  <c r="G236" i="19"/>
  <c r="I235" i="19"/>
  <c r="G235" i="19"/>
  <c r="I234" i="19"/>
  <c r="G234" i="19"/>
  <c r="I233" i="19"/>
  <c r="G233" i="19"/>
  <c r="I232" i="19"/>
  <c r="G232" i="19"/>
  <c r="I231" i="19"/>
  <c r="G231" i="19"/>
  <c r="I230" i="19"/>
  <c r="G230" i="19"/>
  <c r="I229" i="19"/>
  <c r="G229" i="19"/>
  <c r="I228" i="19"/>
  <c r="G228" i="19"/>
  <c r="I227" i="19"/>
  <c r="G227" i="19"/>
  <c r="I226" i="19"/>
  <c r="G226" i="19"/>
  <c r="I225" i="19"/>
  <c r="G225" i="19"/>
  <c r="I224" i="19"/>
  <c r="G224" i="19"/>
  <c r="I223" i="19"/>
  <c r="G223" i="19"/>
  <c r="I222" i="19"/>
  <c r="G222" i="19"/>
  <c r="I221" i="19"/>
  <c r="G221" i="19"/>
  <c r="I220" i="19"/>
  <c r="G220" i="19"/>
  <c r="I219" i="19"/>
  <c r="G219" i="19"/>
  <c r="I218" i="19"/>
  <c r="G218" i="19"/>
  <c r="I217" i="19"/>
  <c r="G217" i="19"/>
  <c r="I216" i="19"/>
  <c r="G216" i="19"/>
  <c r="I215" i="19"/>
  <c r="G215" i="19"/>
  <c r="I214" i="19"/>
  <c r="G214" i="19"/>
  <c r="I213" i="19"/>
  <c r="G213" i="19"/>
  <c r="I212" i="19"/>
  <c r="G212" i="19"/>
  <c r="I211" i="19"/>
  <c r="G211" i="19"/>
  <c r="I210" i="19"/>
  <c r="G210" i="19"/>
  <c r="I209" i="19"/>
  <c r="G209" i="19"/>
  <c r="I208" i="19"/>
  <c r="G208" i="19"/>
  <c r="I207" i="19"/>
  <c r="G207" i="19"/>
  <c r="I206" i="19"/>
  <c r="G206" i="19"/>
  <c r="I205" i="19"/>
  <c r="G205" i="19"/>
  <c r="I204" i="19"/>
  <c r="G204" i="19"/>
  <c r="I203" i="19"/>
  <c r="G203" i="19"/>
  <c r="I202" i="19"/>
  <c r="G202" i="19"/>
  <c r="I201" i="19"/>
  <c r="G201" i="19"/>
  <c r="I200" i="19"/>
  <c r="G200" i="19"/>
  <c r="I199" i="19"/>
  <c r="G199" i="19"/>
  <c r="I198" i="19"/>
  <c r="G198" i="19"/>
  <c r="I197" i="19"/>
  <c r="G197" i="19"/>
  <c r="I196" i="19"/>
  <c r="G196" i="19"/>
  <c r="I195" i="19"/>
  <c r="G195" i="19"/>
  <c r="I194" i="19"/>
  <c r="G194" i="19"/>
  <c r="I193" i="19"/>
  <c r="G193" i="19"/>
  <c r="I192" i="19"/>
  <c r="G192" i="19"/>
  <c r="I191" i="19"/>
  <c r="G191" i="19"/>
  <c r="I190" i="19"/>
  <c r="G190" i="19"/>
  <c r="I189" i="19"/>
  <c r="G189" i="19"/>
  <c r="I188" i="19"/>
  <c r="G188" i="19"/>
  <c r="I187" i="19"/>
  <c r="G187" i="19"/>
  <c r="I186" i="19"/>
  <c r="G186" i="19"/>
  <c r="I185" i="19"/>
  <c r="G185" i="19"/>
  <c r="I184" i="19"/>
  <c r="G184" i="19"/>
  <c r="I183" i="19"/>
  <c r="G183" i="19"/>
  <c r="I182" i="19"/>
  <c r="G182" i="19"/>
  <c r="I181" i="19"/>
  <c r="G181" i="19"/>
  <c r="I180" i="19"/>
  <c r="G180" i="19"/>
  <c r="I179" i="19"/>
  <c r="G179" i="19"/>
  <c r="I178" i="19"/>
  <c r="G178" i="19"/>
  <c r="I177" i="19"/>
  <c r="G177" i="19"/>
  <c r="I176" i="19"/>
  <c r="G176" i="19"/>
  <c r="I175" i="19"/>
  <c r="G175" i="19"/>
  <c r="I174" i="19"/>
  <c r="G174" i="19"/>
  <c r="I173" i="19"/>
  <c r="G173" i="19"/>
  <c r="I172" i="19"/>
  <c r="G172" i="19"/>
  <c r="I171" i="19"/>
  <c r="G171" i="19"/>
  <c r="I170" i="19"/>
  <c r="G170" i="19"/>
  <c r="I169" i="19"/>
  <c r="G169" i="19"/>
  <c r="I168" i="19"/>
  <c r="G168" i="19"/>
  <c r="I167" i="19"/>
  <c r="G167" i="19"/>
  <c r="I166" i="19"/>
  <c r="G166" i="19"/>
  <c r="I165" i="19"/>
  <c r="G165" i="19"/>
  <c r="I164" i="19"/>
  <c r="G164" i="19"/>
  <c r="I163" i="19"/>
  <c r="G163" i="19"/>
  <c r="I162" i="19"/>
  <c r="G162" i="19"/>
  <c r="I161" i="19"/>
  <c r="G161" i="19"/>
  <c r="I160" i="19"/>
  <c r="G160" i="19"/>
  <c r="I159" i="19"/>
  <c r="G159" i="19"/>
  <c r="I158" i="19"/>
  <c r="G158" i="19"/>
  <c r="I157" i="19"/>
  <c r="G157" i="19"/>
  <c r="I156" i="19"/>
  <c r="G156" i="19"/>
  <c r="I155" i="19"/>
  <c r="G155" i="19"/>
  <c r="I154" i="19"/>
  <c r="G154" i="19"/>
  <c r="I153" i="19"/>
  <c r="G153" i="19"/>
  <c r="I152" i="19"/>
  <c r="G152" i="19"/>
  <c r="I151" i="19"/>
  <c r="G151" i="19"/>
  <c r="I150" i="19"/>
  <c r="G150" i="19"/>
  <c r="I149" i="19"/>
  <c r="G149" i="19"/>
  <c r="I148" i="19"/>
  <c r="G148" i="19"/>
  <c r="I147" i="19"/>
  <c r="G147" i="19"/>
  <c r="I146" i="19"/>
  <c r="G146" i="19"/>
  <c r="I145" i="19"/>
  <c r="G145" i="19"/>
  <c r="I144" i="19"/>
  <c r="G144" i="19"/>
  <c r="I143" i="19"/>
  <c r="G143" i="19"/>
  <c r="I142" i="19"/>
  <c r="G142" i="19"/>
  <c r="I141" i="19"/>
  <c r="G141" i="19"/>
  <c r="I140" i="19"/>
  <c r="G140" i="19"/>
  <c r="I139" i="19"/>
  <c r="G139" i="19"/>
  <c r="I138" i="19"/>
  <c r="G138" i="19"/>
  <c r="I137" i="19"/>
  <c r="G137" i="19"/>
  <c r="I136" i="19"/>
  <c r="G136" i="19"/>
  <c r="I135" i="19"/>
  <c r="G135" i="19"/>
  <c r="I134" i="19"/>
  <c r="G134" i="19"/>
  <c r="I133" i="19"/>
  <c r="G133" i="19"/>
  <c r="I132" i="19"/>
  <c r="G132" i="19"/>
  <c r="I131" i="19"/>
  <c r="G131" i="19"/>
  <c r="I130" i="19"/>
  <c r="G130" i="19"/>
  <c r="I129" i="19"/>
  <c r="G129" i="19"/>
  <c r="I128" i="19"/>
  <c r="G128" i="19"/>
  <c r="I127" i="19"/>
  <c r="G127" i="19"/>
  <c r="I126" i="19"/>
  <c r="G126" i="19"/>
  <c r="I125" i="19"/>
  <c r="G125" i="19"/>
  <c r="I124" i="19"/>
  <c r="G124" i="19"/>
  <c r="I123" i="19"/>
  <c r="G123" i="19"/>
  <c r="I122" i="19"/>
  <c r="G122" i="19"/>
  <c r="I121" i="19"/>
  <c r="G121" i="19"/>
  <c r="I120" i="19"/>
  <c r="G120" i="19"/>
  <c r="I119" i="19"/>
  <c r="G119" i="19"/>
  <c r="I118" i="19"/>
  <c r="G118" i="19"/>
  <c r="I117" i="19"/>
  <c r="G117" i="19"/>
  <c r="I116" i="19"/>
  <c r="G116" i="19"/>
  <c r="I115" i="19"/>
  <c r="G115" i="19"/>
  <c r="I114" i="19"/>
  <c r="G114" i="19"/>
  <c r="I113" i="19"/>
  <c r="G113" i="19"/>
  <c r="I112" i="19"/>
  <c r="G112" i="19"/>
  <c r="I111" i="19"/>
  <c r="G111" i="19"/>
  <c r="I110" i="19"/>
  <c r="G110" i="19"/>
  <c r="I109" i="19"/>
  <c r="G109" i="19"/>
  <c r="I108" i="19"/>
  <c r="G108" i="19"/>
  <c r="I107" i="19"/>
  <c r="G107" i="19"/>
  <c r="I106" i="19"/>
  <c r="G106" i="19"/>
  <c r="I105" i="19"/>
  <c r="G105" i="19"/>
  <c r="I104" i="19"/>
  <c r="G104" i="19"/>
  <c r="I103" i="19"/>
  <c r="G103" i="19"/>
  <c r="I102" i="19"/>
  <c r="G102" i="19"/>
  <c r="I101" i="19"/>
  <c r="G101" i="19"/>
  <c r="I100" i="19"/>
  <c r="G100" i="19"/>
  <c r="I99" i="19"/>
  <c r="G99" i="19"/>
  <c r="I98" i="19"/>
  <c r="G98" i="19"/>
  <c r="I97" i="19"/>
  <c r="G97" i="19"/>
  <c r="I96" i="19"/>
  <c r="G96" i="19"/>
  <c r="I95" i="19"/>
  <c r="G95" i="19"/>
  <c r="I94" i="19"/>
  <c r="G94" i="19"/>
  <c r="I93" i="19"/>
  <c r="G93" i="19"/>
  <c r="I92" i="19"/>
  <c r="G92" i="19"/>
  <c r="I91" i="19"/>
  <c r="G91" i="19"/>
  <c r="I90" i="19"/>
  <c r="G90" i="19"/>
  <c r="I89" i="19"/>
  <c r="G89" i="19"/>
  <c r="I88" i="19"/>
  <c r="G88" i="19"/>
  <c r="I87" i="19"/>
  <c r="G87" i="19"/>
  <c r="I86" i="19"/>
  <c r="G86" i="19"/>
  <c r="I85" i="19"/>
  <c r="G85" i="19"/>
  <c r="I84" i="19"/>
  <c r="G84" i="19"/>
  <c r="I83" i="19"/>
  <c r="G83" i="19"/>
  <c r="I82" i="19"/>
  <c r="G82" i="19"/>
  <c r="I81" i="19"/>
  <c r="G81" i="19"/>
  <c r="I80" i="19"/>
  <c r="G80" i="19"/>
  <c r="I79" i="19"/>
  <c r="G79" i="19"/>
  <c r="I78" i="19"/>
  <c r="G78" i="19"/>
  <c r="I77" i="19"/>
  <c r="G77" i="19"/>
  <c r="I76" i="19"/>
  <c r="G76" i="19"/>
  <c r="I75" i="19"/>
  <c r="G75" i="19"/>
  <c r="I74" i="19"/>
  <c r="G74" i="19"/>
  <c r="I73" i="19"/>
  <c r="G73" i="19"/>
  <c r="I72" i="19"/>
  <c r="G72" i="19"/>
  <c r="I71" i="19"/>
  <c r="G71" i="19"/>
  <c r="I70" i="19"/>
  <c r="G70" i="19"/>
  <c r="I69" i="19"/>
  <c r="G69" i="19"/>
  <c r="I68" i="19"/>
  <c r="G68" i="19"/>
  <c r="I67" i="19"/>
  <c r="G67" i="19"/>
  <c r="I66" i="19"/>
  <c r="G66" i="19"/>
  <c r="I65" i="19"/>
  <c r="G65" i="19"/>
  <c r="I64" i="19"/>
  <c r="G64" i="19"/>
  <c r="I63" i="19"/>
  <c r="G63" i="19"/>
  <c r="I62" i="19"/>
  <c r="G62" i="19"/>
  <c r="I61" i="19"/>
  <c r="G61" i="19"/>
  <c r="I60" i="19"/>
  <c r="G60" i="19"/>
  <c r="I59" i="19"/>
  <c r="G59" i="19"/>
  <c r="I58" i="19"/>
  <c r="G58" i="19"/>
  <c r="I57" i="19"/>
  <c r="G57" i="19"/>
  <c r="I56" i="19"/>
  <c r="G56" i="19"/>
  <c r="I55" i="19"/>
  <c r="G55" i="19"/>
  <c r="I54" i="19"/>
  <c r="G54" i="19"/>
  <c r="I53" i="19"/>
  <c r="G53" i="19"/>
  <c r="I52" i="19"/>
  <c r="G52" i="19"/>
  <c r="I51" i="19"/>
  <c r="G51" i="19"/>
  <c r="I50" i="19"/>
  <c r="G50" i="19"/>
  <c r="I49" i="19"/>
  <c r="G49" i="19"/>
  <c r="I48" i="19"/>
  <c r="G48" i="19"/>
  <c r="I47" i="19"/>
  <c r="G47" i="19"/>
  <c r="I46" i="19"/>
  <c r="G46" i="19"/>
  <c r="I45" i="19"/>
  <c r="G45" i="19"/>
  <c r="I44" i="19"/>
  <c r="G44" i="19"/>
  <c r="I43" i="19"/>
  <c r="G43" i="19"/>
  <c r="I42" i="19"/>
  <c r="G42" i="19"/>
  <c r="I41" i="19"/>
  <c r="G41" i="19"/>
  <c r="I40" i="19"/>
  <c r="G40" i="19"/>
  <c r="I39" i="19"/>
  <c r="G39" i="19"/>
  <c r="I38" i="19"/>
  <c r="G38" i="19"/>
  <c r="I37" i="19"/>
  <c r="G37" i="19"/>
  <c r="I36" i="19"/>
  <c r="G36" i="19"/>
  <c r="I35" i="19"/>
  <c r="G35" i="19"/>
  <c r="I34" i="19"/>
  <c r="G34" i="19"/>
  <c r="I33" i="19"/>
  <c r="G33" i="19"/>
  <c r="I32" i="19"/>
  <c r="G32" i="19"/>
  <c r="I31" i="19"/>
  <c r="G31" i="19"/>
  <c r="I30" i="19"/>
  <c r="G30" i="19"/>
  <c r="I29" i="19"/>
  <c r="G29" i="19"/>
  <c r="I28" i="19"/>
  <c r="G28" i="19"/>
  <c r="I27" i="19"/>
  <c r="G27" i="19"/>
  <c r="I26" i="19"/>
  <c r="G26" i="19"/>
  <c r="I25" i="19"/>
  <c r="G25" i="19"/>
  <c r="I24" i="19"/>
  <c r="G24" i="19"/>
  <c r="I23" i="19"/>
  <c r="G23" i="19"/>
  <c r="I22" i="19"/>
  <c r="G22" i="19"/>
  <c r="I21" i="19"/>
  <c r="G21" i="19"/>
  <c r="I20" i="19"/>
  <c r="G20" i="19"/>
  <c r="I19" i="19"/>
  <c r="G19" i="19"/>
  <c r="I18" i="19"/>
  <c r="G18" i="19"/>
  <c r="I17" i="19"/>
  <c r="G17" i="19"/>
  <c r="I16" i="19"/>
  <c r="G16" i="19"/>
  <c r="I15" i="19"/>
  <c r="G15" i="19"/>
  <c r="I14" i="19"/>
  <c r="G14" i="19"/>
  <c r="I13" i="19"/>
  <c r="G13" i="19"/>
  <c r="I12" i="19"/>
  <c r="G12" i="19"/>
  <c r="I11" i="19"/>
  <c r="G11" i="19"/>
  <c r="I10" i="19"/>
  <c r="G10" i="19"/>
  <c r="I9" i="19"/>
  <c r="G9" i="19"/>
  <c r="I8" i="19"/>
  <c r="G8" i="19"/>
  <c r="I7" i="19"/>
  <c r="G7" i="19"/>
  <c r="I6" i="19"/>
  <c r="G6" i="19"/>
  <c r="I5" i="19"/>
  <c r="G5" i="19"/>
  <c r="I4" i="19"/>
  <c r="G4" i="19"/>
  <c r="I3" i="19"/>
  <c r="G3" i="19"/>
  <c r="I2" i="19"/>
  <c r="G2" i="19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15" i="17"/>
  <c r="K114" i="17"/>
  <c r="K113" i="17"/>
  <c r="K112" i="17"/>
  <c r="K111" i="17"/>
  <c r="K110" i="17"/>
  <c r="K109" i="17"/>
  <c r="K108" i="17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K2" i="17"/>
  <c r="F33" i="16"/>
  <c r="E33" i="16"/>
  <c r="G33" i="16" s="1"/>
  <c r="G32" i="16"/>
  <c r="F32" i="16"/>
  <c r="E32" i="16"/>
  <c r="E31" i="16"/>
  <c r="G31" i="16" s="1"/>
  <c r="G30" i="16"/>
  <c r="F30" i="16"/>
  <c r="E30" i="16"/>
  <c r="G29" i="16"/>
  <c r="F29" i="16"/>
  <c r="E29" i="16"/>
  <c r="G28" i="16"/>
  <c r="F28" i="16"/>
  <c r="E28" i="16"/>
  <c r="E27" i="16"/>
  <c r="G27" i="16" s="1"/>
  <c r="E26" i="16"/>
  <c r="F26" i="16" s="1"/>
  <c r="F25" i="16"/>
  <c r="E25" i="16"/>
  <c r="G25" i="16" s="1"/>
  <c r="E24" i="16"/>
  <c r="F24" i="16" s="1"/>
  <c r="E23" i="16"/>
  <c r="F23" i="16" s="1"/>
  <c r="E22" i="16"/>
  <c r="G22" i="16" s="1"/>
  <c r="E21" i="16"/>
  <c r="G21" i="16" s="1"/>
  <c r="E20" i="16"/>
  <c r="G20" i="16" s="1"/>
  <c r="E19" i="16"/>
  <c r="G19" i="16" s="1"/>
  <c r="F18" i="16"/>
  <c r="E18" i="16"/>
  <c r="G18" i="16" s="1"/>
  <c r="E17" i="16"/>
  <c r="F17" i="16" s="1"/>
  <c r="E16" i="16"/>
  <c r="G16" i="16" s="1"/>
  <c r="G15" i="16"/>
  <c r="F15" i="16"/>
  <c r="E15" i="16"/>
  <c r="E14" i="16"/>
  <c r="G14" i="16" s="1"/>
  <c r="G13" i="16"/>
  <c r="E13" i="16"/>
  <c r="F13" i="16" s="1"/>
  <c r="E12" i="16"/>
  <c r="G12" i="16" s="1"/>
  <c r="G11" i="16"/>
  <c r="E11" i="16"/>
  <c r="F11" i="16" s="1"/>
  <c r="G10" i="16"/>
  <c r="E10" i="16"/>
  <c r="F10" i="16" s="1"/>
  <c r="G9" i="16"/>
  <c r="E9" i="16"/>
  <c r="F9" i="16" s="1"/>
  <c r="E8" i="16"/>
  <c r="G8" i="16" s="1"/>
  <c r="E7" i="16"/>
  <c r="F7" i="16" s="1"/>
  <c r="E6" i="16"/>
  <c r="G6" i="16" s="1"/>
  <c r="E5" i="16"/>
  <c r="G5" i="16" s="1"/>
  <c r="G4" i="16"/>
  <c r="F4" i="16"/>
  <c r="E4" i="16"/>
  <c r="E3" i="16"/>
  <c r="G3" i="16" s="1"/>
  <c r="G2" i="16"/>
  <c r="F2" i="16"/>
  <c r="E2" i="16"/>
  <c r="E33" i="15"/>
  <c r="G33" i="15" s="1"/>
  <c r="E32" i="15"/>
  <c r="G32" i="15" s="1"/>
  <c r="G31" i="15"/>
  <c r="F31" i="15"/>
  <c r="E31" i="15"/>
  <c r="E30" i="15"/>
  <c r="G30" i="15" s="1"/>
  <c r="E29" i="15"/>
  <c r="G29" i="15" s="1"/>
  <c r="G28" i="15"/>
  <c r="F28" i="15"/>
  <c r="E28" i="15"/>
  <c r="E27" i="15"/>
  <c r="G27" i="15" s="1"/>
  <c r="E26" i="15"/>
  <c r="G26" i="15" s="1"/>
  <c r="E25" i="15"/>
  <c r="G25" i="15" s="1"/>
  <c r="G24" i="15"/>
  <c r="E24" i="15"/>
  <c r="F24" i="15" s="1"/>
  <c r="E23" i="15"/>
  <c r="G23" i="15" s="1"/>
  <c r="E22" i="15"/>
  <c r="G22" i="15" s="1"/>
  <c r="E21" i="15"/>
  <c r="G21" i="15" s="1"/>
  <c r="E20" i="15"/>
  <c r="G20" i="15" s="1"/>
  <c r="E19" i="15"/>
  <c r="G19" i="15" s="1"/>
  <c r="E18" i="15"/>
  <c r="G18" i="15" s="1"/>
  <c r="E17" i="15"/>
  <c r="G17" i="15" s="1"/>
  <c r="E16" i="15"/>
  <c r="G16" i="15" s="1"/>
  <c r="G15" i="15"/>
  <c r="F15" i="15"/>
  <c r="E15" i="15"/>
  <c r="E14" i="15"/>
  <c r="G14" i="15" s="1"/>
  <c r="E13" i="15"/>
  <c r="G13" i="15" s="1"/>
  <c r="G12" i="15"/>
  <c r="E12" i="15"/>
  <c r="F12" i="15" s="1"/>
  <c r="E11" i="15"/>
  <c r="G11" i="15" s="1"/>
  <c r="E10" i="15"/>
  <c r="F10" i="15" s="1"/>
  <c r="G9" i="15"/>
  <c r="E9" i="15"/>
  <c r="F9" i="15" s="1"/>
  <c r="E8" i="15"/>
  <c r="G8" i="15" s="1"/>
  <c r="E7" i="15"/>
  <c r="G7" i="15" s="1"/>
  <c r="E6" i="15"/>
  <c r="G6" i="15" s="1"/>
  <c r="E5" i="15"/>
  <c r="G5" i="15" s="1"/>
  <c r="E4" i="15"/>
  <c r="G4" i="15" s="1"/>
  <c r="G3" i="15"/>
  <c r="F3" i="15"/>
  <c r="E3" i="15"/>
  <c r="E2" i="15"/>
  <c r="G2" i="15" s="1"/>
  <c r="J2" i="12"/>
  <c r="J610" i="12"/>
  <c r="I610" i="12"/>
  <c r="J609" i="12"/>
  <c r="I609" i="12"/>
  <c r="J608" i="12"/>
  <c r="I608" i="12"/>
  <c r="J607" i="12"/>
  <c r="I607" i="12"/>
  <c r="J606" i="12"/>
  <c r="I606" i="12"/>
  <c r="J605" i="12"/>
  <c r="I605" i="12"/>
  <c r="J604" i="12"/>
  <c r="I604" i="12"/>
  <c r="J603" i="12"/>
  <c r="I603" i="12"/>
  <c r="J602" i="12"/>
  <c r="I602" i="12"/>
  <c r="J601" i="12"/>
  <c r="I601" i="12"/>
  <c r="J600" i="12"/>
  <c r="I600" i="12"/>
  <c r="J599" i="12"/>
  <c r="I599" i="12"/>
  <c r="J598" i="12"/>
  <c r="I598" i="12"/>
  <c r="J597" i="12"/>
  <c r="I597" i="12"/>
  <c r="J596" i="12"/>
  <c r="I596" i="12"/>
  <c r="J595" i="12"/>
  <c r="I595" i="12"/>
  <c r="J594" i="12"/>
  <c r="I594" i="12"/>
  <c r="J593" i="12"/>
  <c r="I593" i="12"/>
  <c r="J592" i="12"/>
  <c r="I592" i="12"/>
  <c r="J591" i="12"/>
  <c r="I591" i="12"/>
  <c r="J590" i="12"/>
  <c r="I590" i="12"/>
  <c r="J589" i="12"/>
  <c r="I589" i="12"/>
  <c r="J588" i="12"/>
  <c r="I588" i="12"/>
  <c r="J587" i="12"/>
  <c r="I587" i="12"/>
  <c r="J586" i="12"/>
  <c r="I586" i="12"/>
  <c r="J585" i="12"/>
  <c r="I585" i="12"/>
  <c r="J584" i="12"/>
  <c r="I584" i="12"/>
  <c r="J583" i="12"/>
  <c r="I583" i="12"/>
  <c r="J582" i="12"/>
  <c r="I582" i="12"/>
  <c r="J581" i="12"/>
  <c r="I581" i="12"/>
  <c r="J580" i="12"/>
  <c r="I580" i="12"/>
  <c r="J579" i="12"/>
  <c r="I579" i="12"/>
  <c r="J578" i="12"/>
  <c r="I578" i="12"/>
  <c r="J577" i="12"/>
  <c r="I577" i="12"/>
  <c r="J576" i="12"/>
  <c r="I576" i="12"/>
  <c r="J575" i="12"/>
  <c r="I575" i="12"/>
  <c r="J574" i="12"/>
  <c r="I574" i="12"/>
  <c r="J573" i="12"/>
  <c r="I573" i="12"/>
  <c r="J572" i="12"/>
  <c r="I572" i="12"/>
  <c r="J571" i="12"/>
  <c r="I571" i="12"/>
  <c r="J570" i="12"/>
  <c r="I570" i="12"/>
  <c r="J569" i="12"/>
  <c r="I569" i="12"/>
  <c r="J568" i="12"/>
  <c r="I568" i="12"/>
  <c r="J567" i="12"/>
  <c r="I567" i="12"/>
  <c r="J566" i="12"/>
  <c r="I566" i="12"/>
  <c r="J565" i="12"/>
  <c r="I565" i="12"/>
  <c r="J564" i="12"/>
  <c r="I564" i="12"/>
  <c r="J563" i="12"/>
  <c r="I563" i="12"/>
  <c r="J562" i="12"/>
  <c r="I562" i="12"/>
  <c r="J561" i="12"/>
  <c r="I561" i="12"/>
  <c r="J560" i="12"/>
  <c r="I560" i="12"/>
  <c r="J559" i="12"/>
  <c r="I559" i="12"/>
  <c r="J558" i="12"/>
  <c r="I558" i="12"/>
  <c r="J557" i="12"/>
  <c r="I557" i="12"/>
  <c r="J556" i="12"/>
  <c r="I556" i="12"/>
  <c r="J555" i="12"/>
  <c r="I555" i="12"/>
  <c r="J554" i="12"/>
  <c r="I554" i="12"/>
  <c r="J553" i="12"/>
  <c r="I553" i="12"/>
  <c r="J552" i="12"/>
  <c r="I552" i="12"/>
  <c r="J551" i="12"/>
  <c r="I551" i="12"/>
  <c r="J550" i="12"/>
  <c r="I550" i="12"/>
  <c r="J549" i="12"/>
  <c r="I549" i="12"/>
  <c r="J548" i="12"/>
  <c r="I548" i="12"/>
  <c r="J547" i="12"/>
  <c r="I547" i="12"/>
  <c r="J546" i="12"/>
  <c r="I546" i="12"/>
  <c r="J545" i="12"/>
  <c r="I545" i="12"/>
  <c r="J544" i="12"/>
  <c r="I544" i="12"/>
  <c r="J543" i="12"/>
  <c r="I543" i="12"/>
  <c r="J542" i="12"/>
  <c r="I542" i="12"/>
  <c r="J541" i="12"/>
  <c r="I541" i="12"/>
  <c r="J540" i="12"/>
  <c r="I540" i="12"/>
  <c r="J539" i="12"/>
  <c r="I539" i="12"/>
  <c r="J538" i="12"/>
  <c r="I538" i="12"/>
  <c r="J537" i="12"/>
  <c r="I537" i="12"/>
  <c r="J536" i="12"/>
  <c r="I536" i="12"/>
  <c r="J535" i="12"/>
  <c r="I535" i="12"/>
  <c r="J534" i="12"/>
  <c r="I534" i="12"/>
  <c r="J533" i="12"/>
  <c r="I533" i="12"/>
  <c r="J532" i="12"/>
  <c r="I532" i="12"/>
  <c r="J531" i="12"/>
  <c r="I531" i="12"/>
  <c r="J530" i="12"/>
  <c r="I530" i="12"/>
  <c r="J529" i="12"/>
  <c r="I529" i="12"/>
  <c r="J528" i="12"/>
  <c r="I528" i="12"/>
  <c r="J527" i="12"/>
  <c r="I527" i="12"/>
  <c r="J526" i="12"/>
  <c r="I526" i="12"/>
  <c r="J525" i="12"/>
  <c r="I525" i="12"/>
  <c r="J524" i="12"/>
  <c r="I524" i="12"/>
  <c r="J523" i="12"/>
  <c r="I523" i="12"/>
  <c r="J522" i="12"/>
  <c r="I522" i="12"/>
  <c r="J521" i="12"/>
  <c r="I521" i="12"/>
  <c r="J520" i="12"/>
  <c r="I520" i="12"/>
  <c r="J519" i="12"/>
  <c r="I519" i="12"/>
  <c r="J518" i="12"/>
  <c r="I518" i="12"/>
  <c r="J517" i="12"/>
  <c r="I517" i="12"/>
  <c r="J516" i="12"/>
  <c r="I516" i="12"/>
  <c r="J515" i="12"/>
  <c r="I515" i="12"/>
  <c r="J514" i="12"/>
  <c r="I514" i="12"/>
  <c r="J513" i="12"/>
  <c r="I513" i="12"/>
  <c r="J512" i="12"/>
  <c r="I512" i="12"/>
  <c r="J511" i="12"/>
  <c r="I511" i="12"/>
  <c r="J510" i="12"/>
  <c r="I510" i="12"/>
  <c r="J509" i="12"/>
  <c r="I509" i="12"/>
  <c r="J508" i="12"/>
  <c r="I508" i="12"/>
  <c r="J507" i="12"/>
  <c r="I507" i="12"/>
  <c r="J506" i="12"/>
  <c r="I506" i="12"/>
  <c r="J505" i="12"/>
  <c r="I505" i="12"/>
  <c r="J504" i="12"/>
  <c r="I504" i="12"/>
  <c r="J503" i="12"/>
  <c r="I503" i="12"/>
  <c r="J502" i="12"/>
  <c r="I502" i="12"/>
  <c r="J501" i="12"/>
  <c r="I501" i="12"/>
  <c r="J500" i="12"/>
  <c r="I500" i="12"/>
  <c r="J499" i="12"/>
  <c r="I499" i="12"/>
  <c r="J498" i="12"/>
  <c r="I498" i="12"/>
  <c r="J497" i="12"/>
  <c r="I497" i="12"/>
  <c r="J496" i="12"/>
  <c r="I496" i="12"/>
  <c r="J495" i="12"/>
  <c r="I495" i="12"/>
  <c r="J494" i="12"/>
  <c r="I494" i="12"/>
  <c r="J493" i="12"/>
  <c r="I493" i="12"/>
  <c r="J492" i="12"/>
  <c r="I492" i="12"/>
  <c r="J491" i="12"/>
  <c r="I491" i="12"/>
  <c r="J490" i="12"/>
  <c r="I490" i="12"/>
  <c r="J489" i="12"/>
  <c r="I489" i="12"/>
  <c r="J488" i="12"/>
  <c r="I488" i="12"/>
  <c r="J487" i="12"/>
  <c r="I487" i="12"/>
  <c r="J486" i="12"/>
  <c r="I486" i="12"/>
  <c r="J485" i="12"/>
  <c r="I485" i="12"/>
  <c r="J484" i="12"/>
  <c r="I484" i="12"/>
  <c r="J483" i="12"/>
  <c r="I483" i="12"/>
  <c r="J482" i="12"/>
  <c r="I482" i="12"/>
  <c r="J481" i="12"/>
  <c r="I481" i="12"/>
  <c r="J480" i="12"/>
  <c r="I480" i="12"/>
  <c r="J479" i="12"/>
  <c r="I479" i="12"/>
  <c r="J478" i="12"/>
  <c r="I478" i="12"/>
  <c r="J477" i="12"/>
  <c r="I477" i="12"/>
  <c r="J476" i="12"/>
  <c r="I476" i="12"/>
  <c r="J475" i="12"/>
  <c r="I475" i="12"/>
  <c r="J474" i="12"/>
  <c r="I474" i="12"/>
  <c r="J473" i="12"/>
  <c r="I473" i="12"/>
  <c r="J472" i="12"/>
  <c r="I472" i="12"/>
  <c r="J471" i="12"/>
  <c r="I471" i="12"/>
  <c r="J470" i="12"/>
  <c r="I470" i="12"/>
  <c r="J469" i="12"/>
  <c r="I469" i="12"/>
  <c r="J468" i="12"/>
  <c r="I468" i="12"/>
  <c r="J467" i="12"/>
  <c r="I467" i="12"/>
  <c r="J466" i="12"/>
  <c r="I466" i="12"/>
  <c r="J465" i="12"/>
  <c r="I465" i="12"/>
  <c r="J464" i="12"/>
  <c r="I464" i="12"/>
  <c r="J463" i="12"/>
  <c r="I463" i="12"/>
  <c r="J462" i="12"/>
  <c r="I462" i="12"/>
  <c r="J461" i="12"/>
  <c r="I461" i="12"/>
  <c r="J460" i="12"/>
  <c r="I460" i="12"/>
  <c r="J459" i="12"/>
  <c r="I459" i="12"/>
  <c r="J458" i="12"/>
  <c r="I458" i="12"/>
  <c r="J457" i="12"/>
  <c r="I457" i="12"/>
  <c r="J456" i="12"/>
  <c r="I456" i="12"/>
  <c r="J455" i="12"/>
  <c r="I455" i="12"/>
  <c r="J454" i="12"/>
  <c r="I454" i="12"/>
  <c r="J453" i="12"/>
  <c r="I453" i="12"/>
  <c r="J452" i="12"/>
  <c r="I452" i="12"/>
  <c r="J451" i="12"/>
  <c r="I451" i="12"/>
  <c r="J450" i="12"/>
  <c r="I450" i="12"/>
  <c r="J449" i="12"/>
  <c r="I449" i="12"/>
  <c r="J448" i="12"/>
  <c r="I448" i="12"/>
  <c r="J447" i="12"/>
  <c r="I447" i="12"/>
  <c r="J446" i="12"/>
  <c r="I446" i="12"/>
  <c r="J445" i="12"/>
  <c r="I445" i="12"/>
  <c r="J444" i="12"/>
  <c r="I444" i="12"/>
  <c r="J443" i="12"/>
  <c r="I443" i="12"/>
  <c r="J442" i="12"/>
  <c r="I442" i="12"/>
  <c r="J441" i="12"/>
  <c r="I441" i="12"/>
  <c r="J440" i="12"/>
  <c r="I440" i="12"/>
  <c r="J439" i="12"/>
  <c r="I439" i="12"/>
  <c r="J438" i="12"/>
  <c r="I438" i="12"/>
  <c r="J437" i="12"/>
  <c r="I437" i="12"/>
  <c r="J436" i="12"/>
  <c r="I436" i="12"/>
  <c r="J435" i="12"/>
  <c r="I435" i="12"/>
  <c r="J434" i="12"/>
  <c r="I434" i="12"/>
  <c r="J433" i="12"/>
  <c r="I433" i="12"/>
  <c r="J432" i="12"/>
  <c r="I432" i="12"/>
  <c r="J431" i="12"/>
  <c r="I431" i="12"/>
  <c r="J430" i="12"/>
  <c r="I430" i="12"/>
  <c r="J429" i="12"/>
  <c r="I429" i="12"/>
  <c r="J428" i="12"/>
  <c r="I428" i="12"/>
  <c r="J427" i="12"/>
  <c r="I427" i="12"/>
  <c r="J426" i="12"/>
  <c r="I426" i="12"/>
  <c r="J425" i="12"/>
  <c r="I425" i="12"/>
  <c r="J424" i="12"/>
  <c r="I424" i="12"/>
  <c r="J423" i="12"/>
  <c r="I423" i="12"/>
  <c r="J422" i="12"/>
  <c r="I422" i="12"/>
  <c r="J421" i="12"/>
  <c r="I421" i="12"/>
  <c r="J420" i="12"/>
  <c r="I420" i="12"/>
  <c r="J419" i="12"/>
  <c r="I419" i="12"/>
  <c r="J418" i="12"/>
  <c r="I418" i="12"/>
  <c r="J417" i="12"/>
  <c r="I417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J399" i="12"/>
  <c r="I399" i="12"/>
  <c r="J398" i="12"/>
  <c r="I398" i="12"/>
  <c r="J397" i="12"/>
  <c r="I397" i="12"/>
  <c r="J396" i="12"/>
  <c r="I396" i="12"/>
  <c r="J395" i="12"/>
  <c r="I395" i="12"/>
  <c r="J394" i="12"/>
  <c r="I394" i="12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6" i="12"/>
  <c r="I386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3" i="12"/>
  <c r="I373" i="12"/>
  <c r="J372" i="12"/>
  <c r="I372" i="12"/>
  <c r="J371" i="12"/>
  <c r="I371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I360" i="12"/>
  <c r="J359" i="12"/>
  <c r="I359" i="12"/>
  <c r="J358" i="12"/>
  <c r="I358" i="12"/>
  <c r="J357" i="12"/>
  <c r="I357" i="12"/>
  <c r="J356" i="12"/>
  <c r="I356" i="12"/>
  <c r="J355" i="12"/>
  <c r="I355" i="12"/>
  <c r="J354" i="12"/>
  <c r="I354" i="12"/>
  <c r="J353" i="12"/>
  <c r="I353" i="12"/>
  <c r="J352" i="12"/>
  <c r="I352" i="12"/>
  <c r="J351" i="12"/>
  <c r="I351" i="12"/>
  <c r="J350" i="12"/>
  <c r="I350" i="12"/>
  <c r="J349" i="12"/>
  <c r="I349" i="12"/>
  <c r="J348" i="12"/>
  <c r="I348" i="12"/>
  <c r="J347" i="12"/>
  <c r="I347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J339" i="12"/>
  <c r="I339" i="12"/>
  <c r="J338" i="12"/>
  <c r="I338" i="12"/>
  <c r="J337" i="12"/>
  <c r="I337" i="12"/>
  <c r="J336" i="12"/>
  <c r="I336" i="12"/>
  <c r="J335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6" i="12"/>
  <c r="I326" i="12"/>
  <c r="J325" i="12"/>
  <c r="I325" i="12"/>
  <c r="J324" i="12"/>
  <c r="I324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3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J290" i="12"/>
  <c r="I290" i="12"/>
  <c r="J289" i="12"/>
  <c r="I289" i="12"/>
  <c r="J288" i="12"/>
  <c r="I288" i="12"/>
  <c r="J287" i="12"/>
  <c r="I287" i="12"/>
  <c r="J286" i="12"/>
  <c r="I286" i="12"/>
  <c r="J285" i="12"/>
  <c r="I285" i="12"/>
  <c r="J284" i="12"/>
  <c r="I284" i="12"/>
  <c r="J283" i="12"/>
  <c r="I283" i="12"/>
  <c r="J282" i="12"/>
  <c r="I282" i="12"/>
  <c r="J281" i="12"/>
  <c r="I281" i="12"/>
  <c r="J280" i="12"/>
  <c r="I280" i="12"/>
  <c r="J279" i="12"/>
  <c r="I279" i="12"/>
  <c r="J278" i="12"/>
  <c r="I278" i="12"/>
  <c r="J277" i="12"/>
  <c r="I277" i="12"/>
  <c r="J276" i="12"/>
  <c r="I276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6" i="12"/>
  <c r="I256" i="12"/>
  <c r="J255" i="12"/>
  <c r="I255" i="12"/>
  <c r="J254" i="12"/>
  <c r="I254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3" i="12"/>
  <c r="I233" i="12"/>
  <c r="J232" i="12"/>
  <c r="I232" i="12"/>
  <c r="J231" i="12"/>
  <c r="I231" i="12"/>
  <c r="J230" i="12"/>
  <c r="I230" i="12"/>
  <c r="J229" i="12"/>
  <c r="I229" i="12"/>
  <c r="J228" i="12"/>
  <c r="I228" i="12"/>
  <c r="J227" i="12"/>
  <c r="I227" i="12"/>
  <c r="J226" i="12"/>
  <c r="I226" i="12"/>
  <c r="J225" i="12"/>
  <c r="I225" i="12"/>
  <c r="J224" i="12"/>
  <c r="I224" i="12"/>
  <c r="J223" i="12"/>
  <c r="I223" i="12"/>
  <c r="J222" i="12"/>
  <c r="I222" i="12"/>
  <c r="J221" i="12"/>
  <c r="I221" i="12"/>
  <c r="J220" i="12"/>
  <c r="I220" i="12"/>
  <c r="J219" i="12"/>
  <c r="I219" i="12"/>
  <c r="J218" i="12"/>
  <c r="I218" i="12"/>
  <c r="J217" i="12"/>
  <c r="I217" i="12"/>
  <c r="J216" i="12"/>
  <c r="I216" i="12"/>
  <c r="J215" i="12"/>
  <c r="I215" i="12"/>
  <c r="J214" i="12"/>
  <c r="I214" i="12"/>
  <c r="J213" i="12"/>
  <c r="I213" i="12"/>
  <c r="J212" i="12"/>
  <c r="I212" i="12"/>
  <c r="J211" i="12"/>
  <c r="I211" i="12"/>
  <c r="J210" i="12"/>
  <c r="I210" i="12"/>
  <c r="J209" i="12"/>
  <c r="I209" i="12"/>
  <c r="J208" i="12"/>
  <c r="I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J199" i="12"/>
  <c r="I199" i="12"/>
  <c r="J198" i="12"/>
  <c r="I198" i="12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J188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6" i="12"/>
  <c r="I166" i="12"/>
  <c r="J165" i="12"/>
  <c r="I165" i="12"/>
  <c r="J164" i="12"/>
  <c r="I164" i="12"/>
  <c r="J163" i="12"/>
  <c r="I163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I152" i="12"/>
  <c r="J151" i="12"/>
  <c r="I151" i="12"/>
  <c r="J150" i="12"/>
  <c r="I150" i="12"/>
  <c r="J149" i="12"/>
  <c r="I149" i="12"/>
  <c r="J148" i="12"/>
  <c r="I148" i="12"/>
  <c r="J147" i="12"/>
  <c r="I147" i="12"/>
  <c r="J146" i="12"/>
  <c r="I146" i="12"/>
  <c r="J145" i="12"/>
  <c r="I145" i="12"/>
  <c r="J144" i="12"/>
  <c r="I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30" i="12"/>
  <c r="I130" i="12"/>
  <c r="J129" i="12"/>
  <c r="I129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9" i="12"/>
  <c r="I119" i="12"/>
  <c r="J118" i="12"/>
  <c r="I118" i="12"/>
  <c r="J117" i="12"/>
  <c r="I117" i="12"/>
  <c r="J116" i="12"/>
  <c r="I116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I2" i="12"/>
  <c r="I610" i="11"/>
  <c r="G610" i="11"/>
  <c r="I609" i="11"/>
  <c r="G609" i="11"/>
  <c r="I608" i="11"/>
  <c r="G608" i="11"/>
  <c r="I607" i="11"/>
  <c r="G607" i="11"/>
  <c r="I606" i="11"/>
  <c r="G606" i="11"/>
  <c r="I605" i="11"/>
  <c r="G605" i="11"/>
  <c r="I604" i="11"/>
  <c r="G604" i="11"/>
  <c r="I603" i="11"/>
  <c r="G603" i="11"/>
  <c r="I602" i="11"/>
  <c r="G602" i="11"/>
  <c r="I601" i="11"/>
  <c r="G601" i="11"/>
  <c r="I600" i="11"/>
  <c r="G600" i="11"/>
  <c r="I599" i="11"/>
  <c r="G599" i="11"/>
  <c r="I598" i="11"/>
  <c r="G598" i="11"/>
  <c r="I597" i="11"/>
  <c r="G597" i="11"/>
  <c r="I596" i="11"/>
  <c r="G596" i="11"/>
  <c r="I595" i="11"/>
  <c r="G595" i="11"/>
  <c r="I594" i="11"/>
  <c r="G594" i="11"/>
  <c r="I593" i="11"/>
  <c r="G593" i="11"/>
  <c r="I592" i="11"/>
  <c r="G592" i="11"/>
  <c r="I591" i="11"/>
  <c r="G591" i="11"/>
  <c r="I590" i="11"/>
  <c r="G590" i="11"/>
  <c r="I589" i="11"/>
  <c r="G589" i="11"/>
  <c r="I588" i="11"/>
  <c r="G588" i="11"/>
  <c r="I587" i="11"/>
  <c r="G587" i="11"/>
  <c r="I586" i="11"/>
  <c r="G586" i="11"/>
  <c r="I585" i="11"/>
  <c r="G585" i="11"/>
  <c r="I584" i="11"/>
  <c r="G584" i="11"/>
  <c r="I583" i="11"/>
  <c r="G583" i="11"/>
  <c r="I582" i="11"/>
  <c r="G582" i="11"/>
  <c r="I581" i="11"/>
  <c r="G581" i="11"/>
  <c r="I580" i="11"/>
  <c r="G580" i="11"/>
  <c r="I579" i="11"/>
  <c r="G579" i="11"/>
  <c r="I578" i="11"/>
  <c r="G578" i="11"/>
  <c r="I577" i="11"/>
  <c r="G577" i="11"/>
  <c r="I576" i="11"/>
  <c r="G576" i="11"/>
  <c r="I575" i="11"/>
  <c r="G575" i="11"/>
  <c r="I574" i="11"/>
  <c r="G574" i="11"/>
  <c r="I573" i="11"/>
  <c r="G573" i="11"/>
  <c r="I572" i="11"/>
  <c r="G572" i="11"/>
  <c r="I571" i="11"/>
  <c r="G571" i="11"/>
  <c r="I570" i="11"/>
  <c r="G570" i="11"/>
  <c r="I569" i="11"/>
  <c r="G569" i="11"/>
  <c r="I568" i="11"/>
  <c r="G568" i="11"/>
  <c r="I567" i="11"/>
  <c r="G567" i="11"/>
  <c r="I566" i="11"/>
  <c r="G566" i="11"/>
  <c r="I565" i="11"/>
  <c r="G565" i="11"/>
  <c r="I564" i="11"/>
  <c r="G564" i="11"/>
  <c r="I563" i="11"/>
  <c r="G563" i="11"/>
  <c r="I562" i="11"/>
  <c r="G562" i="11"/>
  <c r="I561" i="11"/>
  <c r="G561" i="11"/>
  <c r="I560" i="11"/>
  <c r="G560" i="11"/>
  <c r="I559" i="11"/>
  <c r="G559" i="11"/>
  <c r="I558" i="11"/>
  <c r="G558" i="11"/>
  <c r="I557" i="11"/>
  <c r="G557" i="11"/>
  <c r="I556" i="11"/>
  <c r="G556" i="11"/>
  <c r="I555" i="11"/>
  <c r="G555" i="11"/>
  <c r="I554" i="11"/>
  <c r="G554" i="11"/>
  <c r="I553" i="11"/>
  <c r="G553" i="11"/>
  <c r="I552" i="11"/>
  <c r="G552" i="11"/>
  <c r="I551" i="11"/>
  <c r="G551" i="11"/>
  <c r="I550" i="11"/>
  <c r="G550" i="11"/>
  <c r="I549" i="11"/>
  <c r="G549" i="11"/>
  <c r="I548" i="11"/>
  <c r="G548" i="11"/>
  <c r="I547" i="11"/>
  <c r="G547" i="11"/>
  <c r="I546" i="11"/>
  <c r="G546" i="11"/>
  <c r="I545" i="11"/>
  <c r="G545" i="11"/>
  <c r="I544" i="11"/>
  <c r="G544" i="11"/>
  <c r="I543" i="11"/>
  <c r="G543" i="11"/>
  <c r="I542" i="11"/>
  <c r="G542" i="11"/>
  <c r="I541" i="11"/>
  <c r="G541" i="11"/>
  <c r="I540" i="11"/>
  <c r="G540" i="11"/>
  <c r="I539" i="11"/>
  <c r="G539" i="11"/>
  <c r="I538" i="11"/>
  <c r="G538" i="11"/>
  <c r="I537" i="11"/>
  <c r="G537" i="11"/>
  <c r="I536" i="11"/>
  <c r="G536" i="11"/>
  <c r="I535" i="11"/>
  <c r="G535" i="11"/>
  <c r="I534" i="11"/>
  <c r="G534" i="11"/>
  <c r="I533" i="11"/>
  <c r="G533" i="11"/>
  <c r="I532" i="11"/>
  <c r="G532" i="11"/>
  <c r="I531" i="11"/>
  <c r="G531" i="11"/>
  <c r="I530" i="11"/>
  <c r="G530" i="11"/>
  <c r="I529" i="11"/>
  <c r="G529" i="11"/>
  <c r="I528" i="11"/>
  <c r="G528" i="11"/>
  <c r="I527" i="11"/>
  <c r="G527" i="11"/>
  <c r="I526" i="11"/>
  <c r="G526" i="11"/>
  <c r="I525" i="11"/>
  <c r="G525" i="11"/>
  <c r="I524" i="11"/>
  <c r="G524" i="11"/>
  <c r="I523" i="11"/>
  <c r="G523" i="11"/>
  <c r="I522" i="11"/>
  <c r="G522" i="11"/>
  <c r="I521" i="11"/>
  <c r="G521" i="11"/>
  <c r="I520" i="11"/>
  <c r="G520" i="11"/>
  <c r="I519" i="11"/>
  <c r="G519" i="11"/>
  <c r="I518" i="11"/>
  <c r="G518" i="11"/>
  <c r="I517" i="11"/>
  <c r="G517" i="11"/>
  <c r="I516" i="11"/>
  <c r="G516" i="11"/>
  <c r="I515" i="11"/>
  <c r="G515" i="11"/>
  <c r="I514" i="11"/>
  <c r="G514" i="11"/>
  <c r="I513" i="11"/>
  <c r="G513" i="11"/>
  <c r="I512" i="11"/>
  <c r="G512" i="11"/>
  <c r="I511" i="11"/>
  <c r="G511" i="11"/>
  <c r="I510" i="11"/>
  <c r="G510" i="11"/>
  <c r="I509" i="11"/>
  <c r="G509" i="11"/>
  <c r="I508" i="11"/>
  <c r="G508" i="11"/>
  <c r="I507" i="11"/>
  <c r="G507" i="11"/>
  <c r="I506" i="11"/>
  <c r="G506" i="11"/>
  <c r="I505" i="11"/>
  <c r="G505" i="11"/>
  <c r="I504" i="11"/>
  <c r="G504" i="11"/>
  <c r="I503" i="11"/>
  <c r="G503" i="11"/>
  <c r="I502" i="11"/>
  <c r="G502" i="11"/>
  <c r="I501" i="11"/>
  <c r="G501" i="11"/>
  <c r="I500" i="11"/>
  <c r="G500" i="11"/>
  <c r="I499" i="11"/>
  <c r="G499" i="11"/>
  <c r="I498" i="11"/>
  <c r="G498" i="11"/>
  <c r="I497" i="11"/>
  <c r="G497" i="11"/>
  <c r="I496" i="11"/>
  <c r="G496" i="11"/>
  <c r="I495" i="11"/>
  <c r="G495" i="11"/>
  <c r="I494" i="11"/>
  <c r="G494" i="11"/>
  <c r="I493" i="11"/>
  <c r="G493" i="11"/>
  <c r="I492" i="11"/>
  <c r="G492" i="11"/>
  <c r="I491" i="11"/>
  <c r="G491" i="11"/>
  <c r="I490" i="11"/>
  <c r="G490" i="11"/>
  <c r="I489" i="11"/>
  <c r="G489" i="11"/>
  <c r="I488" i="11"/>
  <c r="G488" i="11"/>
  <c r="I487" i="11"/>
  <c r="G487" i="11"/>
  <c r="I486" i="11"/>
  <c r="G486" i="11"/>
  <c r="I485" i="11"/>
  <c r="G485" i="11"/>
  <c r="I484" i="11"/>
  <c r="G484" i="11"/>
  <c r="I483" i="11"/>
  <c r="G483" i="11"/>
  <c r="I482" i="11"/>
  <c r="G482" i="11"/>
  <c r="I481" i="11"/>
  <c r="G481" i="11"/>
  <c r="I480" i="11"/>
  <c r="G480" i="11"/>
  <c r="I479" i="11"/>
  <c r="G479" i="11"/>
  <c r="I478" i="11"/>
  <c r="G478" i="11"/>
  <c r="I477" i="11"/>
  <c r="G477" i="11"/>
  <c r="I476" i="11"/>
  <c r="G476" i="11"/>
  <c r="I475" i="11"/>
  <c r="G475" i="11"/>
  <c r="I474" i="11"/>
  <c r="G474" i="11"/>
  <c r="I473" i="11"/>
  <c r="G473" i="11"/>
  <c r="I472" i="11"/>
  <c r="G472" i="11"/>
  <c r="I471" i="11"/>
  <c r="G471" i="11"/>
  <c r="I470" i="11"/>
  <c r="G470" i="11"/>
  <c r="I469" i="11"/>
  <c r="G469" i="11"/>
  <c r="I468" i="11"/>
  <c r="G468" i="11"/>
  <c r="I467" i="11"/>
  <c r="G467" i="11"/>
  <c r="I466" i="11"/>
  <c r="G466" i="11"/>
  <c r="I465" i="11"/>
  <c r="G465" i="11"/>
  <c r="I464" i="11"/>
  <c r="G464" i="11"/>
  <c r="I463" i="11"/>
  <c r="G463" i="11"/>
  <c r="I462" i="11"/>
  <c r="G462" i="11"/>
  <c r="I461" i="11"/>
  <c r="G461" i="11"/>
  <c r="I460" i="11"/>
  <c r="G460" i="11"/>
  <c r="I459" i="11"/>
  <c r="G459" i="11"/>
  <c r="I458" i="11"/>
  <c r="G458" i="11"/>
  <c r="I457" i="11"/>
  <c r="G457" i="11"/>
  <c r="I456" i="11"/>
  <c r="G456" i="11"/>
  <c r="I455" i="11"/>
  <c r="G455" i="11"/>
  <c r="I454" i="11"/>
  <c r="G454" i="11"/>
  <c r="I453" i="11"/>
  <c r="G453" i="11"/>
  <c r="I452" i="11"/>
  <c r="G452" i="11"/>
  <c r="I451" i="11"/>
  <c r="G451" i="11"/>
  <c r="I450" i="11"/>
  <c r="G450" i="11"/>
  <c r="I449" i="11"/>
  <c r="G449" i="11"/>
  <c r="I448" i="11"/>
  <c r="G448" i="11"/>
  <c r="I447" i="11"/>
  <c r="G447" i="11"/>
  <c r="I446" i="11"/>
  <c r="G446" i="11"/>
  <c r="I445" i="11"/>
  <c r="G445" i="11"/>
  <c r="I444" i="11"/>
  <c r="G444" i="11"/>
  <c r="I443" i="11"/>
  <c r="G443" i="11"/>
  <c r="I442" i="11"/>
  <c r="G442" i="11"/>
  <c r="I441" i="11"/>
  <c r="G441" i="11"/>
  <c r="I440" i="11"/>
  <c r="G440" i="11"/>
  <c r="I439" i="11"/>
  <c r="G439" i="11"/>
  <c r="I438" i="11"/>
  <c r="G438" i="11"/>
  <c r="I437" i="11"/>
  <c r="G437" i="11"/>
  <c r="I436" i="11"/>
  <c r="G436" i="11"/>
  <c r="I435" i="11"/>
  <c r="G435" i="11"/>
  <c r="I434" i="11"/>
  <c r="G434" i="11"/>
  <c r="I433" i="11"/>
  <c r="G433" i="11"/>
  <c r="I432" i="11"/>
  <c r="G432" i="11"/>
  <c r="I431" i="11"/>
  <c r="G431" i="11"/>
  <c r="I430" i="11"/>
  <c r="G430" i="11"/>
  <c r="I429" i="11"/>
  <c r="G429" i="11"/>
  <c r="I428" i="11"/>
  <c r="G428" i="11"/>
  <c r="I427" i="11"/>
  <c r="G427" i="11"/>
  <c r="I426" i="11"/>
  <c r="G426" i="11"/>
  <c r="I425" i="11"/>
  <c r="G425" i="11"/>
  <c r="I424" i="11"/>
  <c r="G424" i="11"/>
  <c r="I423" i="11"/>
  <c r="G423" i="11"/>
  <c r="I422" i="11"/>
  <c r="G422" i="11"/>
  <c r="I421" i="11"/>
  <c r="G421" i="11"/>
  <c r="I420" i="11"/>
  <c r="G420" i="11"/>
  <c r="I419" i="11"/>
  <c r="G419" i="11"/>
  <c r="I418" i="11"/>
  <c r="G418" i="11"/>
  <c r="I417" i="11"/>
  <c r="G417" i="11"/>
  <c r="I416" i="11"/>
  <c r="G416" i="11"/>
  <c r="I415" i="11"/>
  <c r="G415" i="11"/>
  <c r="I414" i="11"/>
  <c r="G414" i="11"/>
  <c r="I413" i="11"/>
  <c r="G413" i="11"/>
  <c r="I412" i="11"/>
  <c r="G412" i="11"/>
  <c r="I411" i="11"/>
  <c r="G411" i="11"/>
  <c r="I410" i="11"/>
  <c r="G410" i="11"/>
  <c r="I409" i="11"/>
  <c r="G409" i="11"/>
  <c r="I408" i="11"/>
  <c r="G408" i="11"/>
  <c r="I407" i="11"/>
  <c r="G407" i="11"/>
  <c r="I406" i="11"/>
  <c r="G406" i="11"/>
  <c r="I405" i="11"/>
  <c r="G405" i="11"/>
  <c r="I404" i="11"/>
  <c r="G404" i="11"/>
  <c r="I403" i="11"/>
  <c r="G403" i="11"/>
  <c r="I402" i="11"/>
  <c r="G402" i="11"/>
  <c r="I401" i="11"/>
  <c r="G401" i="11"/>
  <c r="I400" i="11"/>
  <c r="G400" i="11"/>
  <c r="I399" i="11"/>
  <c r="G399" i="11"/>
  <c r="I398" i="11"/>
  <c r="G398" i="11"/>
  <c r="I397" i="11"/>
  <c r="G397" i="11"/>
  <c r="I396" i="11"/>
  <c r="G396" i="11"/>
  <c r="I395" i="11"/>
  <c r="G395" i="11"/>
  <c r="I394" i="11"/>
  <c r="G394" i="11"/>
  <c r="I393" i="11"/>
  <c r="G393" i="11"/>
  <c r="I392" i="11"/>
  <c r="G392" i="11"/>
  <c r="I391" i="11"/>
  <c r="G391" i="11"/>
  <c r="I390" i="11"/>
  <c r="G390" i="11"/>
  <c r="I389" i="11"/>
  <c r="G389" i="11"/>
  <c r="I388" i="11"/>
  <c r="G388" i="11"/>
  <c r="I387" i="11"/>
  <c r="G387" i="11"/>
  <c r="I386" i="11"/>
  <c r="G386" i="11"/>
  <c r="I385" i="11"/>
  <c r="G385" i="11"/>
  <c r="I384" i="11"/>
  <c r="G384" i="11"/>
  <c r="I383" i="11"/>
  <c r="G383" i="11"/>
  <c r="I382" i="11"/>
  <c r="G382" i="11"/>
  <c r="I381" i="11"/>
  <c r="G381" i="11"/>
  <c r="I380" i="11"/>
  <c r="G380" i="11"/>
  <c r="I379" i="11"/>
  <c r="G379" i="11"/>
  <c r="I378" i="11"/>
  <c r="G378" i="11"/>
  <c r="I377" i="11"/>
  <c r="G377" i="11"/>
  <c r="I376" i="11"/>
  <c r="G376" i="11"/>
  <c r="I375" i="11"/>
  <c r="G375" i="11"/>
  <c r="I374" i="11"/>
  <c r="G374" i="11"/>
  <c r="I373" i="11"/>
  <c r="G373" i="11"/>
  <c r="I372" i="11"/>
  <c r="G372" i="11"/>
  <c r="I371" i="11"/>
  <c r="G371" i="11"/>
  <c r="I370" i="11"/>
  <c r="G370" i="11"/>
  <c r="I369" i="11"/>
  <c r="G369" i="11"/>
  <c r="I368" i="11"/>
  <c r="G368" i="11"/>
  <c r="I367" i="11"/>
  <c r="G367" i="11"/>
  <c r="I366" i="11"/>
  <c r="G366" i="11"/>
  <c r="I365" i="11"/>
  <c r="G365" i="11"/>
  <c r="I364" i="11"/>
  <c r="G364" i="11"/>
  <c r="I363" i="11"/>
  <c r="G363" i="11"/>
  <c r="I362" i="11"/>
  <c r="G362" i="11"/>
  <c r="I361" i="11"/>
  <c r="G361" i="11"/>
  <c r="I360" i="11"/>
  <c r="G360" i="11"/>
  <c r="I359" i="11"/>
  <c r="G359" i="11"/>
  <c r="I358" i="11"/>
  <c r="G358" i="11"/>
  <c r="I357" i="11"/>
  <c r="G357" i="11"/>
  <c r="I356" i="11"/>
  <c r="G356" i="11"/>
  <c r="I355" i="11"/>
  <c r="G355" i="11"/>
  <c r="I354" i="11"/>
  <c r="G354" i="11"/>
  <c r="I353" i="11"/>
  <c r="G353" i="11"/>
  <c r="I352" i="11"/>
  <c r="G352" i="11"/>
  <c r="I351" i="11"/>
  <c r="G351" i="11"/>
  <c r="I350" i="11"/>
  <c r="G350" i="11"/>
  <c r="I349" i="11"/>
  <c r="G349" i="11"/>
  <c r="I348" i="11"/>
  <c r="G348" i="11"/>
  <c r="I347" i="11"/>
  <c r="G347" i="11"/>
  <c r="I346" i="11"/>
  <c r="G346" i="11"/>
  <c r="I345" i="11"/>
  <c r="G345" i="11"/>
  <c r="I344" i="11"/>
  <c r="G344" i="11"/>
  <c r="I343" i="11"/>
  <c r="G343" i="11"/>
  <c r="I342" i="11"/>
  <c r="G342" i="11"/>
  <c r="I341" i="11"/>
  <c r="G341" i="11"/>
  <c r="I340" i="11"/>
  <c r="G340" i="11"/>
  <c r="I339" i="11"/>
  <c r="G339" i="11"/>
  <c r="I338" i="11"/>
  <c r="G338" i="11"/>
  <c r="I337" i="11"/>
  <c r="G337" i="11"/>
  <c r="I336" i="11"/>
  <c r="G336" i="11"/>
  <c r="I335" i="11"/>
  <c r="G335" i="11"/>
  <c r="I334" i="11"/>
  <c r="G334" i="11"/>
  <c r="I333" i="11"/>
  <c r="G333" i="11"/>
  <c r="I332" i="11"/>
  <c r="G332" i="11"/>
  <c r="I331" i="11"/>
  <c r="G331" i="11"/>
  <c r="I330" i="11"/>
  <c r="G330" i="11"/>
  <c r="I329" i="11"/>
  <c r="G329" i="11"/>
  <c r="I328" i="11"/>
  <c r="G328" i="11"/>
  <c r="I327" i="11"/>
  <c r="G327" i="11"/>
  <c r="I326" i="11"/>
  <c r="G326" i="11"/>
  <c r="I325" i="11"/>
  <c r="G325" i="11"/>
  <c r="I324" i="11"/>
  <c r="G324" i="11"/>
  <c r="I323" i="11"/>
  <c r="G323" i="11"/>
  <c r="I322" i="11"/>
  <c r="G322" i="11"/>
  <c r="I321" i="11"/>
  <c r="G321" i="11"/>
  <c r="I320" i="11"/>
  <c r="G320" i="11"/>
  <c r="I319" i="11"/>
  <c r="G319" i="11"/>
  <c r="I318" i="11"/>
  <c r="G318" i="11"/>
  <c r="I317" i="11"/>
  <c r="G317" i="11"/>
  <c r="I316" i="11"/>
  <c r="G316" i="11"/>
  <c r="I315" i="11"/>
  <c r="G315" i="11"/>
  <c r="I314" i="11"/>
  <c r="G314" i="11"/>
  <c r="I313" i="11"/>
  <c r="G313" i="11"/>
  <c r="I312" i="11"/>
  <c r="G312" i="11"/>
  <c r="I311" i="11"/>
  <c r="G311" i="11"/>
  <c r="I310" i="11"/>
  <c r="G310" i="11"/>
  <c r="I309" i="11"/>
  <c r="G309" i="11"/>
  <c r="I308" i="11"/>
  <c r="G308" i="11"/>
  <c r="I307" i="11"/>
  <c r="G307" i="11"/>
  <c r="I306" i="11"/>
  <c r="G306" i="11"/>
  <c r="I305" i="11"/>
  <c r="G305" i="11"/>
  <c r="I304" i="11"/>
  <c r="G304" i="11"/>
  <c r="I303" i="11"/>
  <c r="G303" i="11"/>
  <c r="I302" i="11"/>
  <c r="G302" i="11"/>
  <c r="I301" i="11"/>
  <c r="G301" i="11"/>
  <c r="I300" i="11"/>
  <c r="G300" i="11"/>
  <c r="I299" i="11"/>
  <c r="G299" i="11"/>
  <c r="I298" i="11"/>
  <c r="G298" i="11"/>
  <c r="I297" i="11"/>
  <c r="G297" i="11"/>
  <c r="I296" i="11"/>
  <c r="G296" i="11"/>
  <c r="I295" i="11"/>
  <c r="G295" i="11"/>
  <c r="I294" i="11"/>
  <c r="G294" i="11"/>
  <c r="I293" i="11"/>
  <c r="G293" i="11"/>
  <c r="I292" i="11"/>
  <c r="G292" i="11"/>
  <c r="I291" i="11"/>
  <c r="G291" i="11"/>
  <c r="I290" i="11"/>
  <c r="G290" i="11"/>
  <c r="I289" i="11"/>
  <c r="G289" i="11"/>
  <c r="I288" i="11"/>
  <c r="G288" i="11"/>
  <c r="I287" i="11"/>
  <c r="G287" i="11"/>
  <c r="I286" i="11"/>
  <c r="G286" i="11"/>
  <c r="I285" i="11"/>
  <c r="G285" i="11"/>
  <c r="I284" i="11"/>
  <c r="G284" i="11"/>
  <c r="I283" i="11"/>
  <c r="G283" i="11"/>
  <c r="I282" i="11"/>
  <c r="G282" i="11"/>
  <c r="I281" i="11"/>
  <c r="G281" i="11"/>
  <c r="I280" i="11"/>
  <c r="G280" i="11"/>
  <c r="I279" i="11"/>
  <c r="G279" i="11"/>
  <c r="I278" i="11"/>
  <c r="G278" i="11"/>
  <c r="I277" i="11"/>
  <c r="G277" i="11"/>
  <c r="I276" i="11"/>
  <c r="G276" i="11"/>
  <c r="I275" i="11"/>
  <c r="G275" i="11"/>
  <c r="I274" i="11"/>
  <c r="G274" i="11"/>
  <c r="I273" i="11"/>
  <c r="G273" i="11"/>
  <c r="I272" i="11"/>
  <c r="G272" i="11"/>
  <c r="I271" i="11"/>
  <c r="G271" i="11"/>
  <c r="I270" i="11"/>
  <c r="G270" i="11"/>
  <c r="I269" i="11"/>
  <c r="G269" i="11"/>
  <c r="I268" i="11"/>
  <c r="G268" i="11"/>
  <c r="I267" i="11"/>
  <c r="G267" i="11"/>
  <c r="I266" i="11"/>
  <c r="G266" i="11"/>
  <c r="I265" i="11"/>
  <c r="G265" i="11"/>
  <c r="I264" i="11"/>
  <c r="G264" i="11"/>
  <c r="I263" i="11"/>
  <c r="G263" i="11"/>
  <c r="I262" i="11"/>
  <c r="G262" i="11"/>
  <c r="I261" i="11"/>
  <c r="G261" i="11"/>
  <c r="I260" i="11"/>
  <c r="G260" i="11"/>
  <c r="I259" i="11"/>
  <c r="G259" i="11"/>
  <c r="I258" i="11"/>
  <c r="G258" i="11"/>
  <c r="I257" i="11"/>
  <c r="G257" i="11"/>
  <c r="I256" i="11"/>
  <c r="G256" i="11"/>
  <c r="I255" i="11"/>
  <c r="G255" i="11"/>
  <c r="I254" i="11"/>
  <c r="G254" i="11"/>
  <c r="I253" i="11"/>
  <c r="G253" i="11"/>
  <c r="I252" i="11"/>
  <c r="G252" i="11"/>
  <c r="I251" i="11"/>
  <c r="G251" i="11"/>
  <c r="I250" i="11"/>
  <c r="G250" i="11"/>
  <c r="I249" i="11"/>
  <c r="G249" i="11"/>
  <c r="I248" i="11"/>
  <c r="G248" i="11"/>
  <c r="I247" i="11"/>
  <c r="G247" i="11"/>
  <c r="I246" i="11"/>
  <c r="G246" i="11"/>
  <c r="I245" i="11"/>
  <c r="G245" i="11"/>
  <c r="I244" i="11"/>
  <c r="G244" i="11"/>
  <c r="I243" i="11"/>
  <c r="G243" i="11"/>
  <c r="I242" i="11"/>
  <c r="G242" i="11"/>
  <c r="I241" i="11"/>
  <c r="G241" i="11"/>
  <c r="I240" i="11"/>
  <c r="G240" i="11"/>
  <c r="I239" i="11"/>
  <c r="G239" i="11"/>
  <c r="I238" i="11"/>
  <c r="G238" i="11"/>
  <c r="I237" i="11"/>
  <c r="G237" i="11"/>
  <c r="I236" i="11"/>
  <c r="G236" i="11"/>
  <c r="I235" i="11"/>
  <c r="G235" i="11"/>
  <c r="I234" i="11"/>
  <c r="G234" i="11"/>
  <c r="I233" i="11"/>
  <c r="G233" i="11"/>
  <c r="I232" i="11"/>
  <c r="G232" i="11"/>
  <c r="I231" i="11"/>
  <c r="G231" i="11"/>
  <c r="I230" i="11"/>
  <c r="G230" i="11"/>
  <c r="I229" i="11"/>
  <c r="G229" i="11"/>
  <c r="I228" i="11"/>
  <c r="G228" i="11"/>
  <c r="I227" i="11"/>
  <c r="G227" i="11"/>
  <c r="I226" i="11"/>
  <c r="G226" i="11"/>
  <c r="I225" i="11"/>
  <c r="G225" i="11"/>
  <c r="I224" i="11"/>
  <c r="G224" i="11"/>
  <c r="I223" i="11"/>
  <c r="G223" i="11"/>
  <c r="I222" i="11"/>
  <c r="G222" i="11"/>
  <c r="I221" i="11"/>
  <c r="G221" i="11"/>
  <c r="I220" i="11"/>
  <c r="G220" i="11"/>
  <c r="I219" i="11"/>
  <c r="G219" i="11"/>
  <c r="I218" i="11"/>
  <c r="G218" i="11"/>
  <c r="I217" i="11"/>
  <c r="G217" i="11"/>
  <c r="I216" i="11"/>
  <c r="G216" i="11"/>
  <c r="I215" i="11"/>
  <c r="G215" i="11"/>
  <c r="I214" i="11"/>
  <c r="G214" i="11"/>
  <c r="I213" i="11"/>
  <c r="G213" i="11"/>
  <c r="I212" i="11"/>
  <c r="G212" i="11"/>
  <c r="I211" i="11"/>
  <c r="G211" i="11"/>
  <c r="I210" i="11"/>
  <c r="G210" i="11"/>
  <c r="I209" i="11"/>
  <c r="G209" i="11"/>
  <c r="I208" i="11"/>
  <c r="G208" i="11"/>
  <c r="I207" i="11"/>
  <c r="G207" i="11"/>
  <c r="I206" i="11"/>
  <c r="G206" i="11"/>
  <c r="I205" i="11"/>
  <c r="G205" i="11"/>
  <c r="I204" i="11"/>
  <c r="G204" i="11"/>
  <c r="I203" i="11"/>
  <c r="G203" i="11"/>
  <c r="I202" i="11"/>
  <c r="G202" i="11"/>
  <c r="I201" i="11"/>
  <c r="G201" i="11"/>
  <c r="I200" i="11"/>
  <c r="G200" i="11"/>
  <c r="I199" i="11"/>
  <c r="G199" i="11"/>
  <c r="I198" i="11"/>
  <c r="G198" i="11"/>
  <c r="I197" i="11"/>
  <c r="G197" i="11"/>
  <c r="I196" i="11"/>
  <c r="G196" i="11"/>
  <c r="I195" i="11"/>
  <c r="G195" i="11"/>
  <c r="I194" i="11"/>
  <c r="G194" i="11"/>
  <c r="I193" i="11"/>
  <c r="G193" i="11"/>
  <c r="I192" i="11"/>
  <c r="G192" i="11"/>
  <c r="I191" i="11"/>
  <c r="G191" i="11"/>
  <c r="I190" i="11"/>
  <c r="G190" i="11"/>
  <c r="I189" i="11"/>
  <c r="G189" i="11"/>
  <c r="I188" i="11"/>
  <c r="G188" i="11"/>
  <c r="I187" i="11"/>
  <c r="G187" i="11"/>
  <c r="I186" i="11"/>
  <c r="G186" i="11"/>
  <c r="I185" i="11"/>
  <c r="G185" i="11"/>
  <c r="I184" i="11"/>
  <c r="G184" i="11"/>
  <c r="I183" i="11"/>
  <c r="G183" i="11"/>
  <c r="I182" i="11"/>
  <c r="G182" i="11"/>
  <c r="I181" i="11"/>
  <c r="G181" i="11"/>
  <c r="I180" i="11"/>
  <c r="G180" i="11"/>
  <c r="I179" i="11"/>
  <c r="G179" i="11"/>
  <c r="I178" i="11"/>
  <c r="G178" i="11"/>
  <c r="I177" i="11"/>
  <c r="G177" i="11"/>
  <c r="I176" i="11"/>
  <c r="G176" i="11"/>
  <c r="I175" i="11"/>
  <c r="G175" i="11"/>
  <c r="I174" i="11"/>
  <c r="G174" i="11"/>
  <c r="I173" i="11"/>
  <c r="G173" i="11"/>
  <c r="I172" i="11"/>
  <c r="G172" i="11"/>
  <c r="I171" i="11"/>
  <c r="G171" i="11"/>
  <c r="I170" i="11"/>
  <c r="G170" i="11"/>
  <c r="I169" i="11"/>
  <c r="G169" i="11"/>
  <c r="I168" i="11"/>
  <c r="G168" i="11"/>
  <c r="I167" i="11"/>
  <c r="G167" i="11"/>
  <c r="I166" i="11"/>
  <c r="G166" i="11"/>
  <c r="I165" i="11"/>
  <c r="G165" i="11"/>
  <c r="I164" i="11"/>
  <c r="G164" i="11"/>
  <c r="I163" i="11"/>
  <c r="G163" i="11"/>
  <c r="I162" i="11"/>
  <c r="G162" i="11"/>
  <c r="I161" i="11"/>
  <c r="G161" i="11"/>
  <c r="I160" i="11"/>
  <c r="G160" i="11"/>
  <c r="I159" i="11"/>
  <c r="G159" i="11"/>
  <c r="I158" i="11"/>
  <c r="G158" i="11"/>
  <c r="I157" i="11"/>
  <c r="G157" i="11"/>
  <c r="I156" i="11"/>
  <c r="G156" i="11"/>
  <c r="I155" i="11"/>
  <c r="G155" i="11"/>
  <c r="I154" i="11"/>
  <c r="G154" i="11"/>
  <c r="I153" i="11"/>
  <c r="G153" i="11"/>
  <c r="I152" i="11"/>
  <c r="G152" i="11"/>
  <c r="I151" i="11"/>
  <c r="G151" i="11"/>
  <c r="I150" i="11"/>
  <c r="G150" i="11"/>
  <c r="I149" i="11"/>
  <c r="G149" i="11"/>
  <c r="I148" i="11"/>
  <c r="G148" i="11"/>
  <c r="I147" i="11"/>
  <c r="G147" i="11"/>
  <c r="I146" i="11"/>
  <c r="G146" i="11"/>
  <c r="I145" i="11"/>
  <c r="G145" i="11"/>
  <c r="I144" i="11"/>
  <c r="G144" i="11"/>
  <c r="I143" i="11"/>
  <c r="G143" i="11"/>
  <c r="I142" i="11"/>
  <c r="G142" i="11"/>
  <c r="I141" i="11"/>
  <c r="G141" i="11"/>
  <c r="I140" i="11"/>
  <c r="G140" i="11"/>
  <c r="I139" i="11"/>
  <c r="G139" i="11"/>
  <c r="I138" i="11"/>
  <c r="G138" i="11"/>
  <c r="I137" i="11"/>
  <c r="G137" i="11"/>
  <c r="I136" i="11"/>
  <c r="G136" i="11"/>
  <c r="I135" i="11"/>
  <c r="G135" i="11"/>
  <c r="I134" i="11"/>
  <c r="G134" i="11"/>
  <c r="I133" i="11"/>
  <c r="G133" i="11"/>
  <c r="I132" i="11"/>
  <c r="G132" i="11"/>
  <c r="I131" i="11"/>
  <c r="G131" i="11"/>
  <c r="I130" i="11"/>
  <c r="G130" i="11"/>
  <c r="I129" i="11"/>
  <c r="G129" i="11"/>
  <c r="I128" i="11"/>
  <c r="G128" i="11"/>
  <c r="I127" i="11"/>
  <c r="G127" i="11"/>
  <c r="I126" i="11"/>
  <c r="G126" i="11"/>
  <c r="I125" i="11"/>
  <c r="G125" i="11"/>
  <c r="I124" i="11"/>
  <c r="G124" i="11"/>
  <c r="I123" i="11"/>
  <c r="G123" i="11"/>
  <c r="I122" i="11"/>
  <c r="G122" i="11"/>
  <c r="I121" i="11"/>
  <c r="G121" i="11"/>
  <c r="I120" i="11"/>
  <c r="G120" i="11"/>
  <c r="I119" i="11"/>
  <c r="G119" i="11"/>
  <c r="I118" i="11"/>
  <c r="G118" i="11"/>
  <c r="I117" i="11"/>
  <c r="G117" i="11"/>
  <c r="I116" i="11"/>
  <c r="G116" i="11"/>
  <c r="I115" i="11"/>
  <c r="G115" i="11"/>
  <c r="I114" i="11"/>
  <c r="G114" i="11"/>
  <c r="I113" i="11"/>
  <c r="G113" i="11"/>
  <c r="I112" i="11"/>
  <c r="G112" i="11"/>
  <c r="I111" i="11"/>
  <c r="G111" i="11"/>
  <c r="I110" i="11"/>
  <c r="G110" i="11"/>
  <c r="I109" i="11"/>
  <c r="G109" i="11"/>
  <c r="I108" i="11"/>
  <c r="G108" i="11"/>
  <c r="I107" i="11"/>
  <c r="G107" i="11"/>
  <c r="I106" i="11"/>
  <c r="G106" i="11"/>
  <c r="I105" i="11"/>
  <c r="G105" i="11"/>
  <c r="I104" i="11"/>
  <c r="G104" i="11"/>
  <c r="I103" i="11"/>
  <c r="G103" i="11"/>
  <c r="I102" i="11"/>
  <c r="G102" i="11"/>
  <c r="I101" i="11"/>
  <c r="G101" i="11"/>
  <c r="I100" i="11"/>
  <c r="G100" i="11"/>
  <c r="I99" i="11"/>
  <c r="G99" i="11"/>
  <c r="I98" i="11"/>
  <c r="G98" i="11"/>
  <c r="I97" i="11"/>
  <c r="G97" i="11"/>
  <c r="I96" i="11"/>
  <c r="G96" i="11"/>
  <c r="I95" i="11"/>
  <c r="G95" i="11"/>
  <c r="I94" i="11"/>
  <c r="G94" i="11"/>
  <c r="I93" i="11"/>
  <c r="G93" i="11"/>
  <c r="I92" i="11"/>
  <c r="G92" i="11"/>
  <c r="I91" i="11"/>
  <c r="G91" i="11"/>
  <c r="I90" i="11"/>
  <c r="G90" i="11"/>
  <c r="I89" i="11"/>
  <c r="G89" i="11"/>
  <c r="I88" i="11"/>
  <c r="G88" i="11"/>
  <c r="I87" i="11"/>
  <c r="G87" i="11"/>
  <c r="I86" i="11"/>
  <c r="G86" i="11"/>
  <c r="I85" i="11"/>
  <c r="G85" i="11"/>
  <c r="I84" i="11"/>
  <c r="G84" i="11"/>
  <c r="I83" i="11"/>
  <c r="G83" i="11"/>
  <c r="I82" i="11"/>
  <c r="G82" i="11"/>
  <c r="I81" i="11"/>
  <c r="G81" i="11"/>
  <c r="I80" i="11"/>
  <c r="G80" i="11"/>
  <c r="I79" i="11"/>
  <c r="G79" i="11"/>
  <c r="I78" i="11"/>
  <c r="G78" i="11"/>
  <c r="I77" i="11"/>
  <c r="G77" i="11"/>
  <c r="I76" i="11"/>
  <c r="G76" i="11"/>
  <c r="I75" i="11"/>
  <c r="G75" i="11"/>
  <c r="I74" i="11"/>
  <c r="G74" i="11"/>
  <c r="I73" i="11"/>
  <c r="G73" i="11"/>
  <c r="I72" i="11"/>
  <c r="G72" i="11"/>
  <c r="I71" i="11"/>
  <c r="G71" i="11"/>
  <c r="I70" i="11"/>
  <c r="G70" i="11"/>
  <c r="I69" i="11"/>
  <c r="G69" i="11"/>
  <c r="I68" i="11"/>
  <c r="G68" i="11"/>
  <c r="I67" i="11"/>
  <c r="G67" i="11"/>
  <c r="I66" i="11"/>
  <c r="G66" i="11"/>
  <c r="I65" i="11"/>
  <c r="G65" i="11"/>
  <c r="I64" i="11"/>
  <c r="G64" i="11"/>
  <c r="I63" i="11"/>
  <c r="G63" i="11"/>
  <c r="I62" i="11"/>
  <c r="G62" i="11"/>
  <c r="I61" i="11"/>
  <c r="G61" i="11"/>
  <c r="I60" i="11"/>
  <c r="G60" i="11"/>
  <c r="I59" i="11"/>
  <c r="G59" i="11"/>
  <c r="I58" i="11"/>
  <c r="G58" i="11"/>
  <c r="I57" i="11"/>
  <c r="G57" i="11"/>
  <c r="I56" i="11"/>
  <c r="G56" i="11"/>
  <c r="I55" i="11"/>
  <c r="G55" i="11"/>
  <c r="I54" i="11"/>
  <c r="G54" i="11"/>
  <c r="I53" i="11"/>
  <c r="G53" i="11"/>
  <c r="I52" i="11"/>
  <c r="G52" i="11"/>
  <c r="I51" i="11"/>
  <c r="G51" i="11"/>
  <c r="I50" i="11"/>
  <c r="G50" i="11"/>
  <c r="I49" i="11"/>
  <c r="G49" i="11"/>
  <c r="I48" i="11"/>
  <c r="G48" i="11"/>
  <c r="I47" i="11"/>
  <c r="G47" i="11"/>
  <c r="I46" i="11"/>
  <c r="G46" i="11"/>
  <c r="I45" i="11"/>
  <c r="G45" i="11"/>
  <c r="I44" i="11"/>
  <c r="G44" i="11"/>
  <c r="I43" i="11"/>
  <c r="G43" i="11"/>
  <c r="I42" i="11"/>
  <c r="G42" i="11"/>
  <c r="I41" i="11"/>
  <c r="G41" i="11"/>
  <c r="I40" i="11"/>
  <c r="G40" i="11"/>
  <c r="I39" i="11"/>
  <c r="G39" i="11"/>
  <c r="I38" i="11"/>
  <c r="G38" i="11"/>
  <c r="I37" i="11"/>
  <c r="G37" i="11"/>
  <c r="I36" i="11"/>
  <c r="G36" i="11"/>
  <c r="I35" i="11"/>
  <c r="G35" i="11"/>
  <c r="I34" i="11"/>
  <c r="G34" i="11"/>
  <c r="I33" i="11"/>
  <c r="G33" i="11"/>
  <c r="I32" i="11"/>
  <c r="G32" i="11"/>
  <c r="I31" i="11"/>
  <c r="G31" i="11"/>
  <c r="I30" i="11"/>
  <c r="G30" i="11"/>
  <c r="I29" i="11"/>
  <c r="G29" i="11"/>
  <c r="I28" i="11"/>
  <c r="G28" i="11"/>
  <c r="I27" i="11"/>
  <c r="G27" i="11"/>
  <c r="I26" i="11"/>
  <c r="G26" i="11"/>
  <c r="I25" i="11"/>
  <c r="G25" i="11"/>
  <c r="I24" i="11"/>
  <c r="G24" i="11"/>
  <c r="I23" i="11"/>
  <c r="G23" i="11"/>
  <c r="I22" i="11"/>
  <c r="G22" i="11"/>
  <c r="I21" i="11"/>
  <c r="G21" i="11"/>
  <c r="I20" i="11"/>
  <c r="G20" i="11"/>
  <c r="I19" i="11"/>
  <c r="G19" i="11"/>
  <c r="I18" i="11"/>
  <c r="G18" i="11"/>
  <c r="I17" i="11"/>
  <c r="G17" i="11"/>
  <c r="I16" i="11"/>
  <c r="G16" i="11"/>
  <c r="I15" i="11"/>
  <c r="G15" i="11"/>
  <c r="I14" i="11"/>
  <c r="G14" i="11"/>
  <c r="I13" i="11"/>
  <c r="G13" i="11"/>
  <c r="I12" i="11"/>
  <c r="G12" i="11"/>
  <c r="I11" i="11"/>
  <c r="G11" i="11"/>
  <c r="I10" i="11"/>
  <c r="G10" i="11"/>
  <c r="I9" i="11"/>
  <c r="G9" i="11"/>
  <c r="I8" i="11"/>
  <c r="G8" i="11"/>
  <c r="I7" i="11"/>
  <c r="G7" i="11"/>
  <c r="I6" i="11"/>
  <c r="G6" i="11"/>
  <c r="I5" i="11"/>
  <c r="G5" i="11"/>
  <c r="I4" i="11"/>
  <c r="G4" i="11"/>
  <c r="I3" i="11"/>
  <c r="G3" i="11"/>
  <c r="I2" i="11"/>
  <c r="G2" i="11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G33" i="9"/>
  <c r="F33" i="9"/>
  <c r="E33" i="9"/>
  <c r="G32" i="9"/>
  <c r="E32" i="9"/>
  <c r="F32" i="9" s="1"/>
  <c r="E31" i="9"/>
  <c r="F31" i="9" s="1"/>
  <c r="E30" i="9"/>
  <c r="F30" i="9" s="1"/>
  <c r="E29" i="9"/>
  <c r="G29" i="9" s="1"/>
  <c r="E28" i="9"/>
  <c r="F28" i="9" s="1"/>
  <c r="E27" i="9"/>
  <c r="F27" i="9" s="1"/>
  <c r="E26" i="9"/>
  <c r="F26" i="9" s="1"/>
  <c r="E25" i="9"/>
  <c r="F25" i="9" s="1"/>
  <c r="G24" i="9"/>
  <c r="F24" i="9"/>
  <c r="E24" i="9"/>
  <c r="G23" i="9"/>
  <c r="F23" i="9"/>
  <c r="E23" i="9"/>
  <c r="E22" i="9"/>
  <c r="G22" i="9" s="1"/>
  <c r="E21" i="9"/>
  <c r="F21" i="9" s="1"/>
  <c r="E20" i="9"/>
  <c r="G20" i="9" s="1"/>
  <c r="E19" i="9"/>
  <c r="F19" i="9" s="1"/>
  <c r="E18" i="9"/>
  <c r="G18" i="9" s="1"/>
  <c r="E17" i="9"/>
  <c r="G17" i="9" s="1"/>
  <c r="E16" i="9"/>
  <c r="G16" i="9" s="1"/>
  <c r="E15" i="9"/>
  <c r="G15" i="9" s="1"/>
  <c r="G14" i="9"/>
  <c r="F14" i="9"/>
  <c r="E14" i="9"/>
  <c r="E13" i="9"/>
  <c r="G13" i="9" s="1"/>
  <c r="E12" i="9"/>
  <c r="G12" i="9" s="1"/>
  <c r="E11" i="9"/>
  <c r="G11" i="9" s="1"/>
  <c r="E10" i="9"/>
  <c r="G10" i="9" s="1"/>
  <c r="E9" i="9"/>
  <c r="G9" i="9" s="1"/>
  <c r="E8" i="9"/>
  <c r="G8" i="9" s="1"/>
  <c r="E7" i="9"/>
  <c r="F7" i="9" s="1"/>
  <c r="E6" i="9"/>
  <c r="G6" i="9" s="1"/>
  <c r="G5" i="9"/>
  <c r="F5" i="9"/>
  <c r="E5" i="9"/>
  <c r="G4" i="9"/>
  <c r="E4" i="9"/>
  <c r="F4" i="9" s="1"/>
  <c r="E3" i="9"/>
  <c r="F3" i="9" s="1"/>
  <c r="E2" i="9"/>
  <c r="F2" i="9" s="1"/>
  <c r="J605" i="8"/>
  <c r="I605" i="8"/>
  <c r="J604" i="8"/>
  <c r="I604" i="8"/>
  <c r="J603" i="8"/>
  <c r="I603" i="8"/>
  <c r="J602" i="8"/>
  <c r="I602" i="8"/>
  <c r="J601" i="8"/>
  <c r="I601" i="8"/>
  <c r="J600" i="8"/>
  <c r="I600" i="8"/>
  <c r="J599" i="8"/>
  <c r="I599" i="8"/>
  <c r="J598" i="8"/>
  <c r="I598" i="8"/>
  <c r="J597" i="8"/>
  <c r="I597" i="8"/>
  <c r="J596" i="8"/>
  <c r="I596" i="8"/>
  <c r="J595" i="8"/>
  <c r="I595" i="8"/>
  <c r="J594" i="8"/>
  <c r="I594" i="8"/>
  <c r="J593" i="8"/>
  <c r="I593" i="8"/>
  <c r="J592" i="8"/>
  <c r="I592" i="8"/>
  <c r="J591" i="8"/>
  <c r="I591" i="8"/>
  <c r="J590" i="8"/>
  <c r="I590" i="8"/>
  <c r="J589" i="8"/>
  <c r="I589" i="8"/>
  <c r="J588" i="8"/>
  <c r="I588" i="8"/>
  <c r="J587" i="8"/>
  <c r="I587" i="8"/>
  <c r="J586" i="8"/>
  <c r="I586" i="8"/>
  <c r="J585" i="8"/>
  <c r="I585" i="8"/>
  <c r="J584" i="8"/>
  <c r="I584" i="8"/>
  <c r="J583" i="8"/>
  <c r="I583" i="8"/>
  <c r="J582" i="8"/>
  <c r="I582" i="8"/>
  <c r="J581" i="8"/>
  <c r="I581" i="8"/>
  <c r="J580" i="8"/>
  <c r="I580" i="8"/>
  <c r="J579" i="8"/>
  <c r="I579" i="8"/>
  <c r="J578" i="8"/>
  <c r="I578" i="8"/>
  <c r="J577" i="8"/>
  <c r="I577" i="8"/>
  <c r="J576" i="8"/>
  <c r="I576" i="8"/>
  <c r="J575" i="8"/>
  <c r="I575" i="8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J566" i="8"/>
  <c r="I566" i="8"/>
  <c r="J565" i="8"/>
  <c r="I565" i="8"/>
  <c r="J564" i="8"/>
  <c r="I564" i="8"/>
  <c r="J563" i="8"/>
  <c r="I563" i="8"/>
  <c r="J562" i="8"/>
  <c r="I562" i="8"/>
  <c r="J561" i="8"/>
  <c r="I561" i="8"/>
  <c r="J560" i="8"/>
  <c r="I560" i="8"/>
  <c r="J559" i="8"/>
  <c r="I559" i="8"/>
  <c r="J558" i="8"/>
  <c r="I558" i="8"/>
  <c r="J557" i="8"/>
  <c r="I557" i="8"/>
  <c r="J556" i="8"/>
  <c r="I556" i="8"/>
  <c r="J555" i="8"/>
  <c r="I555" i="8"/>
  <c r="J554" i="8"/>
  <c r="I554" i="8"/>
  <c r="J553" i="8"/>
  <c r="I553" i="8"/>
  <c r="J552" i="8"/>
  <c r="I552" i="8"/>
  <c r="J551" i="8"/>
  <c r="I551" i="8"/>
  <c r="J550" i="8"/>
  <c r="I550" i="8"/>
  <c r="J549" i="8"/>
  <c r="I549" i="8"/>
  <c r="J548" i="8"/>
  <c r="I548" i="8"/>
  <c r="J547" i="8"/>
  <c r="I547" i="8"/>
  <c r="J546" i="8"/>
  <c r="I546" i="8"/>
  <c r="J545" i="8"/>
  <c r="I545" i="8"/>
  <c r="J544" i="8"/>
  <c r="I544" i="8"/>
  <c r="J543" i="8"/>
  <c r="I543" i="8"/>
  <c r="J542" i="8"/>
  <c r="I542" i="8"/>
  <c r="J541" i="8"/>
  <c r="I541" i="8"/>
  <c r="J540" i="8"/>
  <c r="I540" i="8"/>
  <c r="J539" i="8"/>
  <c r="I539" i="8"/>
  <c r="J538" i="8"/>
  <c r="I538" i="8"/>
  <c r="J537" i="8"/>
  <c r="I537" i="8"/>
  <c r="J536" i="8"/>
  <c r="I536" i="8"/>
  <c r="J535" i="8"/>
  <c r="I535" i="8"/>
  <c r="J534" i="8"/>
  <c r="I534" i="8"/>
  <c r="J533" i="8"/>
  <c r="I533" i="8"/>
  <c r="J532" i="8"/>
  <c r="I532" i="8"/>
  <c r="J531" i="8"/>
  <c r="I531" i="8"/>
  <c r="J530" i="8"/>
  <c r="I530" i="8"/>
  <c r="J529" i="8"/>
  <c r="I529" i="8"/>
  <c r="J528" i="8"/>
  <c r="I528" i="8"/>
  <c r="J527" i="8"/>
  <c r="I527" i="8"/>
  <c r="J526" i="8"/>
  <c r="I526" i="8"/>
  <c r="J525" i="8"/>
  <c r="I525" i="8"/>
  <c r="J524" i="8"/>
  <c r="I524" i="8"/>
  <c r="J523" i="8"/>
  <c r="I523" i="8"/>
  <c r="J522" i="8"/>
  <c r="I522" i="8"/>
  <c r="J521" i="8"/>
  <c r="I521" i="8"/>
  <c r="J520" i="8"/>
  <c r="I520" i="8"/>
  <c r="J519" i="8"/>
  <c r="I519" i="8"/>
  <c r="J518" i="8"/>
  <c r="I518" i="8"/>
  <c r="J517" i="8"/>
  <c r="I517" i="8"/>
  <c r="J516" i="8"/>
  <c r="I516" i="8"/>
  <c r="J515" i="8"/>
  <c r="I515" i="8"/>
  <c r="J514" i="8"/>
  <c r="I514" i="8"/>
  <c r="J513" i="8"/>
  <c r="I513" i="8"/>
  <c r="J512" i="8"/>
  <c r="I512" i="8"/>
  <c r="J511" i="8"/>
  <c r="I511" i="8"/>
  <c r="J510" i="8"/>
  <c r="I510" i="8"/>
  <c r="J509" i="8"/>
  <c r="I509" i="8"/>
  <c r="J508" i="8"/>
  <c r="I508" i="8"/>
  <c r="J507" i="8"/>
  <c r="I507" i="8"/>
  <c r="J506" i="8"/>
  <c r="I506" i="8"/>
  <c r="J505" i="8"/>
  <c r="I505" i="8"/>
  <c r="J504" i="8"/>
  <c r="I504" i="8"/>
  <c r="J503" i="8"/>
  <c r="I503" i="8"/>
  <c r="J502" i="8"/>
  <c r="I502" i="8"/>
  <c r="J501" i="8"/>
  <c r="I501" i="8"/>
  <c r="J500" i="8"/>
  <c r="I500" i="8"/>
  <c r="J499" i="8"/>
  <c r="I499" i="8"/>
  <c r="J498" i="8"/>
  <c r="I498" i="8"/>
  <c r="J497" i="8"/>
  <c r="I497" i="8"/>
  <c r="J496" i="8"/>
  <c r="I496" i="8"/>
  <c r="J495" i="8"/>
  <c r="I495" i="8"/>
  <c r="J494" i="8"/>
  <c r="I494" i="8"/>
  <c r="J493" i="8"/>
  <c r="I493" i="8"/>
  <c r="J492" i="8"/>
  <c r="I492" i="8"/>
  <c r="J491" i="8"/>
  <c r="I491" i="8"/>
  <c r="J490" i="8"/>
  <c r="I490" i="8"/>
  <c r="J489" i="8"/>
  <c r="I489" i="8"/>
  <c r="J488" i="8"/>
  <c r="I488" i="8"/>
  <c r="J487" i="8"/>
  <c r="I487" i="8"/>
  <c r="J486" i="8"/>
  <c r="I486" i="8"/>
  <c r="J485" i="8"/>
  <c r="I485" i="8"/>
  <c r="J484" i="8"/>
  <c r="I484" i="8"/>
  <c r="J483" i="8"/>
  <c r="I483" i="8"/>
  <c r="J482" i="8"/>
  <c r="I482" i="8"/>
  <c r="J481" i="8"/>
  <c r="I481" i="8"/>
  <c r="J480" i="8"/>
  <c r="I480" i="8"/>
  <c r="J479" i="8"/>
  <c r="I479" i="8"/>
  <c r="J478" i="8"/>
  <c r="I478" i="8"/>
  <c r="J477" i="8"/>
  <c r="I477" i="8"/>
  <c r="J476" i="8"/>
  <c r="I476" i="8"/>
  <c r="J475" i="8"/>
  <c r="I475" i="8"/>
  <c r="J474" i="8"/>
  <c r="I474" i="8"/>
  <c r="J473" i="8"/>
  <c r="I473" i="8"/>
  <c r="J472" i="8"/>
  <c r="I472" i="8"/>
  <c r="J471" i="8"/>
  <c r="I471" i="8"/>
  <c r="J470" i="8"/>
  <c r="I470" i="8"/>
  <c r="J469" i="8"/>
  <c r="I469" i="8"/>
  <c r="J468" i="8"/>
  <c r="I468" i="8"/>
  <c r="J467" i="8"/>
  <c r="I467" i="8"/>
  <c r="J466" i="8"/>
  <c r="I466" i="8"/>
  <c r="J465" i="8"/>
  <c r="I465" i="8"/>
  <c r="J464" i="8"/>
  <c r="I464" i="8"/>
  <c r="J463" i="8"/>
  <c r="I463" i="8"/>
  <c r="J462" i="8"/>
  <c r="I462" i="8"/>
  <c r="J461" i="8"/>
  <c r="I461" i="8"/>
  <c r="J460" i="8"/>
  <c r="I460" i="8"/>
  <c r="J459" i="8"/>
  <c r="I459" i="8"/>
  <c r="J458" i="8"/>
  <c r="I458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7" i="8"/>
  <c r="I437" i="8"/>
  <c r="J436" i="8"/>
  <c r="I436" i="8"/>
  <c r="J435" i="8"/>
  <c r="I435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4" i="8"/>
  <c r="I414" i="8"/>
  <c r="J413" i="8"/>
  <c r="I413" i="8"/>
  <c r="J412" i="8"/>
  <c r="I412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I331" i="8"/>
  <c r="J330" i="8"/>
  <c r="I330" i="8"/>
  <c r="J329" i="8"/>
  <c r="I329" i="8"/>
  <c r="J328" i="8"/>
  <c r="I328" i="8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I251" i="8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I605" i="7"/>
  <c r="G605" i="7"/>
  <c r="I604" i="7"/>
  <c r="G604" i="7"/>
  <c r="I603" i="7"/>
  <c r="G603" i="7"/>
  <c r="I602" i="7"/>
  <c r="G602" i="7"/>
  <c r="I601" i="7"/>
  <c r="G601" i="7"/>
  <c r="I600" i="7"/>
  <c r="G600" i="7"/>
  <c r="I599" i="7"/>
  <c r="G599" i="7"/>
  <c r="I598" i="7"/>
  <c r="G598" i="7"/>
  <c r="I597" i="7"/>
  <c r="G597" i="7"/>
  <c r="I596" i="7"/>
  <c r="G596" i="7"/>
  <c r="I595" i="7"/>
  <c r="G595" i="7"/>
  <c r="I594" i="7"/>
  <c r="G594" i="7"/>
  <c r="I593" i="7"/>
  <c r="G593" i="7"/>
  <c r="I592" i="7"/>
  <c r="G592" i="7"/>
  <c r="I591" i="7"/>
  <c r="G591" i="7"/>
  <c r="I590" i="7"/>
  <c r="G590" i="7"/>
  <c r="I589" i="7"/>
  <c r="G589" i="7"/>
  <c r="I588" i="7"/>
  <c r="G588" i="7"/>
  <c r="I587" i="7"/>
  <c r="G587" i="7"/>
  <c r="I586" i="7"/>
  <c r="G586" i="7"/>
  <c r="I585" i="7"/>
  <c r="G585" i="7"/>
  <c r="I584" i="7"/>
  <c r="G584" i="7"/>
  <c r="I583" i="7"/>
  <c r="G583" i="7"/>
  <c r="I582" i="7"/>
  <c r="G582" i="7"/>
  <c r="I581" i="7"/>
  <c r="G581" i="7"/>
  <c r="I580" i="7"/>
  <c r="G580" i="7"/>
  <c r="I579" i="7"/>
  <c r="G579" i="7"/>
  <c r="I578" i="7"/>
  <c r="G578" i="7"/>
  <c r="I577" i="7"/>
  <c r="G577" i="7"/>
  <c r="I576" i="7"/>
  <c r="G576" i="7"/>
  <c r="I575" i="7"/>
  <c r="G575" i="7"/>
  <c r="I574" i="7"/>
  <c r="G574" i="7"/>
  <c r="I573" i="7"/>
  <c r="G573" i="7"/>
  <c r="I572" i="7"/>
  <c r="G572" i="7"/>
  <c r="I571" i="7"/>
  <c r="G571" i="7"/>
  <c r="I570" i="7"/>
  <c r="G570" i="7"/>
  <c r="I569" i="7"/>
  <c r="G569" i="7"/>
  <c r="I568" i="7"/>
  <c r="G568" i="7"/>
  <c r="I567" i="7"/>
  <c r="G567" i="7"/>
  <c r="I566" i="7"/>
  <c r="G566" i="7"/>
  <c r="I565" i="7"/>
  <c r="G565" i="7"/>
  <c r="I564" i="7"/>
  <c r="G564" i="7"/>
  <c r="I563" i="7"/>
  <c r="G563" i="7"/>
  <c r="I562" i="7"/>
  <c r="G562" i="7"/>
  <c r="I561" i="7"/>
  <c r="G561" i="7"/>
  <c r="I560" i="7"/>
  <c r="G560" i="7"/>
  <c r="I559" i="7"/>
  <c r="G559" i="7"/>
  <c r="I558" i="7"/>
  <c r="G558" i="7"/>
  <c r="I557" i="7"/>
  <c r="G557" i="7"/>
  <c r="I556" i="7"/>
  <c r="G556" i="7"/>
  <c r="I555" i="7"/>
  <c r="G555" i="7"/>
  <c r="I554" i="7"/>
  <c r="G554" i="7"/>
  <c r="I553" i="7"/>
  <c r="G553" i="7"/>
  <c r="I552" i="7"/>
  <c r="G552" i="7"/>
  <c r="I551" i="7"/>
  <c r="G551" i="7"/>
  <c r="I550" i="7"/>
  <c r="G550" i="7"/>
  <c r="I549" i="7"/>
  <c r="G549" i="7"/>
  <c r="I548" i="7"/>
  <c r="G548" i="7"/>
  <c r="I547" i="7"/>
  <c r="G547" i="7"/>
  <c r="I546" i="7"/>
  <c r="G546" i="7"/>
  <c r="I545" i="7"/>
  <c r="G545" i="7"/>
  <c r="I544" i="7"/>
  <c r="G544" i="7"/>
  <c r="I543" i="7"/>
  <c r="G543" i="7"/>
  <c r="I542" i="7"/>
  <c r="G542" i="7"/>
  <c r="I541" i="7"/>
  <c r="G541" i="7"/>
  <c r="I540" i="7"/>
  <c r="G540" i="7"/>
  <c r="I539" i="7"/>
  <c r="G539" i="7"/>
  <c r="I538" i="7"/>
  <c r="G538" i="7"/>
  <c r="I537" i="7"/>
  <c r="G537" i="7"/>
  <c r="I536" i="7"/>
  <c r="G536" i="7"/>
  <c r="I535" i="7"/>
  <c r="G535" i="7"/>
  <c r="I534" i="7"/>
  <c r="G534" i="7"/>
  <c r="I533" i="7"/>
  <c r="G533" i="7"/>
  <c r="I532" i="7"/>
  <c r="G532" i="7"/>
  <c r="I531" i="7"/>
  <c r="G531" i="7"/>
  <c r="I530" i="7"/>
  <c r="G530" i="7"/>
  <c r="I529" i="7"/>
  <c r="G529" i="7"/>
  <c r="I528" i="7"/>
  <c r="G528" i="7"/>
  <c r="I527" i="7"/>
  <c r="G527" i="7"/>
  <c r="I526" i="7"/>
  <c r="G526" i="7"/>
  <c r="I525" i="7"/>
  <c r="G525" i="7"/>
  <c r="I524" i="7"/>
  <c r="G524" i="7"/>
  <c r="I523" i="7"/>
  <c r="G523" i="7"/>
  <c r="I522" i="7"/>
  <c r="G522" i="7"/>
  <c r="I521" i="7"/>
  <c r="G521" i="7"/>
  <c r="I520" i="7"/>
  <c r="G520" i="7"/>
  <c r="I519" i="7"/>
  <c r="G519" i="7"/>
  <c r="I518" i="7"/>
  <c r="G518" i="7"/>
  <c r="I517" i="7"/>
  <c r="G517" i="7"/>
  <c r="I516" i="7"/>
  <c r="G516" i="7"/>
  <c r="I515" i="7"/>
  <c r="G515" i="7"/>
  <c r="I514" i="7"/>
  <c r="G514" i="7"/>
  <c r="I513" i="7"/>
  <c r="G513" i="7"/>
  <c r="I512" i="7"/>
  <c r="G512" i="7"/>
  <c r="I511" i="7"/>
  <c r="G511" i="7"/>
  <c r="I510" i="7"/>
  <c r="G510" i="7"/>
  <c r="I509" i="7"/>
  <c r="G509" i="7"/>
  <c r="I508" i="7"/>
  <c r="G508" i="7"/>
  <c r="I507" i="7"/>
  <c r="G507" i="7"/>
  <c r="I506" i="7"/>
  <c r="G506" i="7"/>
  <c r="I505" i="7"/>
  <c r="G505" i="7"/>
  <c r="I504" i="7"/>
  <c r="G504" i="7"/>
  <c r="I503" i="7"/>
  <c r="G503" i="7"/>
  <c r="I502" i="7"/>
  <c r="G502" i="7"/>
  <c r="I501" i="7"/>
  <c r="G501" i="7"/>
  <c r="I500" i="7"/>
  <c r="G500" i="7"/>
  <c r="I499" i="7"/>
  <c r="G499" i="7"/>
  <c r="I498" i="7"/>
  <c r="G498" i="7"/>
  <c r="I497" i="7"/>
  <c r="G497" i="7"/>
  <c r="I496" i="7"/>
  <c r="G496" i="7"/>
  <c r="I495" i="7"/>
  <c r="G495" i="7"/>
  <c r="I494" i="7"/>
  <c r="G494" i="7"/>
  <c r="I493" i="7"/>
  <c r="G493" i="7"/>
  <c r="I492" i="7"/>
  <c r="G492" i="7"/>
  <c r="I491" i="7"/>
  <c r="G491" i="7"/>
  <c r="I490" i="7"/>
  <c r="G490" i="7"/>
  <c r="I489" i="7"/>
  <c r="G489" i="7"/>
  <c r="I488" i="7"/>
  <c r="G488" i="7"/>
  <c r="I487" i="7"/>
  <c r="G487" i="7"/>
  <c r="I486" i="7"/>
  <c r="G486" i="7"/>
  <c r="I485" i="7"/>
  <c r="G485" i="7"/>
  <c r="I484" i="7"/>
  <c r="G484" i="7"/>
  <c r="I483" i="7"/>
  <c r="G483" i="7"/>
  <c r="I482" i="7"/>
  <c r="G482" i="7"/>
  <c r="I481" i="7"/>
  <c r="G481" i="7"/>
  <c r="I480" i="7"/>
  <c r="G480" i="7"/>
  <c r="I479" i="7"/>
  <c r="G479" i="7"/>
  <c r="I478" i="7"/>
  <c r="G478" i="7"/>
  <c r="I477" i="7"/>
  <c r="G477" i="7"/>
  <c r="I476" i="7"/>
  <c r="G476" i="7"/>
  <c r="I475" i="7"/>
  <c r="G475" i="7"/>
  <c r="I474" i="7"/>
  <c r="G474" i="7"/>
  <c r="I473" i="7"/>
  <c r="G473" i="7"/>
  <c r="I472" i="7"/>
  <c r="G472" i="7"/>
  <c r="I471" i="7"/>
  <c r="G471" i="7"/>
  <c r="I470" i="7"/>
  <c r="G470" i="7"/>
  <c r="I469" i="7"/>
  <c r="G469" i="7"/>
  <c r="I468" i="7"/>
  <c r="G468" i="7"/>
  <c r="I467" i="7"/>
  <c r="G467" i="7"/>
  <c r="I466" i="7"/>
  <c r="G466" i="7"/>
  <c r="I465" i="7"/>
  <c r="G465" i="7"/>
  <c r="I464" i="7"/>
  <c r="G464" i="7"/>
  <c r="I463" i="7"/>
  <c r="G463" i="7"/>
  <c r="I462" i="7"/>
  <c r="G462" i="7"/>
  <c r="I461" i="7"/>
  <c r="G461" i="7"/>
  <c r="I460" i="7"/>
  <c r="G460" i="7"/>
  <c r="I459" i="7"/>
  <c r="G459" i="7"/>
  <c r="I458" i="7"/>
  <c r="G458" i="7"/>
  <c r="I457" i="7"/>
  <c r="G457" i="7"/>
  <c r="I456" i="7"/>
  <c r="G456" i="7"/>
  <c r="I455" i="7"/>
  <c r="G455" i="7"/>
  <c r="I454" i="7"/>
  <c r="G454" i="7"/>
  <c r="I453" i="7"/>
  <c r="G453" i="7"/>
  <c r="I452" i="7"/>
  <c r="G452" i="7"/>
  <c r="I451" i="7"/>
  <c r="G451" i="7"/>
  <c r="I450" i="7"/>
  <c r="G450" i="7"/>
  <c r="I449" i="7"/>
  <c r="G449" i="7"/>
  <c r="I448" i="7"/>
  <c r="G448" i="7"/>
  <c r="I447" i="7"/>
  <c r="G447" i="7"/>
  <c r="I446" i="7"/>
  <c r="G446" i="7"/>
  <c r="I445" i="7"/>
  <c r="G445" i="7"/>
  <c r="I444" i="7"/>
  <c r="G444" i="7"/>
  <c r="I443" i="7"/>
  <c r="G443" i="7"/>
  <c r="I442" i="7"/>
  <c r="G442" i="7"/>
  <c r="I441" i="7"/>
  <c r="G441" i="7"/>
  <c r="I440" i="7"/>
  <c r="G440" i="7"/>
  <c r="I439" i="7"/>
  <c r="G439" i="7"/>
  <c r="I438" i="7"/>
  <c r="G438" i="7"/>
  <c r="I437" i="7"/>
  <c r="G437" i="7"/>
  <c r="I436" i="7"/>
  <c r="G436" i="7"/>
  <c r="I435" i="7"/>
  <c r="G435" i="7"/>
  <c r="I434" i="7"/>
  <c r="G434" i="7"/>
  <c r="I433" i="7"/>
  <c r="G433" i="7"/>
  <c r="I432" i="7"/>
  <c r="G432" i="7"/>
  <c r="I431" i="7"/>
  <c r="G431" i="7"/>
  <c r="I430" i="7"/>
  <c r="G430" i="7"/>
  <c r="I429" i="7"/>
  <c r="G429" i="7"/>
  <c r="I428" i="7"/>
  <c r="G428" i="7"/>
  <c r="I427" i="7"/>
  <c r="G427" i="7"/>
  <c r="I426" i="7"/>
  <c r="G426" i="7"/>
  <c r="I425" i="7"/>
  <c r="G425" i="7"/>
  <c r="I424" i="7"/>
  <c r="G424" i="7"/>
  <c r="I423" i="7"/>
  <c r="G423" i="7"/>
  <c r="I422" i="7"/>
  <c r="G422" i="7"/>
  <c r="I421" i="7"/>
  <c r="G421" i="7"/>
  <c r="I420" i="7"/>
  <c r="G420" i="7"/>
  <c r="I419" i="7"/>
  <c r="G419" i="7"/>
  <c r="I418" i="7"/>
  <c r="G418" i="7"/>
  <c r="I417" i="7"/>
  <c r="G417" i="7"/>
  <c r="I416" i="7"/>
  <c r="G416" i="7"/>
  <c r="I415" i="7"/>
  <c r="G415" i="7"/>
  <c r="I414" i="7"/>
  <c r="G414" i="7"/>
  <c r="I413" i="7"/>
  <c r="G413" i="7"/>
  <c r="I412" i="7"/>
  <c r="G412" i="7"/>
  <c r="I411" i="7"/>
  <c r="G411" i="7"/>
  <c r="I410" i="7"/>
  <c r="G410" i="7"/>
  <c r="I409" i="7"/>
  <c r="G409" i="7"/>
  <c r="I408" i="7"/>
  <c r="G408" i="7"/>
  <c r="I407" i="7"/>
  <c r="G407" i="7"/>
  <c r="I406" i="7"/>
  <c r="G406" i="7"/>
  <c r="I405" i="7"/>
  <c r="G405" i="7"/>
  <c r="I404" i="7"/>
  <c r="G404" i="7"/>
  <c r="I403" i="7"/>
  <c r="G403" i="7"/>
  <c r="I402" i="7"/>
  <c r="G402" i="7"/>
  <c r="I401" i="7"/>
  <c r="G401" i="7"/>
  <c r="I400" i="7"/>
  <c r="G400" i="7"/>
  <c r="I399" i="7"/>
  <c r="G399" i="7"/>
  <c r="I398" i="7"/>
  <c r="G398" i="7"/>
  <c r="I397" i="7"/>
  <c r="G397" i="7"/>
  <c r="I396" i="7"/>
  <c r="G396" i="7"/>
  <c r="I395" i="7"/>
  <c r="G395" i="7"/>
  <c r="I394" i="7"/>
  <c r="G394" i="7"/>
  <c r="I393" i="7"/>
  <c r="G393" i="7"/>
  <c r="I392" i="7"/>
  <c r="G392" i="7"/>
  <c r="I391" i="7"/>
  <c r="G391" i="7"/>
  <c r="I390" i="7"/>
  <c r="G390" i="7"/>
  <c r="I389" i="7"/>
  <c r="G389" i="7"/>
  <c r="I388" i="7"/>
  <c r="G388" i="7"/>
  <c r="I387" i="7"/>
  <c r="G387" i="7"/>
  <c r="I386" i="7"/>
  <c r="G386" i="7"/>
  <c r="I385" i="7"/>
  <c r="G385" i="7"/>
  <c r="I384" i="7"/>
  <c r="G384" i="7"/>
  <c r="I383" i="7"/>
  <c r="G383" i="7"/>
  <c r="I382" i="7"/>
  <c r="G382" i="7"/>
  <c r="I381" i="7"/>
  <c r="G381" i="7"/>
  <c r="I380" i="7"/>
  <c r="G380" i="7"/>
  <c r="I379" i="7"/>
  <c r="G379" i="7"/>
  <c r="I378" i="7"/>
  <c r="G378" i="7"/>
  <c r="I377" i="7"/>
  <c r="G377" i="7"/>
  <c r="I376" i="7"/>
  <c r="G376" i="7"/>
  <c r="I375" i="7"/>
  <c r="G375" i="7"/>
  <c r="I374" i="7"/>
  <c r="G374" i="7"/>
  <c r="I373" i="7"/>
  <c r="G373" i="7"/>
  <c r="I372" i="7"/>
  <c r="G372" i="7"/>
  <c r="I371" i="7"/>
  <c r="G371" i="7"/>
  <c r="I370" i="7"/>
  <c r="G370" i="7"/>
  <c r="I369" i="7"/>
  <c r="G369" i="7"/>
  <c r="I368" i="7"/>
  <c r="G368" i="7"/>
  <c r="I367" i="7"/>
  <c r="G367" i="7"/>
  <c r="I366" i="7"/>
  <c r="G366" i="7"/>
  <c r="I365" i="7"/>
  <c r="G365" i="7"/>
  <c r="I364" i="7"/>
  <c r="G364" i="7"/>
  <c r="I363" i="7"/>
  <c r="G363" i="7"/>
  <c r="I362" i="7"/>
  <c r="G362" i="7"/>
  <c r="I361" i="7"/>
  <c r="G361" i="7"/>
  <c r="I360" i="7"/>
  <c r="G360" i="7"/>
  <c r="I359" i="7"/>
  <c r="G359" i="7"/>
  <c r="I358" i="7"/>
  <c r="G358" i="7"/>
  <c r="I357" i="7"/>
  <c r="G357" i="7"/>
  <c r="I356" i="7"/>
  <c r="G356" i="7"/>
  <c r="I355" i="7"/>
  <c r="G355" i="7"/>
  <c r="I354" i="7"/>
  <c r="G354" i="7"/>
  <c r="I353" i="7"/>
  <c r="G353" i="7"/>
  <c r="I352" i="7"/>
  <c r="G352" i="7"/>
  <c r="I351" i="7"/>
  <c r="G351" i="7"/>
  <c r="I350" i="7"/>
  <c r="G350" i="7"/>
  <c r="I349" i="7"/>
  <c r="G349" i="7"/>
  <c r="I348" i="7"/>
  <c r="G348" i="7"/>
  <c r="I347" i="7"/>
  <c r="G347" i="7"/>
  <c r="I346" i="7"/>
  <c r="G346" i="7"/>
  <c r="I345" i="7"/>
  <c r="G345" i="7"/>
  <c r="I344" i="7"/>
  <c r="G344" i="7"/>
  <c r="I343" i="7"/>
  <c r="G343" i="7"/>
  <c r="I342" i="7"/>
  <c r="G342" i="7"/>
  <c r="I341" i="7"/>
  <c r="G341" i="7"/>
  <c r="I340" i="7"/>
  <c r="G340" i="7"/>
  <c r="I339" i="7"/>
  <c r="G339" i="7"/>
  <c r="I338" i="7"/>
  <c r="G338" i="7"/>
  <c r="I337" i="7"/>
  <c r="G337" i="7"/>
  <c r="I336" i="7"/>
  <c r="G336" i="7"/>
  <c r="I335" i="7"/>
  <c r="G335" i="7"/>
  <c r="I334" i="7"/>
  <c r="G334" i="7"/>
  <c r="I333" i="7"/>
  <c r="G333" i="7"/>
  <c r="I332" i="7"/>
  <c r="G332" i="7"/>
  <c r="I331" i="7"/>
  <c r="G331" i="7"/>
  <c r="I330" i="7"/>
  <c r="G330" i="7"/>
  <c r="I329" i="7"/>
  <c r="G329" i="7"/>
  <c r="I328" i="7"/>
  <c r="G328" i="7"/>
  <c r="I327" i="7"/>
  <c r="G327" i="7"/>
  <c r="I326" i="7"/>
  <c r="G326" i="7"/>
  <c r="I325" i="7"/>
  <c r="G325" i="7"/>
  <c r="I324" i="7"/>
  <c r="G324" i="7"/>
  <c r="I323" i="7"/>
  <c r="G323" i="7"/>
  <c r="I322" i="7"/>
  <c r="G322" i="7"/>
  <c r="I321" i="7"/>
  <c r="G321" i="7"/>
  <c r="I320" i="7"/>
  <c r="G320" i="7"/>
  <c r="I319" i="7"/>
  <c r="G319" i="7"/>
  <c r="I318" i="7"/>
  <c r="G318" i="7"/>
  <c r="I317" i="7"/>
  <c r="G317" i="7"/>
  <c r="I316" i="7"/>
  <c r="G316" i="7"/>
  <c r="I315" i="7"/>
  <c r="G315" i="7"/>
  <c r="I314" i="7"/>
  <c r="G314" i="7"/>
  <c r="I313" i="7"/>
  <c r="G313" i="7"/>
  <c r="I312" i="7"/>
  <c r="G312" i="7"/>
  <c r="I311" i="7"/>
  <c r="G311" i="7"/>
  <c r="I310" i="7"/>
  <c r="G310" i="7"/>
  <c r="I309" i="7"/>
  <c r="G309" i="7"/>
  <c r="I308" i="7"/>
  <c r="G308" i="7"/>
  <c r="I307" i="7"/>
  <c r="G307" i="7"/>
  <c r="I306" i="7"/>
  <c r="G306" i="7"/>
  <c r="I305" i="7"/>
  <c r="G305" i="7"/>
  <c r="I304" i="7"/>
  <c r="G304" i="7"/>
  <c r="I303" i="7"/>
  <c r="G303" i="7"/>
  <c r="I302" i="7"/>
  <c r="G302" i="7"/>
  <c r="I301" i="7"/>
  <c r="G301" i="7"/>
  <c r="I300" i="7"/>
  <c r="G300" i="7"/>
  <c r="I299" i="7"/>
  <c r="G299" i="7"/>
  <c r="I298" i="7"/>
  <c r="G298" i="7"/>
  <c r="I297" i="7"/>
  <c r="G297" i="7"/>
  <c r="I296" i="7"/>
  <c r="G296" i="7"/>
  <c r="I295" i="7"/>
  <c r="G295" i="7"/>
  <c r="I294" i="7"/>
  <c r="G294" i="7"/>
  <c r="I293" i="7"/>
  <c r="G293" i="7"/>
  <c r="I292" i="7"/>
  <c r="G292" i="7"/>
  <c r="I291" i="7"/>
  <c r="G291" i="7"/>
  <c r="I290" i="7"/>
  <c r="G290" i="7"/>
  <c r="I289" i="7"/>
  <c r="G289" i="7"/>
  <c r="I288" i="7"/>
  <c r="G288" i="7"/>
  <c r="I287" i="7"/>
  <c r="G287" i="7"/>
  <c r="I286" i="7"/>
  <c r="G286" i="7"/>
  <c r="I285" i="7"/>
  <c r="G285" i="7"/>
  <c r="I284" i="7"/>
  <c r="G284" i="7"/>
  <c r="I283" i="7"/>
  <c r="G283" i="7"/>
  <c r="I282" i="7"/>
  <c r="G282" i="7"/>
  <c r="I281" i="7"/>
  <c r="G281" i="7"/>
  <c r="I280" i="7"/>
  <c r="G280" i="7"/>
  <c r="I279" i="7"/>
  <c r="G279" i="7"/>
  <c r="I278" i="7"/>
  <c r="G278" i="7"/>
  <c r="I277" i="7"/>
  <c r="G277" i="7"/>
  <c r="I276" i="7"/>
  <c r="G276" i="7"/>
  <c r="I275" i="7"/>
  <c r="G275" i="7"/>
  <c r="I274" i="7"/>
  <c r="G274" i="7"/>
  <c r="I273" i="7"/>
  <c r="G273" i="7"/>
  <c r="I272" i="7"/>
  <c r="G272" i="7"/>
  <c r="I271" i="7"/>
  <c r="G271" i="7"/>
  <c r="I270" i="7"/>
  <c r="G270" i="7"/>
  <c r="I269" i="7"/>
  <c r="G269" i="7"/>
  <c r="I268" i="7"/>
  <c r="G268" i="7"/>
  <c r="I267" i="7"/>
  <c r="G267" i="7"/>
  <c r="I266" i="7"/>
  <c r="G266" i="7"/>
  <c r="I265" i="7"/>
  <c r="G265" i="7"/>
  <c r="I264" i="7"/>
  <c r="G264" i="7"/>
  <c r="I263" i="7"/>
  <c r="G263" i="7"/>
  <c r="I262" i="7"/>
  <c r="G262" i="7"/>
  <c r="I261" i="7"/>
  <c r="G261" i="7"/>
  <c r="I260" i="7"/>
  <c r="G260" i="7"/>
  <c r="I259" i="7"/>
  <c r="G259" i="7"/>
  <c r="I258" i="7"/>
  <c r="G258" i="7"/>
  <c r="I257" i="7"/>
  <c r="G257" i="7"/>
  <c r="I256" i="7"/>
  <c r="G256" i="7"/>
  <c r="I255" i="7"/>
  <c r="G255" i="7"/>
  <c r="I254" i="7"/>
  <c r="G254" i="7"/>
  <c r="I253" i="7"/>
  <c r="G253" i="7"/>
  <c r="I252" i="7"/>
  <c r="G252" i="7"/>
  <c r="I251" i="7"/>
  <c r="G251" i="7"/>
  <c r="I250" i="7"/>
  <c r="G250" i="7"/>
  <c r="I249" i="7"/>
  <c r="G249" i="7"/>
  <c r="I248" i="7"/>
  <c r="G248" i="7"/>
  <c r="I247" i="7"/>
  <c r="G247" i="7"/>
  <c r="I246" i="7"/>
  <c r="G246" i="7"/>
  <c r="I245" i="7"/>
  <c r="G245" i="7"/>
  <c r="I244" i="7"/>
  <c r="G244" i="7"/>
  <c r="I243" i="7"/>
  <c r="G243" i="7"/>
  <c r="I242" i="7"/>
  <c r="G242" i="7"/>
  <c r="I241" i="7"/>
  <c r="G241" i="7"/>
  <c r="I240" i="7"/>
  <c r="G240" i="7"/>
  <c r="I239" i="7"/>
  <c r="G239" i="7"/>
  <c r="I238" i="7"/>
  <c r="G238" i="7"/>
  <c r="I237" i="7"/>
  <c r="G237" i="7"/>
  <c r="I236" i="7"/>
  <c r="G236" i="7"/>
  <c r="I235" i="7"/>
  <c r="G235" i="7"/>
  <c r="I234" i="7"/>
  <c r="G234" i="7"/>
  <c r="I233" i="7"/>
  <c r="G233" i="7"/>
  <c r="I232" i="7"/>
  <c r="G232" i="7"/>
  <c r="I231" i="7"/>
  <c r="G231" i="7"/>
  <c r="I230" i="7"/>
  <c r="G230" i="7"/>
  <c r="I229" i="7"/>
  <c r="G229" i="7"/>
  <c r="I228" i="7"/>
  <c r="G228" i="7"/>
  <c r="I227" i="7"/>
  <c r="G227" i="7"/>
  <c r="I226" i="7"/>
  <c r="G226" i="7"/>
  <c r="I225" i="7"/>
  <c r="G225" i="7"/>
  <c r="I224" i="7"/>
  <c r="G224" i="7"/>
  <c r="I223" i="7"/>
  <c r="G223" i="7"/>
  <c r="I222" i="7"/>
  <c r="G222" i="7"/>
  <c r="I221" i="7"/>
  <c r="G221" i="7"/>
  <c r="I220" i="7"/>
  <c r="G220" i="7"/>
  <c r="I219" i="7"/>
  <c r="G219" i="7"/>
  <c r="I218" i="7"/>
  <c r="G218" i="7"/>
  <c r="I217" i="7"/>
  <c r="G217" i="7"/>
  <c r="I216" i="7"/>
  <c r="G216" i="7"/>
  <c r="I215" i="7"/>
  <c r="G215" i="7"/>
  <c r="I214" i="7"/>
  <c r="G214" i="7"/>
  <c r="I213" i="7"/>
  <c r="G213" i="7"/>
  <c r="I212" i="7"/>
  <c r="G212" i="7"/>
  <c r="I211" i="7"/>
  <c r="G211" i="7"/>
  <c r="I210" i="7"/>
  <c r="G210" i="7"/>
  <c r="I209" i="7"/>
  <c r="G209" i="7"/>
  <c r="I208" i="7"/>
  <c r="G208" i="7"/>
  <c r="I207" i="7"/>
  <c r="G207" i="7"/>
  <c r="I206" i="7"/>
  <c r="G206" i="7"/>
  <c r="I205" i="7"/>
  <c r="G205" i="7"/>
  <c r="I204" i="7"/>
  <c r="G204" i="7"/>
  <c r="I203" i="7"/>
  <c r="G203" i="7"/>
  <c r="I202" i="7"/>
  <c r="G202" i="7"/>
  <c r="I201" i="7"/>
  <c r="G201" i="7"/>
  <c r="I200" i="7"/>
  <c r="G200" i="7"/>
  <c r="I199" i="7"/>
  <c r="G199" i="7"/>
  <c r="I198" i="7"/>
  <c r="G198" i="7"/>
  <c r="I197" i="7"/>
  <c r="G197" i="7"/>
  <c r="I196" i="7"/>
  <c r="G196" i="7"/>
  <c r="I195" i="7"/>
  <c r="G195" i="7"/>
  <c r="I194" i="7"/>
  <c r="G194" i="7"/>
  <c r="I193" i="7"/>
  <c r="G193" i="7"/>
  <c r="I192" i="7"/>
  <c r="G192" i="7"/>
  <c r="I191" i="7"/>
  <c r="G191" i="7"/>
  <c r="I190" i="7"/>
  <c r="G190" i="7"/>
  <c r="I189" i="7"/>
  <c r="G189" i="7"/>
  <c r="I188" i="7"/>
  <c r="G188" i="7"/>
  <c r="I187" i="7"/>
  <c r="G187" i="7"/>
  <c r="I186" i="7"/>
  <c r="G186" i="7"/>
  <c r="I185" i="7"/>
  <c r="G185" i="7"/>
  <c r="I184" i="7"/>
  <c r="G184" i="7"/>
  <c r="I183" i="7"/>
  <c r="G183" i="7"/>
  <c r="I182" i="7"/>
  <c r="G182" i="7"/>
  <c r="I181" i="7"/>
  <c r="G181" i="7"/>
  <c r="I180" i="7"/>
  <c r="G180" i="7"/>
  <c r="I179" i="7"/>
  <c r="G179" i="7"/>
  <c r="I178" i="7"/>
  <c r="G178" i="7"/>
  <c r="I177" i="7"/>
  <c r="G177" i="7"/>
  <c r="I176" i="7"/>
  <c r="G176" i="7"/>
  <c r="I175" i="7"/>
  <c r="G175" i="7"/>
  <c r="I174" i="7"/>
  <c r="G174" i="7"/>
  <c r="I173" i="7"/>
  <c r="G173" i="7"/>
  <c r="I172" i="7"/>
  <c r="G172" i="7"/>
  <c r="I171" i="7"/>
  <c r="G171" i="7"/>
  <c r="I170" i="7"/>
  <c r="G170" i="7"/>
  <c r="I169" i="7"/>
  <c r="G169" i="7"/>
  <c r="I168" i="7"/>
  <c r="G168" i="7"/>
  <c r="I167" i="7"/>
  <c r="G167" i="7"/>
  <c r="I166" i="7"/>
  <c r="G166" i="7"/>
  <c r="I165" i="7"/>
  <c r="G165" i="7"/>
  <c r="I164" i="7"/>
  <c r="G164" i="7"/>
  <c r="I163" i="7"/>
  <c r="G163" i="7"/>
  <c r="I162" i="7"/>
  <c r="G162" i="7"/>
  <c r="I161" i="7"/>
  <c r="G161" i="7"/>
  <c r="I160" i="7"/>
  <c r="G160" i="7"/>
  <c r="I159" i="7"/>
  <c r="G159" i="7"/>
  <c r="I158" i="7"/>
  <c r="G158" i="7"/>
  <c r="I157" i="7"/>
  <c r="G157" i="7"/>
  <c r="I156" i="7"/>
  <c r="G156" i="7"/>
  <c r="I155" i="7"/>
  <c r="G155" i="7"/>
  <c r="I154" i="7"/>
  <c r="G154" i="7"/>
  <c r="I153" i="7"/>
  <c r="G153" i="7"/>
  <c r="I152" i="7"/>
  <c r="G152" i="7"/>
  <c r="I151" i="7"/>
  <c r="G151" i="7"/>
  <c r="I150" i="7"/>
  <c r="G150" i="7"/>
  <c r="I149" i="7"/>
  <c r="G149" i="7"/>
  <c r="I148" i="7"/>
  <c r="G148" i="7"/>
  <c r="I147" i="7"/>
  <c r="G147" i="7"/>
  <c r="I146" i="7"/>
  <c r="G146" i="7"/>
  <c r="I145" i="7"/>
  <c r="G145" i="7"/>
  <c r="I144" i="7"/>
  <c r="G144" i="7"/>
  <c r="I143" i="7"/>
  <c r="G143" i="7"/>
  <c r="I142" i="7"/>
  <c r="G142" i="7"/>
  <c r="I141" i="7"/>
  <c r="G141" i="7"/>
  <c r="I140" i="7"/>
  <c r="G140" i="7"/>
  <c r="I139" i="7"/>
  <c r="G139" i="7"/>
  <c r="I138" i="7"/>
  <c r="G138" i="7"/>
  <c r="I137" i="7"/>
  <c r="G137" i="7"/>
  <c r="I136" i="7"/>
  <c r="G136" i="7"/>
  <c r="I135" i="7"/>
  <c r="G135" i="7"/>
  <c r="I134" i="7"/>
  <c r="G134" i="7"/>
  <c r="I133" i="7"/>
  <c r="G133" i="7"/>
  <c r="I132" i="7"/>
  <c r="G132" i="7"/>
  <c r="I131" i="7"/>
  <c r="G131" i="7"/>
  <c r="I130" i="7"/>
  <c r="G130" i="7"/>
  <c r="I129" i="7"/>
  <c r="G129" i="7"/>
  <c r="I128" i="7"/>
  <c r="G128" i="7"/>
  <c r="I127" i="7"/>
  <c r="G127" i="7"/>
  <c r="I126" i="7"/>
  <c r="G126" i="7"/>
  <c r="I125" i="7"/>
  <c r="G125" i="7"/>
  <c r="I124" i="7"/>
  <c r="G124" i="7"/>
  <c r="I123" i="7"/>
  <c r="G123" i="7"/>
  <c r="I122" i="7"/>
  <c r="G122" i="7"/>
  <c r="I121" i="7"/>
  <c r="G121" i="7"/>
  <c r="I120" i="7"/>
  <c r="G120" i="7"/>
  <c r="I119" i="7"/>
  <c r="G119" i="7"/>
  <c r="I118" i="7"/>
  <c r="G118" i="7"/>
  <c r="I117" i="7"/>
  <c r="G117" i="7"/>
  <c r="I116" i="7"/>
  <c r="G116" i="7"/>
  <c r="I115" i="7"/>
  <c r="G115" i="7"/>
  <c r="I114" i="7"/>
  <c r="G114" i="7"/>
  <c r="I113" i="7"/>
  <c r="G113" i="7"/>
  <c r="I112" i="7"/>
  <c r="G112" i="7"/>
  <c r="I111" i="7"/>
  <c r="G111" i="7"/>
  <c r="I110" i="7"/>
  <c r="G110" i="7"/>
  <c r="I109" i="7"/>
  <c r="G109" i="7"/>
  <c r="I108" i="7"/>
  <c r="G108" i="7"/>
  <c r="I107" i="7"/>
  <c r="G107" i="7"/>
  <c r="I106" i="7"/>
  <c r="G106" i="7"/>
  <c r="I105" i="7"/>
  <c r="G105" i="7"/>
  <c r="I104" i="7"/>
  <c r="G104" i="7"/>
  <c r="I103" i="7"/>
  <c r="G103" i="7"/>
  <c r="I102" i="7"/>
  <c r="G102" i="7"/>
  <c r="I101" i="7"/>
  <c r="G101" i="7"/>
  <c r="I100" i="7"/>
  <c r="G100" i="7"/>
  <c r="I99" i="7"/>
  <c r="G99" i="7"/>
  <c r="I98" i="7"/>
  <c r="G98" i="7"/>
  <c r="I97" i="7"/>
  <c r="G97" i="7"/>
  <c r="I96" i="7"/>
  <c r="G96" i="7"/>
  <c r="I95" i="7"/>
  <c r="G95" i="7"/>
  <c r="I94" i="7"/>
  <c r="G94" i="7"/>
  <c r="I93" i="7"/>
  <c r="G93" i="7"/>
  <c r="I92" i="7"/>
  <c r="G92" i="7"/>
  <c r="I91" i="7"/>
  <c r="G91" i="7"/>
  <c r="I90" i="7"/>
  <c r="G90" i="7"/>
  <c r="I89" i="7"/>
  <c r="G89" i="7"/>
  <c r="I88" i="7"/>
  <c r="G88" i="7"/>
  <c r="I87" i="7"/>
  <c r="G87" i="7"/>
  <c r="I86" i="7"/>
  <c r="G86" i="7"/>
  <c r="I85" i="7"/>
  <c r="G85" i="7"/>
  <c r="I84" i="7"/>
  <c r="G84" i="7"/>
  <c r="I83" i="7"/>
  <c r="G83" i="7"/>
  <c r="I82" i="7"/>
  <c r="G82" i="7"/>
  <c r="I81" i="7"/>
  <c r="G81" i="7"/>
  <c r="I80" i="7"/>
  <c r="G80" i="7"/>
  <c r="I79" i="7"/>
  <c r="G79" i="7"/>
  <c r="I78" i="7"/>
  <c r="G78" i="7"/>
  <c r="I77" i="7"/>
  <c r="G77" i="7"/>
  <c r="I76" i="7"/>
  <c r="G76" i="7"/>
  <c r="I75" i="7"/>
  <c r="G75" i="7"/>
  <c r="I74" i="7"/>
  <c r="G74" i="7"/>
  <c r="I73" i="7"/>
  <c r="G73" i="7"/>
  <c r="I72" i="7"/>
  <c r="G72" i="7"/>
  <c r="I71" i="7"/>
  <c r="G71" i="7"/>
  <c r="I70" i="7"/>
  <c r="G70" i="7"/>
  <c r="I69" i="7"/>
  <c r="G69" i="7"/>
  <c r="I68" i="7"/>
  <c r="G68" i="7"/>
  <c r="I67" i="7"/>
  <c r="G67" i="7"/>
  <c r="I66" i="7"/>
  <c r="G66" i="7"/>
  <c r="I65" i="7"/>
  <c r="G65" i="7"/>
  <c r="I64" i="7"/>
  <c r="G64" i="7"/>
  <c r="I63" i="7"/>
  <c r="G63" i="7"/>
  <c r="I62" i="7"/>
  <c r="G62" i="7"/>
  <c r="I61" i="7"/>
  <c r="G61" i="7"/>
  <c r="I60" i="7"/>
  <c r="G60" i="7"/>
  <c r="I59" i="7"/>
  <c r="G59" i="7"/>
  <c r="I58" i="7"/>
  <c r="G58" i="7"/>
  <c r="I57" i="7"/>
  <c r="G57" i="7"/>
  <c r="I56" i="7"/>
  <c r="G56" i="7"/>
  <c r="I55" i="7"/>
  <c r="G55" i="7"/>
  <c r="I54" i="7"/>
  <c r="G54" i="7"/>
  <c r="I53" i="7"/>
  <c r="G53" i="7"/>
  <c r="I52" i="7"/>
  <c r="G52" i="7"/>
  <c r="I51" i="7"/>
  <c r="G51" i="7"/>
  <c r="I50" i="7"/>
  <c r="G50" i="7"/>
  <c r="I49" i="7"/>
  <c r="G49" i="7"/>
  <c r="I48" i="7"/>
  <c r="G48" i="7"/>
  <c r="I47" i="7"/>
  <c r="G47" i="7"/>
  <c r="I46" i="7"/>
  <c r="G46" i="7"/>
  <c r="I45" i="7"/>
  <c r="G45" i="7"/>
  <c r="I44" i="7"/>
  <c r="G44" i="7"/>
  <c r="I43" i="7"/>
  <c r="G43" i="7"/>
  <c r="I42" i="7"/>
  <c r="G42" i="7"/>
  <c r="I41" i="7"/>
  <c r="G41" i="7"/>
  <c r="I40" i="7"/>
  <c r="G40" i="7"/>
  <c r="I39" i="7"/>
  <c r="G39" i="7"/>
  <c r="I38" i="7"/>
  <c r="G38" i="7"/>
  <c r="I37" i="7"/>
  <c r="G37" i="7"/>
  <c r="I36" i="7"/>
  <c r="G36" i="7"/>
  <c r="I35" i="7"/>
  <c r="G35" i="7"/>
  <c r="I34" i="7"/>
  <c r="G34" i="7"/>
  <c r="I33" i="7"/>
  <c r="G33" i="7"/>
  <c r="I32" i="7"/>
  <c r="G32" i="7"/>
  <c r="I31" i="7"/>
  <c r="G31" i="7"/>
  <c r="I30" i="7"/>
  <c r="G30" i="7"/>
  <c r="I29" i="7"/>
  <c r="G29" i="7"/>
  <c r="I28" i="7"/>
  <c r="G28" i="7"/>
  <c r="I27" i="7"/>
  <c r="G27" i="7"/>
  <c r="I26" i="7"/>
  <c r="G26" i="7"/>
  <c r="I25" i="7"/>
  <c r="G25" i="7"/>
  <c r="I24" i="7"/>
  <c r="G24" i="7"/>
  <c r="I23" i="7"/>
  <c r="G23" i="7"/>
  <c r="I22" i="7"/>
  <c r="G22" i="7"/>
  <c r="I21" i="7"/>
  <c r="G21" i="7"/>
  <c r="I20" i="7"/>
  <c r="G20" i="7"/>
  <c r="I19" i="7"/>
  <c r="G19" i="7"/>
  <c r="I18" i="7"/>
  <c r="G18" i="7"/>
  <c r="I17" i="7"/>
  <c r="G17" i="7"/>
  <c r="I16" i="7"/>
  <c r="G16" i="7"/>
  <c r="I15" i="7"/>
  <c r="G15" i="7"/>
  <c r="I14" i="7"/>
  <c r="G14" i="7"/>
  <c r="I13" i="7"/>
  <c r="G13" i="7"/>
  <c r="I12" i="7"/>
  <c r="G12" i="7"/>
  <c r="I11" i="7"/>
  <c r="G11" i="7"/>
  <c r="I10" i="7"/>
  <c r="G10" i="7"/>
  <c r="I9" i="7"/>
  <c r="G9" i="7"/>
  <c r="I8" i="7"/>
  <c r="G8" i="7"/>
  <c r="I7" i="7"/>
  <c r="G7" i="7"/>
  <c r="I6" i="7"/>
  <c r="G6" i="7"/>
  <c r="I5" i="7"/>
  <c r="G5" i="7"/>
  <c r="I4" i="7"/>
  <c r="G4" i="7"/>
  <c r="I3" i="7"/>
  <c r="G3" i="7"/>
  <c r="I2" i="7"/>
  <c r="G2" i="7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E33" i="5"/>
  <c r="F33" i="5" s="1"/>
  <c r="E32" i="5"/>
  <c r="F32" i="5" s="1"/>
  <c r="E31" i="5"/>
  <c r="G31" i="5" s="1"/>
  <c r="E30" i="5"/>
  <c r="G30" i="5" s="1"/>
  <c r="E29" i="5"/>
  <c r="F29" i="5" s="1"/>
  <c r="G28" i="5"/>
  <c r="F28" i="5"/>
  <c r="E28" i="5"/>
  <c r="E27" i="5"/>
  <c r="G27" i="5" s="1"/>
  <c r="E26" i="5"/>
  <c r="G26" i="5" s="1"/>
  <c r="E25" i="5"/>
  <c r="F25" i="5" s="1"/>
  <c r="E24" i="5"/>
  <c r="F24" i="5" s="1"/>
  <c r="E23" i="5"/>
  <c r="F23" i="5" s="1"/>
  <c r="E22" i="5"/>
  <c r="G22" i="5" s="1"/>
  <c r="E21" i="5"/>
  <c r="F21" i="5" s="1"/>
  <c r="E20" i="5"/>
  <c r="F20" i="5" s="1"/>
  <c r="G19" i="5"/>
  <c r="F19" i="5"/>
  <c r="E19" i="5"/>
  <c r="G18" i="5"/>
  <c r="F18" i="5"/>
  <c r="E18" i="5"/>
  <c r="E17" i="5"/>
  <c r="G17" i="5" s="1"/>
  <c r="E16" i="5"/>
  <c r="G16" i="5" s="1"/>
  <c r="E15" i="5"/>
  <c r="F15" i="5" s="1"/>
  <c r="E14" i="5"/>
  <c r="G14" i="5" s="1"/>
  <c r="E13" i="5"/>
  <c r="F13" i="5" s="1"/>
  <c r="E12" i="5"/>
  <c r="G12" i="5" s="1"/>
  <c r="E11" i="5"/>
  <c r="G11" i="5" s="1"/>
  <c r="G10" i="5"/>
  <c r="F10" i="5"/>
  <c r="E10" i="5"/>
  <c r="G9" i="5"/>
  <c r="E9" i="5"/>
  <c r="F9" i="5" s="1"/>
  <c r="E8" i="5"/>
  <c r="F8" i="5" s="1"/>
  <c r="E7" i="5"/>
  <c r="F7" i="5" s="1"/>
  <c r="E6" i="5"/>
  <c r="G6" i="5" s="1"/>
  <c r="E5" i="5"/>
  <c r="G5" i="5" s="1"/>
  <c r="E4" i="5"/>
  <c r="F4" i="5" s="1"/>
  <c r="E3" i="5"/>
  <c r="F3" i="5" s="1"/>
  <c r="E2" i="5"/>
  <c r="G2" i="5" s="1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  <c r="I616" i="3"/>
  <c r="G616" i="3"/>
  <c r="I615" i="3"/>
  <c r="G615" i="3"/>
  <c r="I614" i="3"/>
  <c r="G614" i="3"/>
  <c r="I613" i="3"/>
  <c r="G613" i="3"/>
  <c r="I612" i="3"/>
  <c r="G612" i="3"/>
  <c r="I611" i="3"/>
  <c r="G611" i="3"/>
  <c r="I610" i="3"/>
  <c r="G610" i="3"/>
  <c r="I609" i="3"/>
  <c r="G609" i="3"/>
  <c r="I608" i="3"/>
  <c r="G608" i="3"/>
  <c r="I607" i="3"/>
  <c r="G607" i="3"/>
  <c r="I606" i="3"/>
  <c r="G606" i="3"/>
  <c r="I605" i="3"/>
  <c r="G605" i="3"/>
  <c r="I604" i="3"/>
  <c r="G604" i="3"/>
  <c r="I603" i="3"/>
  <c r="G603" i="3"/>
  <c r="I602" i="3"/>
  <c r="G602" i="3"/>
  <c r="I601" i="3"/>
  <c r="G601" i="3"/>
  <c r="I600" i="3"/>
  <c r="G600" i="3"/>
  <c r="I599" i="3"/>
  <c r="G599" i="3"/>
  <c r="I598" i="3"/>
  <c r="G598" i="3"/>
  <c r="I597" i="3"/>
  <c r="G597" i="3"/>
  <c r="I596" i="3"/>
  <c r="G596" i="3"/>
  <c r="I595" i="3"/>
  <c r="G595" i="3"/>
  <c r="I594" i="3"/>
  <c r="G594" i="3"/>
  <c r="I593" i="3"/>
  <c r="G593" i="3"/>
  <c r="I592" i="3"/>
  <c r="G592" i="3"/>
  <c r="I591" i="3"/>
  <c r="G591" i="3"/>
  <c r="I590" i="3"/>
  <c r="G590" i="3"/>
  <c r="I589" i="3"/>
  <c r="G589" i="3"/>
  <c r="I588" i="3"/>
  <c r="G588" i="3"/>
  <c r="I587" i="3"/>
  <c r="G587" i="3"/>
  <c r="I586" i="3"/>
  <c r="G586" i="3"/>
  <c r="I585" i="3"/>
  <c r="G585" i="3"/>
  <c r="I584" i="3"/>
  <c r="G584" i="3"/>
  <c r="I583" i="3"/>
  <c r="G583" i="3"/>
  <c r="I582" i="3"/>
  <c r="G582" i="3"/>
  <c r="I581" i="3"/>
  <c r="G581" i="3"/>
  <c r="I580" i="3"/>
  <c r="G580" i="3"/>
  <c r="I579" i="3"/>
  <c r="G579" i="3"/>
  <c r="I578" i="3"/>
  <c r="G578" i="3"/>
  <c r="I577" i="3"/>
  <c r="G577" i="3"/>
  <c r="I576" i="3"/>
  <c r="G576" i="3"/>
  <c r="I575" i="3"/>
  <c r="G575" i="3"/>
  <c r="I574" i="3"/>
  <c r="G574" i="3"/>
  <c r="I573" i="3"/>
  <c r="G573" i="3"/>
  <c r="I572" i="3"/>
  <c r="G572" i="3"/>
  <c r="I571" i="3"/>
  <c r="G571" i="3"/>
  <c r="I570" i="3"/>
  <c r="G570" i="3"/>
  <c r="I569" i="3"/>
  <c r="G569" i="3"/>
  <c r="I568" i="3"/>
  <c r="G568" i="3"/>
  <c r="I567" i="3"/>
  <c r="G567" i="3"/>
  <c r="I566" i="3"/>
  <c r="G566" i="3"/>
  <c r="I565" i="3"/>
  <c r="G565" i="3"/>
  <c r="I564" i="3"/>
  <c r="G564" i="3"/>
  <c r="I563" i="3"/>
  <c r="G563" i="3"/>
  <c r="I562" i="3"/>
  <c r="G562" i="3"/>
  <c r="I561" i="3"/>
  <c r="G561" i="3"/>
  <c r="I560" i="3"/>
  <c r="G560" i="3"/>
  <c r="I559" i="3"/>
  <c r="G559" i="3"/>
  <c r="I558" i="3"/>
  <c r="G558" i="3"/>
  <c r="I557" i="3"/>
  <c r="G557" i="3"/>
  <c r="I556" i="3"/>
  <c r="G556" i="3"/>
  <c r="I555" i="3"/>
  <c r="G555" i="3"/>
  <c r="I554" i="3"/>
  <c r="G554" i="3"/>
  <c r="I553" i="3"/>
  <c r="G553" i="3"/>
  <c r="I552" i="3"/>
  <c r="G552" i="3"/>
  <c r="I551" i="3"/>
  <c r="G551" i="3"/>
  <c r="I550" i="3"/>
  <c r="G550" i="3"/>
  <c r="I549" i="3"/>
  <c r="G549" i="3"/>
  <c r="I548" i="3"/>
  <c r="G548" i="3"/>
  <c r="I547" i="3"/>
  <c r="G547" i="3"/>
  <c r="I546" i="3"/>
  <c r="G546" i="3"/>
  <c r="I545" i="3"/>
  <c r="G545" i="3"/>
  <c r="I544" i="3"/>
  <c r="G544" i="3"/>
  <c r="I543" i="3"/>
  <c r="G543" i="3"/>
  <c r="I542" i="3"/>
  <c r="G542" i="3"/>
  <c r="I541" i="3"/>
  <c r="G541" i="3"/>
  <c r="I540" i="3"/>
  <c r="G540" i="3"/>
  <c r="I539" i="3"/>
  <c r="G539" i="3"/>
  <c r="I538" i="3"/>
  <c r="G538" i="3"/>
  <c r="I537" i="3"/>
  <c r="G537" i="3"/>
  <c r="I536" i="3"/>
  <c r="G536" i="3"/>
  <c r="I535" i="3"/>
  <c r="G535" i="3"/>
  <c r="I534" i="3"/>
  <c r="G534" i="3"/>
  <c r="I533" i="3"/>
  <c r="G533" i="3"/>
  <c r="I532" i="3"/>
  <c r="G532" i="3"/>
  <c r="I531" i="3"/>
  <c r="G531" i="3"/>
  <c r="I530" i="3"/>
  <c r="G530" i="3"/>
  <c r="I529" i="3"/>
  <c r="G529" i="3"/>
  <c r="I528" i="3"/>
  <c r="G528" i="3"/>
  <c r="I527" i="3"/>
  <c r="G527" i="3"/>
  <c r="I526" i="3"/>
  <c r="G526" i="3"/>
  <c r="I525" i="3"/>
  <c r="G525" i="3"/>
  <c r="I524" i="3"/>
  <c r="G524" i="3"/>
  <c r="I523" i="3"/>
  <c r="G523" i="3"/>
  <c r="I522" i="3"/>
  <c r="G522" i="3"/>
  <c r="I521" i="3"/>
  <c r="G521" i="3"/>
  <c r="I520" i="3"/>
  <c r="G520" i="3"/>
  <c r="I519" i="3"/>
  <c r="G519" i="3"/>
  <c r="I518" i="3"/>
  <c r="G518" i="3"/>
  <c r="I517" i="3"/>
  <c r="G517" i="3"/>
  <c r="I516" i="3"/>
  <c r="G516" i="3"/>
  <c r="I515" i="3"/>
  <c r="G515" i="3"/>
  <c r="I514" i="3"/>
  <c r="G514" i="3"/>
  <c r="I513" i="3"/>
  <c r="G513" i="3"/>
  <c r="I512" i="3"/>
  <c r="G512" i="3"/>
  <c r="I511" i="3"/>
  <c r="G511" i="3"/>
  <c r="I510" i="3"/>
  <c r="G510" i="3"/>
  <c r="I509" i="3"/>
  <c r="G509" i="3"/>
  <c r="I508" i="3"/>
  <c r="G508" i="3"/>
  <c r="I507" i="3"/>
  <c r="G507" i="3"/>
  <c r="I506" i="3"/>
  <c r="G506" i="3"/>
  <c r="I505" i="3"/>
  <c r="G505" i="3"/>
  <c r="I504" i="3"/>
  <c r="G504" i="3"/>
  <c r="I503" i="3"/>
  <c r="G503" i="3"/>
  <c r="I502" i="3"/>
  <c r="G502" i="3"/>
  <c r="I501" i="3"/>
  <c r="G501" i="3"/>
  <c r="I500" i="3"/>
  <c r="G500" i="3"/>
  <c r="I499" i="3"/>
  <c r="G499" i="3"/>
  <c r="I498" i="3"/>
  <c r="G498" i="3"/>
  <c r="I497" i="3"/>
  <c r="G497" i="3"/>
  <c r="I496" i="3"/>
  <c r="G496" i="3"/>
  <c r="I495" i="3"/>
  <c r="G495" i="3"/>
  <c r="I494" i="3"/>
  <c r="G494" i="3"/>
  <c r="I493" i="3"/>
  <c r="G493" i="3"/>
  <c r="I492" i="3"/>
  <c r="G492" i="3"/>
  <c r="I491" i="3"/>
  <c r="G491" i="3"/>
  <c r="I490" i="3"/>
  <c r="G490" i="3"/>
  <c r="I489" i="3"/>
  <c r="G489" i="3"/>
  <c r="I488" i="3"/>
  <c r="G488" i="3"/>
  <c r="I487" i="3"/>
  <c r="G487" i="3"/>
  <c r="I486" i="3"/>
  <c r="G486" i="3"/>
  <c r="I485" i="3"/>
  <c r="G485" i="3"/>
  <c r="I484" i="3"/>
  <c r="G484" i="3"/>
  <c r="I483" i="3"/>
  <c r="G483" i="3"/>
  <c r="I482" i="3"/>
  <c r="G482" i="3"/>
  <c r="I481" i="3"/>
  <c r="G481" i="3"/>
  <c r="I480" i="3"/>
  <c r="G480" i="3"/>
  <c r="I479" i="3"/>
  <c r="G479" i="3"/>
  <c r="I478" i="3"/>
  <c r="G478" i="3"/>
  <c r="I477" i="3"/>
  <c r="G477" i="3"/>
  <c r="I476" i="3"/>
  <c r="G476" i="3"/>
  <c r="I475" i="3"/>
  <c r="G475" i="3"/>
  <c r="I474" i="3"/>
  <c r="G474" i="3"/>
  <c r="I473" i="3"/>
  <c r="G473" i="3"/>
  <c r="I472" i="3"/>
  <c r="G472" i="3"/>
  <c r="I471" i="3"/>
  <c r="G471" i="3"/>
  <c r="I470" i="3"/>
  <c r="G470" i="3"/>
  <c r="I469" i="3"/>
  <c r="G469" i="3"/>
  <c r="I468" i="3"/>
  <c r="G468" i="3"/>
  <c r="I467" i="3"/>
  <c r="G467" i="3"/>
  <c r="I466" i="3"/>
  <c r="G466" i="3"/>
  <c r="I465" i="3"/>
  <c r="G465" i="3"/>
  <c r="I464" i="3"/>
  <c r="G464" i="3"/>
  <c r="I463" i="3"/>
  <c r="G463" i="3"/>
  <c r="I462" i="3"/>
  <c r="G462" i="3"/>
  <c r="I461" i="3"/>
  <c r="G461" i="3"/>
  <c r="I460" i="3"/>
  <c r="G460" i="3"/>
  <c r="I459" i="3"/>
  <c r="G459" i="3"/>
  <c r="I458" i="3"/>
  <c r="G458" i="3"/>
  <c r="I457" i="3"/>
  <c r="G457" i="3"/>
  <c r="I456" i="3"/>
  <c r="G456" i="3"/>
  <c r="I455" i="3"/>
  <c r="G455" i="3"/>
  <c r="I454" i="3"/>
  <c r="G454" i="3"/>
  <c r="I453" i="3"/>
  <c r="G453" i="3"/>
  <c r="I452" i="3"/>
  <c r="G452" i="3"/>
  <c r="I451" i="3"/>
  <c r="G451" i="3"/>
  <c r="I450" i="3"/>
  <c r="G450" i="3"/>
  <c r="I449" i="3"/>
  <c r="G449" i="3"/>
  <c r="I448" i="3"/>
  <c r="G448" i="3"/>
  <c r="I447" i="3"/>
  <c r="G447" i="3"/>
  <c r="I446" i="3"/>
  <c r="G446" i="3"/>
  <c r="I445" i="3"/>
  <c r="G445" i="3"/>
  <c r="I444" i="3"/>
  <c r="G444" i="3"/>
  <c r="I443" i="3"/>
  <c r="G443" i="3"/>
  <c r="I442" i="3"/>
  <c r="G442" i="3"/>
  <c r="I441" i="3"/>
  <c r="G441" i="3"/>
  <c r="I440" i="3"/>
  <c r="G440" i="3"/>
  <c r="I439" i="3"/>
  <c r="G439" i="3"/>
  <c r="I438" i="3"/>
  <c r="G438" i="3"/>
  <c r="I437" i="3"/>
  <c r="G437" i="3"/>
  <c r="I436" i="3"/>
  <c r="G436" i="3"/>
  <c r="I435" i="3"/>
  <c r="G435" i="3"/>
  <c r="I434" i="3"/>
  <c r="G434" i="3"/>
  <c r="I433" i="3"/>
  <c r="G433" i="3"/>
  <c r="I432" i="3"/>
  <c r="G432" i="3"/>
  <c r="I431" i="3"/>
  <c r="G431" i="3"/>
  <c r="I430" i="3"/>
  <c r="G430" i="3"/>
  <c r="I429" i="3"/>
  <c r="G429" i="3"/>
  <c r="I428" i="3"/>
  <c r="G428" i="3"/>
  <c r="I427" i="3"/>
  <c r="G427" i="3"/>
  <c r="I426" i="3"/>
  <c r="G426" i="3"/>
  <c r="I425" i="3"/>
  <c r="G425" i="3"/>
  <c r="I424" i="3"/>
  <c r="G424" i="3"/>
  <c r="I423" i="3"/>
  <c r="G423" i="3"/>
  <c r="I422" i="3"/>
  <c r="G422" i="3"/>
  <c r="I421" i="3"/>
  <c r="G421" i="3"/>
  <c r="I420" i="3"/>
  <c r="G420" i="3"/>
  <c r="I419" i="3"/>
  <c r="G419" i="3"/>
  <c r="I418" i="3"/>
  <c r="G418" i="3"/>
  <c r="I417" i="3"/>
  <c r="G417" i="3"/>
  <c r="I416" i="3"/>
  <c r="G416" i="3"/>
  <c r="I415" i="3"/>
  <c r="G415" i="3"/>
  <c r="I414" i="3"/>
  <c r="G414" i="3"/>
  <c r="I413" i="3"/>
  <c r="G413" i="3"/>
  <c r="I412" i="3"/>
  <c r="G412" i="3"/>
  <c r="I411" i="3"/>
  <c r="G411" i="3"/>
  <c r="I410" i="3"/>
  <c r="G410" i="3"/>
  <c r="I409" i="3"/>
  <c r="G409" i="3"/>
  <c r="I408" i="3"/>
  <c r="G408" i="3"/>
  <c r="I407" i="3"/>
  <c r="G407" i="3"/>
  <c r="I406" i="3"/>
  <c r="G406" i="3"/>
  <c r="I405" i="3"/>
  <c r="G405" i="3"/>
  <c r="I404" i="3"/>
  <c r="G404" i="3"/>
  <c r="I403" i="3"/>
  <c r="G403" i="3"/>
  <c r="I402" i="3"/>
  <c r="G402" i="3"/>
  <c r="I401" i="3"/>
  <c r="G401" i="3"/>
  <c r="I400" i="3"/>
  <c r="G400" i="3"/>
  <c r="I399" i="3"/>
  <c r="G399" i="3"/>
  <c r="I398" i="3"/>
  <c r="G398" i="3"/>
  <c r="I397" i="3"/>
  <c r="G397" i="3"/>
  <c r="I396" i="3"/>
  <c r="G396" i="3"/>
  <c r="I395" i="3"/>
  <c r="G395" i="3"/>
  <c r="I394" i="3"/>
  <c r="G394" i="3"/>
  <c r="I393" i="3"/>
  <c r="G393" i="3"/>
  <c r="I392" i="3"/>
  <c r="G392" i="3"/>
  <c r="I391" i="3"/>
  <c r="G391" i="3"/>
  <c r="I390" i="3"/>
  <c r="G390" i="3"/>
  <c r="I389" i="3"/>
  <c r="G389" i="3"/>
  <c r="I388" i="3"/>
  <c r="G388" i="3"/>
  <c r="I387" i="3"/>
  <c r="G387" i="3"/>
  <c r="I386" i="3"/>
  <c r="G386" i="3"/>
  <c r="I385" i="3"/>
  <c r="G385" i="3"/>
  <c r="I384" i="3"/>
  <c r="G384" i="3"/>
  <c r="I383" i="3"/>
  <c r="G383" i="3"/>
  <c r="I382" i="3"/>
  <c r="G382" i="3"/>
  <c r="I381" i="3"/>
  <c r="G381" i="3"/>
  <c r="I380" i="3"/>
  <c r="G380" i="3"/>
  <c r="I379" i="3"/>
  <c r="G379" i="3"/>
  <c r="I378" i="3"/>
  <c r="G378" i="3"/>
  <c r="I377" i="3"/>
  <c r="G377" i="3"/>
  <c r="I376" i="3"/>
  <c r="G376" i="3"/>
  <c r="I375" i="3"/>
  <c r="G375" i="3"/>
  <c r="I374" i="3"/>
  <c r="G374" i="3"/>
  <c r="I373" i="3"/>
  <c r="G373" i="3"/>
  <c r="I372" i="3"/>
  <c r="G372" i="3"/>
  <c r="I371" i="3"/>
  <c r="G371" i="3"/>
  <c r="I370" i="3"/>
  <c r="G370" i="3"/>
  <c r="I369" i="3"/>
  <c r="G369" i="3"/>
  <c r="I368" i="3"/>
  <c r="G368" i="3"/>
  <c r="I367" i="3"/>
  <c r="G367" i="3"/>
  <c r="I366" i="3"/>
  <c r="G366" i="3"/>
  <c r="I365" i="3"/>
  <c r="G365" i="3"/>
  <c r="I364" i="3"/>
  <c r="G364" i="3"/>
  <c r="I363" i="3"/>
  <c r="G363" i="3"/>
  <c r="I362" i="3"/>
  <c r="G362" i="3"/>
  <c r="I361" i="3"/>
  <c r="G361" i="3"/>
  <c r="I360" i="3"/>
  <c r="G360" i="3"/>
  <c r="I359" i="3"/>
  <c r="G359" i="3"/>
  <c r="I358" i="3"/>
  <c r="G358" i="3"/>
  <c r="I357" i="3"/>
  <c r="G357" i="3"/>
  <c r="I356" i="3"/>
  <c r="G356" i="3"/>
  <c r="I355" i="3"/>
  <c r="G355" i="3"/>
  <c r="I354" i="3"/>
  <c r="G354" i="3"/>
  <c r="I353" i="3"/>
  <c r="G353" i="3"/>
  <c r="I352" i="3"/>
  <c r="G352" i="3"/>
  <c r="I351" i="3"/>
  <c r="G351" i="3"/>
  <c r="I350" i="3"/>
  <c r="G350" i="3"/>
  <c r="I349" i="3"/>
  <c r="G349" i="3"/>
  <c r="I348" i="3"/>
  <c r="G348" i="3"/>
  <c r="I347" i="3"/>
  <c r="G347" i="3"/>
  <c r="I346" i="3"/>
  <c r="G346" i="3"/>
  <c r="I345" i="3"/>
  <c r="G345" i="3"/>
  <c r="I344" i="3"/>
  <c r="G344" i="3"/>
  <c r="I343" i="3"/>
  <c r="G343" i="3"/>
  <c r="I342" i="3"/>
  <c r="G342" i="3"/>
  <c r="I341" i="3"/>
  <c r="G341" i="3"/>
  <c r="I340" i="3"/>
  <c r="G340" i="3"/>
  <c r="I339" i="3"/>
  <c r="G339" i="3"/>
  <c r="I338" i="3"/>
  <c r="G338" i="3"/>
  <c r="I337" i="3"/>
  <c r="G337" i="3"/>
  <c r="I336" i="3"/>
  <c r="G336" i="3"/>
  <c r="I335" i="3"/>
  <c r="G335" i="3"/>
  <c r="I334" i="3"/>
  <c r="G334" i="3"/>
  <c r="I333" i="3"/>
  <c r="G333" i="3"/>
  <c r="I332" i="3"/>
  <c r="G332" i="3"/>
  <c r="I331" i="3"/>
  <c r="G331" i="3"/>
  <c r="I330" i="3"/>
  <c r="G330" i="3"/>
  <c r="I329" i="3"/>
  <c r="G329" i="3"/>
  <c r="I328" i="3"/>
  <c r="G328" i="3"/>
  <c r="I327" i="3"/>
  <c r="G327" i="3"/>
  <c r="I326" i="3"/>
  <c r="G326" i="3"/>
  <c r="I325" i="3"/>
  <c r="G325" i="3"/>
  <c r="I324" i="3"/>
  <c r="G324" i="3"/>
  <c r="I323" i="3"/>
  <c r="G323" i="3"/>
  <c r="I322" i="3"/>
  <c r="G322" i="3"/>
  <c r="I321" i="3"/>
  <c r="G321" i="3"/>
  <c r="I320" i="3"/>
  <c r="G320" i="3"/>
  <c r="I319" i="3"/>
  <c r="G319" i="3"/>
  <c r="I318" i="3"/>
  <c r="G318" i="3"/>
  <c r="I317" i="3"/>
  <c r="G317" i="3"/>
  <c r="I316" i="3"/>
  <c r="G316" i="3"/>
  <c r="I315" i="3"/>
  <c r="G315" i="3"/>
  <c r="I314" i="3"/>
  <c r="G314" i="3"/>
  <c r="I313" i="3"/>
  <c r="G313" i="3"/>
  <c r="I312" i="3"/>
  <c r="G312" i="3"/>
  <c r="I311" i="3"/>
  <c r="G311" i="3"/>
  <c r="I310" i="3"/>
  <c r="G310" i="3"/>
  <c r="I309" i="3"/>
  <c r="G309" i="3"/>
  <c r="I308" i="3"/>
  <c r="G308" i="3"/>
  <c r="I307" i="3"/>
  <c r="G307" i="3"/>
  <c r="I306" i="3"/>
  <c r="G306" i="3"/>
  <c r="I305" i="3"/>
  <c r="G305" i="3"/>
  <c r="I304" i="3"/>
  <c r="G304" i="3"/>
  <c r="I303" i="3"/>
  <c r="G303" i="3"/>
  <c r="I302" i="3"/>
  <c r="G302" i="3"/>
  <c r="I301" i="3"/>
  <c r="G301" i="3"/>
  <c r="I300" i="3"/>
  <c r="G300" i="3"/>
  <c r="I299" i="3"/>
  <c r="G299" i="3"/>
  <c r="I298" i="3"/>
  <c r="G298" i="3"/>
  <c r="I297" i="3"/>
  <c r="G297" i="3"/>
  <c r="I296" i="3"/>
  <c r="G296" i="3"/>
  <c r="I295" i="3"/>
  <c r="G295" i="3"/>
  <c r="I294" i="3"/>
  <c r="G294" i="3"/>
  <c r="I293" i="3"/>
  <c r="G293" i="3"/>
  <c r="I292" i="3"/>
  <c r="G292" i="3"/>
  <c r="I291" i="3"/>
  <c r="G291" i="3"/>
  <c r="I290" i="3"/>
  <c r="G290" i="3"/>
  <c r="I289" i="3"/>
  <c r="G289" i="3"/>
  <c r="I288" i="3"/>
  <c r="G288" i="3"/>
  <c r="I287" i="3"/>
  <c r="G287" i="3"/>
  <c r="I286" i="3"/>
  <c r="G286" i="3"/>
  <c r="I285" i="3"/>
  <c r="G285" i="3"/>
  <c r="I284" i="3"/>
  <c r="G284" i="3"/>
  <c r="I283" i="3"/>
  <c r="G283" i="3"/>
  <c r="I282" i="3"/>
  <c r="G282" i="3"/>
  <c r="I281" i="3"/>
  <c r="G281" i="3"/>
  <c r="I280" i="3"/>
  <c r="G280" i="3"/>
  <c r="I279" i="3"/>
  <c r="G279" i="3"/>
  <c r="I278" i="3"/>
  <c r="G278" i="3"/>
  <c r="I277" i="3"/>
  <c r="G277" i="3"/>
  <c r="I276" i="3"/>
  <c r="G276" i="3"/>
  <c r="I275" i="3"/>
  <c r="G275" i="3"/>
  <c r="I274" i="3"/>
  <c r="G274" i="3"/>
  <c r="I273" i="3"/>
  <c r="G273" i="3"/>
  <c r="I272" i="3"/>
  <c r="G272" i="3"/>
  <c r="I271" i="3"/>
  <c r="G271" i="3"/>
  <c r="I270" i="3"/>
  <c r="G270" i="3"/>
  <c r="I269" i="3"/>
  <c r="G269" i="3"/>
  <c r="I268" i="3"/>
  <c r="G268" i="3"/>
  <c r="I267" i="3"/>
  <c r="G267" i="3"/>
  <c r="I266" i="3"/>
  <c r="G266" i="3"/>
  <c r="I265" i="3"/>
  <c r="G265" i="3"/>
  <c r="I264" i="3"/>
  <c r="G264" i="3"/>
  <c r="I263" i="3"/>
  <c r="G263" i="3"/>
  <c r="I262" i="3"/>
  <c r="G262" i="3"/>
  <c r="I261" i="3"/>
  <c r="G261" i="3"/>
  <c r="I260" i="3"/>
  <c r="G260" i="3"/>
  <c r="I259" i="3"/>
  <c r="G259" i="3"/>
  <c r="I258" i="3"/>
  <c r="G258" i="3"/>
  <c r="I257" i="3"/>
  <c r="G257" i="3"/>
  <c r="I256" i="3"/>
  <c r="G256" i="3"/>
  <c r="I255" i="3"/>
  <c r="G255" i="3"/>
  <c r="I254" i="3"/>
  <c r="G254" i="3"/>
  <c r="I253" i="3"/>
  <c r="G253" i="3"/>
  <c r="I252" i="3"/>
  <c r="G252" i="3"/>
  <c r="I251" i="3"/>
  <c r="G251" i="3"/>
  <c r="I250" i="3"/>
  <c r="G250" i="3"/>
  <c r="I249" i="3"/>
  <c r="G249" i="3"/>
  <c r="I248" i="3"/>
  <c r="G248" i="3"/>
  <c r="I247" i="3"/>
  <c r="G247" i="3"/>
  <c r="I246" i="3"/>
  <c r="G246" i="3"/>
  <c r="I245" i="3"/>
  <c r="G245" i="3"/>
  <c r="I244" i="3"/>
  <c r="G244" i="3"/>
  <c r="I243" i="3"/>
  <c r="G243" i="3"/>
  <c r="I242" i="3"/>
  <c r="G242" i="3"/>
  <c r="I241" i="3"/>
  <c r="G241" i="3"/>
  <c r="I240" i="3"/>
  <c r="G240" i="3"/>
  <c r="I239" i="3"/>
  <c r="G239" i="3"/>
  <c r="I238" i="3"/>
  <c r="G238" i="3"/>
  <c r="I237" i="3"/>
  <c r="G237" i="3"/>
  <c r="I236" i="3"/>
  <c r="G236" i="3"/>
  <c r="I235" i="3"/>
  <c r="G235" i="3"/>
  <c r="I234" i="3"/>
  <c r="G234" i="3"/>
  <c r="I233" i="3"/>
  <c r="G233" i="3"/>
  <c r="I232" i="3"/>
  <c r="G232" i="3"/>
  <c r="I231" i="3"/>
  <c r="G231" i="3"/>
  <c r="I230" i="3"/>
  <c r="G230" i="3"/>
  <c r="I229" i="3"/>
  <c r="G229" i="3"/>
  <c r="I228" i="3"/>
  <c r="G228" i="3"/>
  <c r="I227" i="3"/>
  <c r="G227" i="3"/>
  <c r="I226" i="3"/>
  <c r="G226" i="3"/>
  <c r="I225" i="3"/>
  <c r="G225" i="3"/>
  <c r="I224" i="3"/>
  <c r="G224" i="3"/>
  <c r="I223" i="3"/>
  <c r="G223" i="3"/>
  <c r="I222" i="3"/>
  <c r="G222" i="3"/>
  <c r="I221" i="3"/>
  <c r="G221" i="3"/>
  <c r="I220" i="3"/>
  <c r="G220" i="3"/>
  <c r="I219" i="3"/>
  <c r="G219" i="3"/>
  <c r="I218" i="3"/>
  <c r="G218" i="3"/>
  <c r="I217" i="3"/>
  <c r="G217" i="3"/>
  <c r="I216" i="3"/>
  <c r="G216" i="3"/>
  <c r="I215" i="3"/>
  <c r="G215" i="3"/>
  <c r="I214" i="3"/>
  <c r="G214" i="3"/>
  <c r="I213" i="3"/>
  <c r="G213" i="3"/>
  <c r="I212" i="3"/>
  <c r="G212" i="3"/>
  <c r="I211" i="3"/>
  <c r="G211" i="3"/>
  <c r="I210" i="3"/>
  <c r="G210" i="3"/>
  <c r="I209" i="3"/>
  <c r="G209" i="3"/>
  <c r="I208" i="3"/>
  <c r="G208" i="3"/>
  <c r="I207" i="3"/>
  <c r="G207" i="3"/>
  <c r="I206" i="3"/>
  <c r="G206" i="3"/>
  <c r="I205" i="3"/>
  <c r="G205" i="3"/>
  <c r="I204" i="3"/>
  <c r="G204" i="3"/>
  <c r="I203" i="3"/>
  <c r="G203" i="3"/>
  <c r="I202" i="3"/>
  <c r="G202" i="3"/>
  <c r="I201" i="3"/>
  <c r="G201" i="3"/>
  <c r="I200" i="3"/>
  <c r="G200" i="3"/>
  <c r="I199" i="3"/>
  <c r="G199" i="3"/>
  <c r="I198" i="3"/>
  <c r="G198" i="3"/>
  <c r="I197" i="3"/>
  <c r="G197" i="3"/>
  <c r="I196" i="3"/>
  <c r="G196" i="3"/>
  <c r="I195" i="3"/>
  <c r="G195" i="3"/>
  <c r="I194" i="3"/>
  <c r="G194" i="3"/>
  <c r="I193" i="3"/>
  <c r="G193" i="3"/>
  <c r="I192" i="3"/>
  <c r="G192" i="3"/>
  <c r="I191" i="3"/>
  <c r="G191" i="3"/>
  <c r="I190" i="3"/>
  <c r="G190" i="3"/>
  <c r="I189" i="3"/>
  <c r="G189" i="3"/>
  <c r="I188" i="3"/>
  <c r="G188" i="3"/>
  <c r="I187" i="3"/>
  <c r="G187" i="3"/>
  <c r="I186" i="3"/>
  <c r="G186" i="3"/>
  <c r="I185" i="3"/>
  <c r="G185" i="3"/>
  <c r="I184" i="3"/>
  <c r="G184" i="3"/>
  <c r="I183" i="3"/>
  <c r="G183" i="3"/>
  <c r="I182" i="3"/>
  <c r="G182" i="3"/>
  <c r="I181" i="3"/>
  <c r="G181" i="3"/>
  <c r="I180" i="3"/>
  <c r="G180" i="3"/>
  <c r="I179" i="3"/>
  <c r="G179" i="3"/>
  <c r="I178" i="3"/>
  <c r="G178" i="3"/>
  <c r="I177" i="3"/>
  <c r="G177" i="3"/>
  <c r="I176" i="3"/>
  <c r="G176" i="3"/>
  <c r="I175" i="3"/>
  <c r="G175" i="3"/>
  <c r="I174" i="3"/>
  <c r="G174" i="3"/>
  <c r="I173" i="3"/>
  <c r="G173" i="3"/>
  <c r="I172" i="3"/>
  <c r="G172" i="3"/>
  <c r="I171" i="3"/>
  <c r="G171" i="3"/>
  <c r="I170" i="3"/>
  <c r="G170" i="3"/>
  <c r="I169" i="3"/>
  <c r="G169" i="3"/>
  <c r="I168" i="3"/>
  <c r="G168" i="3"/>
  <c r="I167" i="3"/>
  <c r="G167" i="3"/>
  <c r="I166" i="3"/>
  <c r="G166" i="3"/>
  <c r="I165" i="3"/>
  <c r="G165" i="3"/>
  <c r="I164" i="3"/>
  <c r="G164" i="3"/>
  <c r="I163" i="3"/>
  <c r="G163" i="3"/>
  <c r="I162" i="3"/>
  <c r="G162" i="3"/>
  <c r="I161" i="3"/>
  <c r="G161" i="3"/>
  <c r="I160" i="3"/>
  <c r="G160" i="3"/>
  <c r="I159" i="3"/>
  <c r="G159" i="3"/>
  <c r="I158" i="3"/>
  <c r="G158" i="3"/>
  <c r="I157" i="3"/>
  <c r="G157" i="3"/>
  <c r="I156" i="3"/>
  <c r="G156" i="3"/>
  <c r="I155" i="3"/>
  <c r="G155" i="3"/>
  <c r="I154" i="3"/>
  <c r="G154" i="3"/>
  <c r="I153" i="3"/>
  <c r="G153" i="3"/>
  <c r="I152" i="3"/>
  <c r="G152" i="3"/>
  <c r="I151" i="3"/>
  <c r="G151" i="3"/>
  <c r="I150" i="3"/>
  <c r="G150" i="3"/>
  <c r="I149" i="3"/>
  <c r="G149" i="3"/>
  <c r="I148" i="3"/>
  <c r="G148" i="3"/>
  <c r="I147" i="3"/>
  <c r="G147" i="3"/>
  <c r="I146" i="3"/>
  <c r="G146" i="3"/>
  <c r="I145" i="3"/>
  <c r="G145" i="3"/>
  <c r="I144" i="3"/>
  <c r="G144" i="3"/>
  <c r="I143" i="3"/>
  <c r="G143" i="3"/>
  <c r="I142" i="3"/>
  <c r="G142" i="3"/>
  <c r="I141" i="3"/>
  <c r="G141" i="3"/>
  <c r="I140" i="3"/>
  <c r="G140" i="3"/>
  <c r="I139" i="3"/>
  <c r="G139" i="3"/>
  <c r="I138" i="3"/>
  <c r="G138" i="3"/>
  <c r="I137" i="3"/>
  <c r="G137" i="3"/>
  <c r="I136" i="3"/>
  <c r="G136" i="3"/>
  <c r="I135" i="3"/>
  <c r="G135" i="3"/>
  <c r="I134" i="3"/>
  <c r="G134" i="3"/>
  <c r="I133" i="3"/>
  <c r="G133" i="3"/>
  <c r="I132" i="3"/>
  <c r="G132" i="3"/>
  <c r="I131" i="3"/>
  <c r="G131" i="3"/>
  <c r="I130" i="3"/>
  <c r="G130" i="3"/>
  <c r="I129" i="3"/>
  <c r="G129" i="3"/>
  <c r="I128" i="3"/>
  <c r="G128" i="3"/>
  <c r="I127" i="3"/>
  <c r="G127" i="3"/>
  <c r="I126" i="3"/>
  <c r="G126" i="3"/>
  <c r="I125" i="3"/>
  <c r="G125" i="3"/>
  <c r="I124" i="3"/>
  <c r="G124" i="3"/>
  <c r="I123" i="3"/>
  <c r="G123" i="3"/>
  <c r="I122" i="3"/>
  <c r="G122" i="3"/>
  <c r="I121" i="3"/>
  <c r="G121" i="3"/>
  <c r="I120" i="3"/>
  <c r="G120" i="3"/>
  <c r="I119" i="3"/>
  <c r="G119" i="3"/>
  <c r="I118" i="3"/>
  <c r="G118" i="3"/>
  <c r="I117" i="3"/>
  <c r="G117" i="3"/>
  <c r="I116" i="3"/>
  <c r="G116" i="3"/>
  <c r="I115" i="3"/>
  <c r="G115" i="3"/>
  <c r="I114" i="3"/>
  <c r="G114" i="3"/>
  <c r="I113" i="3"/>
  <c r="G113" i="3"/>
  <c r="I112" i="3"/>
  <c r="G112" i="3"/>
  <c r="I111" i="3"/>
  <c r="G111" i="3"/>
  <c r="I110" i="3"/>
  <c r="G110" i="3"/>
  <c r="I109" i="3"/>
  <c r="G109" i="3"/>
  <c r="I108" i="3"/>
  <c r="G108" i="3"/>
  <c r="I107" i="3"/>
  <c r="G107" i="3"/>
  <c r="I106" i="3"/>
  <c r="G106" i="3"/>
  <c r="I105" i="3"/>
  <c r="G105" i="3"/>
  <c r="I104" i="3"/>
  <c r="G104" i="3"/>
  <c r="I103" i="3"/>
  <c r="G103" i="3"/>
  <c r="I102" i="3"/>
  <c r="G102" i="3"/>
  <c r="I101" i="3"/>
  <c r="G101" i="3"/>
  <c r="I100" i="3"/>
  <c r="G100" i="3"/>
  <c r="I99" i="3"/>
  <c r="G99" i="3"/>
  <c r="I98" i="3"/>
  <c r="G98" i="3"/>
  <c r="I97" i="3"/>
  <c r="G97" i="3"/>
  <c r="I96" i="3"/>
  <c r="G96" i="3"/>
  <c r="I95" i="3"/>
  <c r="G95" i="3"/>
  <c r="I94" i="3"/>
  <c r="G94" i="3"/>
  <c r="I93" i="3"/>
  <c r="G93" i="3"/>
  <c r="I92" i="3"/>
  <c r="G92" i="3"/>
  <c r="I91" i="3"/>
  <c r="G91" i="3"/>
  <c r="I90" i="3"/>
  <c r="G90" i="3"/>
  <c r="I89" i="3"/>
  <c r="G89" i="3"/>
  <c r="I88" i="3"/>
  <c r="G88" i="3"/>
  <c r="I87" i="3"/>
  <c r="G87" i="3"/>
  <c r="I86" i="3"/>
  <c r="G86" i="3"/>
  <c r="I85" i="3"/>
  <c r="G85" i="3"/>
  <c r="I84" i="3"/>
  <c r="G84" i="3"/>
  <c r="I83" i="3"/>
  <c r="G83" i="3"/>
  <c r="I82" i="3"/>
  <c r="G82" i="3"/>
  <c r="I81" i="3"/>
  <c r="G81" i="3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3" i="3"/>
  <c r="G73" i="3"/>
  <c r="I72" i="3"/>
  <c r="G72" i="3"/>
  <c r="I71" i="3"/>
  <c r="G71" i="3"/>
  <c r="I70" i="3"/>
  <c r="G70" i="3"/>
  <c r="I69" i="3"/>
  <c r="G69" i="3"/>
  <c r="I68" i="3"/>
  <c r="G68" i="3"/>
  <c r="I67" i="3"/>
  <c r="G67" i="3"/>
  <c r="I66" i="3"/>
  <c r="G66" i="3"/>
  <c r="I65" i="3"/>
  <c r="G65" i="3"/>
  <c r="I64" i="3"/>
  <c r="G64" i="3"/>
  <c r="I63" i="3"/>
  <c r="G63" i="3"/>
  <c r="I62" i="3"/>
  <c r="G62" i="3"/>
  <c r="I61" i="3"/>
  <c r="G61" i="3"/>
  <c r="I60" i="3"/>
  <c r="G60" i="3"/>
  <c r="I59" i="3"/>
  <c r="G59" i="3"/>
  <c r="I58" i="3"/>
  <c r="G58" i="3"/>
  <c r="I57" i="3"/>
  <c r="G57" i="3"/>
  <c r="I56" i="3"/>
  <c r="G56" i="3"/>
  <c r="I55" i="3"/>
  <c r="G55" i="3"/>
  <c r="I54" i="3"/>
  <c r="G54" i="3"/>
  <c r="I53" i="3"/>
  <c r="G53" i="3"/>
  <c r="I52" i="3"/>
  <c r="G52" i="3"/>
  <c r="I51" i="3"/>
  <c r="G51" i="3"/>
  <c r="I50" i="3"/>
  <c r="G50" i="3"/>
  <c r="I49" i="3"/>
  <c r="G49" i="3"/>
  <c r="I48" i="3"/>
  <c r="G48" i="3"/>
  <c r="I47" i="3"/>
  <c r="G47" i="3"/>
  <c r="I46" i="3"/>
  <c r="G46" i="3"/>
  <c r="I45" i="3"/>
  <c r="G45" i="3"/>
  <c r="I44" i="3"/>
  <c r="G44" i="3"/>
  <c r="I43" i="3"/>
  <c r="G43" i="3"/>
  <c r="I42" i="3"/>
  <c r="G42" i="3"/>
  <c r="I41" i="3"/>
  <c r="G41" i="3"/>
  <c r="I40" i="3"/>
  <c r="G40" i="3"/>
  <c r="I39" i="3"/>
  <c r="G39" i="3"/>
  <c r="I38" i="3"/>
  <c r="G38" i="3"/>
  <c r="I37" i="3"/>
  <c r="G37" i="3"/>
  <c r="I36" i="3"/>
  <c r="G36" i="3"/>
  <c r="I35" i="3"/>
  <c r="G35" i="3"/>
  <c r="I34" i="3"/>
  <c r="G34" i="3"/>
  <c r="I33" i="3"/>
  <c r="G33" i="3"/>
  <c r="I32" i="3"/>
  <c r="G32" i="3"/>
  <c r="I31" i="3"/>
  <c r="G31" i="3"/>
  <c r="I30" i="3"/>
  <c r="G30" i="3"/>
  <c r="I29" i="3"/>
  <c r="G29" i="3"/>
  <c r="I28" i="3"/>
  <c r="G28" i="3"/>
  <c r="I27" i="3"/>
  <c r="G27" i="3"/>
  <c r="I26" i="3"/>
  <c r="G26" i="3"/>
  <c r="I25" i="3"/>
  <c r="G25" i="3"/>
  <c r="I24" i="3"/>
  <c r="G24" i="3"/>
  <c r="I23" i="3"/>
  <c r="G23" i="3"/>
  <c r="I22" i="3"/>
  <c r="G22" i="3"/>
  <c r="I21" i="3"/>
  <c r="G21" i="3"/>
  <c r="I20" i="3"/>
  <c r="G20" i="3"/>
  <c r="I19" i="3"/>
  <c r="G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I9" i="3"/>
  <c r="G9" i="3"/>
  <c r="I8" i="3"/>
  <c r="G8" i="3"/>
  <c r="I7" i="3"/>
  <c r="G7" i="3"/>
  <c r="I6" i="3"/>
  <c r="G6" i="3"/>
  <c r="I5" i="3"/>
  <c r="G5" i="3"/>
  <c r="I4" i="3"/>
  <c r="G4" i="3"/>
  <c r="I3" i="3"/>
  <c r="G3" i="3"/>
  <c r="I2" i="3"/>
  <c r="G2" i="3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E33" i="1"/>
  <c r="G33" i="1" s="1"/>
  <c r="E32" i="1"/>
  <c r="G32" i="1" s="1"/>
  <c r="E31" i="1"/>
  <c r="F31" i="1" s="1"/>
  <c r="E30" i="1"/>
  <c r="G30" i="1" s="1"/>
  <c r="E29" i="1"/>
  <c r="G29" i="1" s="1"/>
  <c r="E28" i="1"/>
  <c r="G28" i="1" s="1"/>
  <c r="G27" i="1"/>
  <c r="F27" i="1"/>
  <c r="E27" i="1"/>
  <c r="E26" i="1"/>
  <c r="G26" i="1" s="1"/>
  <c r="E25" i="1"/>
  <c r="G25" i="1" s="1"/>
  <c r="E24" i="1"/>
  <c r="G24" i="1" s="1"/>
  <c r="E23" i="1"/>
  <c r="G23" i="1" s="1"/>
  <c r="E22" i="1"/>
  <c r="F22" i="1" s="1"/>
  <c r="E21" i="1"/>
  <c r="G21" i="1" s="1"/>
  <c r="E20" i="1"/>
  <c r="F20" i="1" s="1"/>
  <c r="E19" i="1"/>
  <c r="G19" i="1" s="1"/>
  <c r="G18" i="1"/>
  <c r="F18" i="1"/>
  <c r="E18" i="1"/>
  <c r="F17" i="1"/>
  <c r="E17" i="1"/>
  <c r="G17" i="1" s="1"/>
  <c r="E16" i="1"/>
  <c r="G16" i="1" s="1"/>
  <c r="E15" i="1"/>
  <c r="G15" i="1" s="1"/>
  <c r="E14" i="1"/>
  <c r="G14" i="1" s="1"/>
  <c r="E13" i="1"/>
  <c r="F13" i="1" s="1"/>
  <c r="E12" i="1"/>
  <c r="G12" i="1" s="1"/>
  <c r="E11" i="1"/>
  <c r="F11" i="1" s="1"/>
  <c r="E10" i="1"/>
  <c r="F10" i="1" s="1"/>
  <c r="G9" i="1"/>
  <c r="F9" i="1"/>
  <c r="E9" i="1"/>
  <c r="G8" i="1"/>
  <c r="E8" i="1"/>
  <c r="F8" i="1" s="1"/>
  <c r="E7" i="1"/>
  <c r="G7" i="1" s="1"/>
  <c r="E6" i="1"/>
  <c r="G6" i="1" s="1"/>
  <c r="E5" i="1"/>
  <c r="F5" i="1" s="1"/>
  <c r="E4" i="1"/>
  <c r="G4" i="1" s="1"/>
  <c r="E3" i="1"/>
  <c r="G3" i="1" s="1"/>
  <c r="E2" i="1"/>
  <c r="G2" i="1" s="1"/>
  <c r="G24" i="16" l="1"/>
  <c r="F6" i="16"/>
  <c r="F5" i="16"/>
  <c r="G7" i="16"/>
  <c r="G26" i="16"/>
  <c r="F8" i="16"/>
  <c r="F27" i="16"/>
  <c r="G23" i="16"/>
  <c r="F16" i="16"/>
  <c r="G17" i="16"/>
  <c r="F14" i="16"/>
  <c r="F19" i="16"/>
  <c r="F20" i="16"/>
  <c r="F21" i="16"/>
  <c r="F12" i="16"/>
  <c r="F3" i="16"/>
  <c r="F31" i="16"/>
  <c r="F22" i="16"/>
  <c r="F6" i="15"/>
  <c r="F25" i="15"/>
  <c r="F16" i="15"/>
  <c r="F7" i="15"/>
  <c r="F26" i="15"/>
  <c r="F17" i="15"/>
  <c r="F8" i="15"/>
  <c r="F27" i="15"/>
  <c r="F18" i="15"/>
  <c r="G10" i="15"/>
  <c r="F29" i="15"/>
  <c r="F20" i="15"/>
  <c r="F11" i="15"/>
  <c r="F2" i="15"/>
  <c r="F30" i="15"/>
  <c r="F21" i="15"/>
  <c r="F19" i="15"/>
  <c r="F22" i="15"/>
  <c r="F23" i="15"/>
  <c r="F13" i="15"/>
  <c r="F4" i="15"/>
  <c r="F32" i="15"/>
  <c r="F14" i="15"/>
  <c r="F5" i="15"/>
  <c r="F33" i="15"/>
  <c r="F19" i="1"/>
  <c r="G10" i="1"/>
  <c r="F29" i="1"/>
  <c r="F16" i="9"/>
  <c r="G25" i="9"/>
  <c r="F2" i="1"/>
  <c r="G11" i="1"/>
  <c r="F8" i="9"/>
  <c r="F12" i="1"/>
  <c r="G32" i="5"/>
  <c r="G22" i="1"/>
  <c r="G23" i="5"/>
  <c r="F23" i="1"/>
  <c r="G19" i="9"/>
  <c r="G15" i="5"/>
  <c r="F20" i="9"/>
  <c r="G5" i="1"/>
  <c r="F24" i="1"/>
  <c r="F11" i="9"/>
  <c r="F15" i="1"/>
  <c r="F16" i="5"/>
  <c r="G25" i="5"/>
  <c r="G2" i="9"/>
  <c r="G7" i="5"/>
  <c r="F16" i="1"/>
  <c r="F17" i="5"/>
  <c r="G3" i="9"/>
  <c r="G31" i="9"/>
  <c r="F28" i="1"/>
  <c r="F15" i="9"/>
  <c r="G29" i="5"/>
  <c r="F2" i="5"/>
  <c r="G20" i="1"/>
  <c r="G21" i="5"/>
  <c r="F21" i="1"/>
  <c r="F3" i="1"/>
  <c r="F18" i="9"/>
  <c r="G27" i="9"/>
  <c r="G4" i="5"/>
  <c r="F14" i="5"/>
  <c r="G28" i="9"/>
  <c r="G33" i="5"/>
  <c r="F10" i="9"/>
  <c r="F33" i="1"/>
  <c r="F6" i="5"/>
  <c r="F6" i="1"/>
  <c r="G30" i="9"/>
  <c r="G21" i="9"/>
  <c r="F7" i="1"/>
  <c r="F6" i="9"/>
  <c r="F11" i="5"/>
  <c r="G20" i="5"/>
  <c r="F12" i="5"/>
  <c r="G7" i="9"/>
  <c r="F30" i="1"/>
  <c r="F31" i="5"/>
  <c r="G3" i="5"/>
  <c r="G13" i="5"/>
  <c r="G13" i="1"/>
  <c r="F32" i="1"/>
  <c r="F5" i="5"/>
  <c r="F29" i="9"/>
  <c r="F30" i="5"/>
  <c r="F17" i="9"/>
  <c r="G26" i="9"/>
  <c r="F22" i="5"/>
  <c r="G31" i="1"/>
  <c r="F9" i="9"/>
  <c r="F4" i="1"/>
  <c r="F14" i="1"/>
  <c r="G24" i="5"/>
  <c r="F25" i="1"/>
  <c r="F26" i="5"/>
  <c r="F12" i="9"/>
  <c r="F22" i="9"/>
  <c r="F26" i="1"/>
  <c r="G8" i="5"/>
  <c r="F27" i="5"/>
  <c r="F13" i="9"/>
</calcChain>
</file>

<file path=xl/sharedStrings.xml><?xml version="1.0" encoding="utf-8"?>
<sst xmlns="http://schemas.openxmlformats.org/spreadsheetml/2006/main" count="40052" uniqueCount="2674">
  <si>
    <t>Team</t>
  </si>
  <si>
    <t>ABB</t>
  </si>
  <si>
    <t>Pass Plays</t>
  </si>
  <si>
    <t>Run Plays</t>
  </si>
  <si>
    <t>Total Plays</t>
  </si>
  <si>
    <t>Pass %</t>
  </si>
  <si>
    <t>Run %</t>
  </si>
  <si>
    <t>Arizona Cardinals</t>
  </si>
  <si>
    <t>ARI</t>
  </si>
  <si>
    <t>Atlanta Falcons</t>
  </si>
  <si>
    <t>ATL</t>
  </si>
  <si>
    <t>Baltimore Ravens</t>
  </si>
  <si>
    <t>BAL</t>
  </si>
  <si>
    <t>Buffalo Bills</t>
  </si>
  <si>
    <t>BUF</t>
  </si>
  <si>
    <t>Carolina Panthers</t>
  </si>
  <si>
    <t>CAR</t>
  </si>
  <si>
    <t>Chicago Bears</t>
  </si>
  <si>
    <t>CHI</t>
  </si>
  <si>
    <t>Cincinnati Bengals</t>
  </si>
  <si>
    <t>CIN</t>
  </si>
  <si>
    <t>Cleveland Browns</t>
  </si>
  <si>
    <t>CLE</t>
  </si>
  <si>
    <t>Dallas Cowboys</t>
  </si>
  <si>
    <t>DAL</t>
  </si>
  <si>
    <t>Denver Broncos</t>
  </si>
  <si>
    <t>DEN</t>
  </si>
  <si>
    <t>Detroit Lions</t>
  </si>
  <si>
    <t>DET</t>
  </si>
  <si>
    <t>Green Bay Packers</t>
  </si>
  <si>
    <t>GNB</t>
  </si>
  <si>
    <t>Houston Texans</t>
  </si>
  <si>
    <t>HOU</t>
  </si>
  <si>
    <t>Indianapolis Colts</t>
  </si>
  <si>
    <t>IND</t>
  </si>
  <si>
    <t>Jacksonville Jaguars</t>
  </si>
  <si>
    <t>JAX</t>
  </si>
  <si>
    <t>Kansas City Chiefs</t>
  </si>
  <si>
    <t>KAN</t>
  </si>
  <si>
    <t>Las Vegas Raiders</t>
  </si>
  <si>
    <t>LVR</t>
  </si>
  <si>
    <t>Los Angeles Chargers</t>
  </si>
  <si>
    <t>LAC</t>
  </si>
  <si>
    <t>Los Angeles Rams</t>
  </si>
  <si>
    <t>LAR</t>
  </si>
  <si>
    <t>Miami Dolphins</t>
  </si>
  <si>
    <t>MIA</t>
  </si>
  <si>
    <t>Minnesota Vikings</t>
  </si>
  <si>
    <t>MIN</t>
  </si>
  <si>
    <t>New England Patriots</t>
  </si>
  <si>
    <t>NWE</t>
  </si>
  <si>
    <t>New Orleans Saints</t>
  </si>
  <si>
    <t>NOR</t>
  </si>
  <si>
    <t>New York Giants</t>
  </si>
  <si>
    <t>NYG</t>
  </si>
  <si>
    <t>New York Jets</t>
  </si>
  <si>
    <t>NYJ</t>
  </si>
  <si>
    <t>Philadelphia Eagles</t>
  </si>
  <si>
    <t>PHI</t>
  </si>
  <si>
    <t>Pittsburgh Steelers</t>
  </si>
  <si>
    <t>PIT</t>
  </si>
  <si>
    <t>San Francisco 49ers</t>
  </si>
  <si>
    <t>SFO</t>
  </si>
  <si>
    <t>Seattle Seahawks</t>
  </si>
  <si>
    <t>SEA</t>
  </si>
  <si>
    <t>Tampa Bay Buccaneers</t>
  </si>
  <si>
    <t>TAM</t>
  </si>
  <si>
    <t>Tennessee Titans</t>
  </si>
  <si>
    <t>TEN</t>
  </si>
  <si>
    <t>Washington Commanders</t>
  </si>
  <si>
    <t>WAS</t>
  </si>
  <si>
    <t>Player</t>
  </si>
  <si>
    <t>Pos</t>
  </si>
  <si>
    <t>Cmp</t>
  </si>
  <si>
    <t>Att</t>
  </si>
  <si>
    <t>Cmp%</t>
  </si>
  <si>
    <t>Yds</t>
  </si>
  <si>
    <t>TD%</t>
  </si>
  <si>
    <t>Int%</t>
  </si>
  <si>
    <t>Y/A</t>
  </si>
  <si>
    <t>Passing Share</t>
  </si>
  <si>
    <t>Bo Nix</t>
  </si>
  <si>
    <t>QB</t>
  </si>
  <si>
    <t>Dak Prescott</t>
  </si>
  <si>
    <t>Matthew Stafford</t>
  </si>
  <si>
    <t>Jared Goff</t>
  </si>
  <si>
    <t>Caleb Williams</t>
  </si>
  <si>
    <t>Trevor Lawrence</t>
  </si>
  <si>
    <t>Baker Mayfield</t>
  </si>
  <si>
    <t>Cam Ward</t>
  </si>
  <si>
    <t>Justin Herbert</t>
  </si>
  <si>
    <t>Patrick Mahomes</t>
  </si>
  <si>
    <t>Aaron Rodgers</t>
  </si>
  <si>
    <t>Drake Maye</t>
  </si>
  <si>
    <t>Jacoby Brissett</t>
  </si>
  <si>
    <t>Bryce Young</t>
  </si>
  <si>
    <t>Sam Darnold</t>
  </si>
  <si>
    <t>Josh Allen</t>
  </si>
  <si>
    <t>Jalen Hurts</t>
  </si>
  <si>
    <t>Geno Smith</t>
  </si>
  <si>
    <t>Jordan Love</t>
  </si>
  <si>
    <t>C.J. Stroud</t>
  </si>
  <si>
    <t>Daniel Jones</t>
  </si>
  <si>
    <t>Tua Tagovailoa</t>
  </si>
  <si>
    <t>Jaxson Dart</t>
  </si>
  <si>
    <t>Tyler Shough</t>
  </si>
  <si>
    <t>Lamar Jackson</t>
  </si>
  <si>
    <t>Mac Jones</t>
  </si>
  <si>
    <t>Brock Purdy</t>
  </si>
  <si>
    <t>Michael Penix</t>
  </si>
  <si>
    <t>Kirk Cousins</t>
  </si>
  <si>
    <t>Joe Burrow</t>
  </si>
  <si>
    <t>Spencer Rattler</t>
  </si>
  <si>
    <t>Joe Flacco</t>
  </si>
  <si>
    <t>J.J. McCarthy</t>
  </si>
  <si>
    <t>Marcus Mariota</t>
  </si>
  <si>
    <t>Shedeur Sanders</t>
  </si>
  <si>
    <t>Justin Fields</t>
  </si>
  <si>
    <t>Jayden Daniels</t>
  </si>
  <si>
    <t>Dillon Gabriel</t>
  </si>
  <si>
    <t>Carson Wentz</t>
  </si>
  <si>
    <t>Kyler Murray</t>
  </si>
  <si>
    <t>Davis Mills</t>
  </si>
  <si>
    <t>Brady Cook</t>
  </si>
  <si>
    <t>Tyrod Taylor</t>
  </si>
  <si>
    <t>Jake Browning</t>
  </si>
  <si>
    <t>Russell Wilson</t>
  </si>
  <si>
    <t>Philip Rivers</t>
  </si>
  <si>
    <t>Quinn Ewers</t>
  </si>
  <si>
    <t>Max Brosmer</t>
  </si>
  <si>
    <t>Tyler Huntley</t>
  </si>
  <si>
    <t>Riley Leonard</t>
  </si>
  <si>
    <t>Jameis Winston</t>
  </si>
  <si>
    <t>Trey Lance</t>
  </si>
  <si>
    <t>Chris Oladokun</t>
  </si>
  <si>
    <t>Josh Johnson</t>
  </si>
  <si>
    <t>Cooper Rush</t>
  </si>
  <si>
    <t>Mason Rudolph</t>
  </si>
  <si>
    <t>Kenny Pickett</t>
  </si>
  <si>
    <t>Tanner McKee</t>
  </si>
  <si>
    <t>Andy Dalton</t>
  </si>
  <si>
    <t>Mitchell Trubisky</t>
  </si>
  <si>
    <t>Malik Willis</t>
  </si>
  <si>
    <t>Brandon Allen</t>
  </si>
  <si>
    <t>Joe Milton</t>
  </si>
  <si>
    <t>Aidan O'Connell</t>
  </si>
  <si>
    <t>Clayton Tune</t>
  </si>
  <si>
    <t>Teddy Bridgewater</t>
  </si>
  <si>
    <t>Shane Buechele</t>
  </si>
  <si>
    <t>Gardner Minshew II</t>
  </si>
  <si>
    <t>Zach Wilson</t>
  </si>
  <si>
    <t>Joshua Dobbs</t>
  </si>
  <si>
    <t>Taysom Hill</t>
  </si>
  <si>
    <t>TE</t>
  </si>
  <si>
    <t>Tyson Bagent</t>
  </si>
  <si>
    <t>Nick Mullens</t>
  </si>
  <si>
    <t>Drew Lock</t>
  </si>
  <si>
    <t>Kedon Slovis</t>
  </si>
  <si>
    <t>David Montgomery</t>
  </si>
  <si>
    <t>RB</t>
  </si>
  <si>
    <t>Kyle Allen</t>
  </si>
  <si>
    <t>Anthony Richardson</t>
  </si>
  <si>
    <t>Gunner Olszewski</t>
  </si>
  <si>
    <t>WR</t>
  </si>
  <si>
    <t>Matt Haack</t>
  </si>
  <si>
    <t>P</t>
  </si>
  <si>
    <t>Derrick Henry</t>
  </si>
  <si>
    <t>D.J. Moore</t>
  </si>
  <si>
    <t>Cole Kmet</t>
  </si>
  <si>
    <t>Corey Bojorquez</t>
  </si>
  <si>
    <t>RJ Harvey</t>
  </si>
  <si>
    <t>Rigoberto Sanchez</t>
  </si>
  <si>
    <t>Tyler Warren</t>
  </si>
  <si>
    <t>Joshua Karty</t>
  </si>
  <si>
    <t>K</t>
  </si>
  <si>
    <t>Jaylen Waddle</t>
  </si>
  <si>
    <t>Cam Akers</t>
  </si>
  <si>
    <t>Chris Olave</t>
  </si>
  <si>
    <t>Breece Hall</t>
  </si>
  <si>
    <t>Austin McNamara</t>
  </si>
  <si>
    <t>Isaiah Williams</t>
  </si>
  <si>
    <t>Cooper Kupp</t>
  </si>
  <si>
    <t>Christian McCaffrey</t>
  </si>
  <si>
    <t>Brett Rypien</t>
  </si>
  <si>
    <t>Courtland Sutton</t>
  </si>
  <si>
    <t>Marte Mapu</t>
  </si>
  <si>
    <t>LB</t>
  </si>
  <si>
    <t>Treylon Burks</t>
  </si>
  <si>
    <t>TD</t>
  </si>
  <si>
    <t>TD %</t>
  </si>
  <si>
    <t>Rushing Share</t>
  </si>
  <si>
    <t>307</t>
  </si>
  <si>
    <t>1595</t>
  </si>
  <si>
    <t>16</t>
  </si>
  <si>
    <t>5.2</t>
  </si>
  <si>
    <t>James Cook</t>
  </si>
  <si>
    <t>309</t>
  </si>
  <si>
    <t>1621</t>
  </si>
  <si>
    <t>12</t>
  </si>
  <si>
    <t>Jonathan Taylor</t>
  </si>
  <si>
    <t>323</t>
  </si>
  <si>
    <t>1585</t>
  </si>
  <si>
    <t>18</t>
  </si>
  <si>
    <t>4.9</t>
  </si>
  <si>
    <t>Saquon Barkley</t>
  </si>
  <si>
    <t>280</t>
  </si>
  <si>
    <t>1140</t>
  </si>
  <si>
    <t>7</t>
  </si>
  <si>
    <t>4.1</t>
  </si>
  <si>
    <t>311</t>
  </si>
  <si>
    <t>1202</t>
  </si>
  <si>
    <t>10</t>
  </si>
  <si>
    <t>3.9</t>
  </si>
  <si>
    <t>Bijan Robinson</t>
  </si>
  <si>
    <t>287</t>
  </si>
  <si>
    <t>1478</t>
  </si>
  <si>
    <t>5.1</t>
  </si>
  <si>
    <t>Ashton Jeanty</t>
  </si>
  <si>
    <t>266</t>
  </si>
  <si>
    <t>975</t>
  </si>
  <si>
    <t>5</t>
  </si>
  <si>
    <t>3.7</t>
  </si>
  <si>
    <t>De'Von Achane</t>
  </si>
  <si>
    <t>238</t>
  </si>
  <si>
    <t>1350</t>
  </si>
  <si>
    <t>8</t>
  </si>
  <si>
    <t>5.7</t>
  </si>
  <si>
    <t>243</t>
  </si>
  <si>
    <t>1065</t>
  </si>
  <si>
    <t>4</t>
  </si>
  <si>
    <t>4.4</t>
  </si>
  <si>
    <t>Josh Jacobs</t>
  </si>
  <si>
    <t>234</t>
  </si>
  <si>
    <t>929</t>
  </si>
  <si>
    <t>13</t>
  </si>
  <si>
    <t>4.0</t>
  </si>
  <si>
    <t>Travis Etienne</t>
  </si>
  <si>
    <t>260</t>
  </si>
  <si>
    <t>1107</t>
  </si>
  <si>
    <t>4.3</t>
  </si>
  <si>
    <t>Kenneth Walker III</t>
  </si>
  <si>
    <t>221</t>
  </si>
  <si>
    <t>1027</t>
  </si>
  <si>
    <t>4.6</t>
  </si>
  <si>
    <t>Rico Dowdle</t>
  </si>
  <si>
    <t>236</t>
  </si>
  <si>
    <t>1076</t>
  </si>
  <si>
    <t>6</t>
  </si>
  <si>
    <t>Kyren Williams</t>
  </si>
  <si>
    <t>259</t>
  </si>
  <si>
    <t>1252</t>
  </si>
  <si>
    <t>4.8</t>
  </si>
  <si>
    <t>Tony Pollard</t>
  </si>
  <si>
    <t>242</t>
  </si>
  <si>
    <t>1082</t>
  </si>
  <si>
    <t>4.5</t>
  </si>
  <si>
    <t>Jahmyr Gibbs</t>
  </si>
  <si>
    <t>1223</t>
  </si>
  <si>
    <t>5.0</t>
  </si>
  <si>
    <t>Quinshon Judkins</t>
  </si>
  <si>
    <t>230</t>
  </si>
  <si>
    <t>827</t>
  </si>
  <si>
    <t>3.6</t>
  </si>
  <si>
    <t>Javonte Williams</t>
  </si>
  <si>
    <t>252</t>
  </si>
  <si>
    <t>1201</t>
  </si>
  <si>
    <t>11</t>
  </si>
  <si>
    <t>D'Andre Swift</t>
  </si>
  <si>
    <t>223</t>
  </si>
  <si>
    <t>1087</t>
  </si>
  <si>
    <t>9</t>
  </si>
  <si>
    <t>Jaylen Warren</t>
  </si>
  <si>
    <t>211</t>
  </si>
  <si>
    <t>958</t>
  </si>
  <si>
    <t>Zach Charbonnet</t>
  </si>
  <si>
    <t>184</t>
  </si>
  <si>
    <t>730</t>
  </si>
  <si>
    <t>Jacory Croskey-Merritt</t>
  </si>
  <si>
    <t>175</t>
  </si>
  <si>
    <t>805</t>
  </si>
  <si>
    <t>Chase Brown</t>
  </si>
  <si>
    <t>232</t>
  </si>
  <si>
    <t>1019</t>
  </si>
  <si>
    <t>TreVeyon Henderson</t>
  </si>
  <si>
    <t>180</t>
  </si>
  <si>
    <t>911</t>
  </si>
  <si>
    <t>Woody Marks</t>
  </si>
  <si>
    <t>196</t>
  </si>
  <si>
    <t>703</t>
  </si>
  <si>
    <t>2</t>
  </si>
  <si>
    <t>Tyrone Tracy Jr.</t>
  </si>
  <si>
    <t>176</t>
  </si>
  <si>
    <t>740</t>
  </si>
  <si>
    <t>4.2</t>
  </si>
  <si>
    <t>Jordan Mason</t>
  </si>
  <si>
    <t>159</t>
  </si>
  <si>
    <t>758</t>
  </si>
  <si>
    <t>Bucky Irving</t>
  </si>
  <si>
    <t>173</t>
  </si>
  <si>
    <t>588</t>
  </si>
  <si>
    <t>1</t>
  </si>
  <si>
    <t>3.4</t>
  </si>
  <si>
    <t>Kyle Monangai</t>
  </si>
  <si>
    <t>169</t>
  </si>
  <si>
    <t>783</t>
  </si>
  <si>
    <t>Kareem Hunt</t>
  </si>
  <si>
    <t>163</t>
  </si>
  <si>
    <t>611</t>
  </si>
  <si>
    <t>Aaron Jones</t>
  </si>
  <si>
    <t>132</t>
  </si>
  <si>
    <t>548</t>
  </si>
  <si>
    <t>Kimani Vidal</t>
  </si>
  <si>
    <t>155</t>
  </si>
  <si>
    <t>643</t>
  </si>
  <si>
    <t>3</t>
  </si>
  <si>
    <t>158</t>
  </si>
  <si>
    <t>716</t>
  </si>
  <si>
    <t>Tyler Allgeier</t>
  </si>
  <si>
    <t>143</t>
  </si>
  <si>
    <t>514</t>
  </si>
  <si>
    <t>Chuba Hubbard</t>
  </si>
  <si>
    <t>134</t>
  </si>
  <si>
    <t>511</t>
  </si>
  <si>
    <t>3.8</t>
  </si>
  <si>
    <t>Rhamondre Stevenson</t>
  </si>
  <si>
    <t>130</t>
  </si>
  <si>
    <t>603</t>
  </si>
  <si>
    <t>Emanuel Wilson</t>
  </si>
  <si>
    <t>125</t>
  </si>
  <si>
    <t>496</t>
  </si>
  <si>
    <t>J.K. Dobbins</t>
  </si>
  <si>
    <t>153</t>
  </si>
  <si>
    <t>772</t>
  </si>
  <si>
    <t>Blake Corum</t>
  </si>
  <si>
    <t>145</t>
  </si>
  <si>
    <t>746</t>
  </si>
  <si>
    <t>Chris Rodriguez</t>
  </si>
  <si>
    <t>112</t>
  </si>
  <si>
    <t>500</t>
  </si>
  <si>
    <t>146</t>
  </si>
  <si>
    <t>540</t>
  </si>
  <si>
    <t>Rachaad White</t>
  </si>
  <si>
    <t>572</t>
  </si>
  <si>
    <t>579</t>
  </si>
  <si>
    <t>14</t>
  </si>
  <si>
    <t>Devin Singletary</t>
  </si>
  <si>
    <t>119</t>
  </si>
  <si>
    <t>437</t>
  </si>
  <si>
    <t>Alvin Kamara</t>
  </si>
  <si>
    <t>131</t>
  </si>
  <si>
    <t>471</t>
  </si>
  <si>
    <t>Omarion Hampton</t>
  </si>
  <si>
    <t>124</t>
  </si>
  <si>
    <t>545</t>
  </si>
  <si>
    <t>105</t>
  </si>
  <si>
    <t>421</t>
  </si>
  <si>
    <t>Nick Chubb</t>
  </si>
  <si>
    <t>122</t>
  </si>
  <si>
    <t>506</t>
  </si>
  <si>
    <t>Kenneth Gainwell</t>
  </si>
  <si>
    <t>114</t>
  </si>
  <si>
    <t>537</t>
  </si>
  <si>
    <t>4.7</t>
  </si>
  <si>
    <t>103</t>
  </si>
  <si>
    <t>450</t>
  </si>
  <si>
    <t>Isiah Pacheco</t>
  </si>
  <si>
    <t>118</t>
  </si>
  <si>
    <t>462</t>
  </si>
  <si>
    <t>Cam Skattebo</t>
  </si>
  <si>
    <t>101</t>
  </si>
  <si>
    <t>410</t>
  </si>
  <si>
    <t>86</t>
  </si>
  <si>
    <t>487</t>
  </si>
  <si>
    <t>Brian Robinson Jr.</t>
  </si>
  <si>
    <t>92</t>
  </si>
  <si>
    <t>400</t>
  </si>
  <si>
    <t>67</t>
  </si>
  <si>
    <t>349</t>
  </si>
  <si>
    <t>Sean Tucker</t>
  </si>
  <si>
    <t>320</t>
  </si>
  <si>
    <t>Bhayshul Tuten</t>
  </si>
  <si>
    <t>83</t>
  </si>
  <si>
    <t>Ollie Gordon</t>
  </si>
  <si>
    <t>70</t>
  </si>
  <si>
    <t>199</t>
  </si>
  <si>
    <t>2.8</t>
  </si>
  <si>
    <t>Jaylen Wright</t>
  </si>
  <si>
    <t>288</t>
  </si>
  <si>
    <t>498</t>
  </si>
  <si>
    <t>6.0</t>
  </si>
  <si>
    <t>82</t>
  </si>
  <si>
    <t>359</t>
  </si>
  <si>
    <t>71</t>
  </si>
  <si>
    <t>383</t>
  </si>
  <si>
    <t>5.4</t>
  </si>
  <si>
    <t>Michael Carter</t>
  </si>
  <si>
    <t>333</t>
  </si>
  <si>
    <t>Keaton Mitchell</t>
  </si>
  <si>
    <t>59</t>
  </si>
  <si>
    <t>341</t>
  </si>
  <si>
    <t>5.8</t>
  </si>
  <si>
    <t>356</t>
  </si>
  <si>
    <t>77</t>
  </si>
  <si>
    <t>388</t>
  </si>
  <si>
    <t>Samaje Perine</t>
  </si>
  <si>
    <t>84</t>
  </si>
  <si>
    <t>382</t>
  </si>
  <si>
    <t>Zonovan Knight</t>
  </si>
  <si>
    <t>269</t>
  </si>
  <si>
    <t>3.3</t>
  </si>
  <si>
    <t>Tyjae Spears</t>
  </si>
  <si>
    <t>72</t>
  </si>
  <si>
    <t>283</t>
  </si>
  <si>
    <t>58</t>
  </si>
  <si>
    <t>278</t>
  </si>
  <si>
    <t>Ray Davis</t>
  </si>
  <si>
    <t>275</t>
  </si>
  <si>
    <t>0</t>
  </si>
  <si>
    <t>Tank Bigsby</t>
  </si>
  <si>
    <t>344</t>
  </si>
  <si>
    <t>5.9</t>
  </si>
  <si>
    <t>Dylan Sampson</t>
  </si>
  <si>
    <t>65</t>
  </si>
  <si>
    <t>2.7</t>
  </si>
  <si>
    <t>64</t>
  </si>
  <si>
    <t>422</t>
  </si>
  <si>
    <t>6.6</t>
  </si>
  <si>
    <t>50</t>
  </si>
  <si>
    <t>297</t>
  </si>
  <si>
    <t>54</t>
  </si>
  <si>
    <t>216</t>
  </si>
  <si>
    <t>Ty Johnson</t>
  </si>
  <si>
    <t>200</t>
  </si>
  <si>
    <t>55</t>
  </si>
  <si>
    <t>6.9</t>
  </si>
  <si>
    <t>Devin Neal</t>
  </si>
  <si>
    <t>57</t>
  </si>
  <si>
    <t>206</t>
  </si>
  <si>
    <t>47</t>
  </si>
  <si>
    <t>Jeremy McNichols</t>
  </si>
  <si>
    <t>44</t>
  </si>
  <si>
    <t>52</t>
  </si>
  <si>
    <t>2.2</t>
  </si>
  <si>
    <t>Isaiah Davis</t>
  </si>
  <si>
    <t>43</t>
  </si>
  <si>
    <t>5.5</t>
  </si>
  <si>
    <t>53</t>
  </si>
  <si>
    <t>177</t>
  </si>
  <si>
    <t>Malik Davis</t>
  </si>
  <si>
    <t>250</t>
  </si>
  <si>
    <t>48</t>
  </si>
  <si>
    <t>209</t>
  </si>
  <si>
    <t>45</t>
  </si>
  <si>
    <t>164</t>
  </si>
  <si>
    <t>41</t>
  </si>
  <si>
    <t>109</t>
  </si>
  <si>
    <t>Kendre Miller</t>
  </si>
  <si>
    <t>193</t>
  </si>
  <si>
    <t>Audric Estime</t>
  </si>
  <si>
    <t>46</t>
  </si>
  <si>
    <t>198</t>
  </si>
  <si>
    <t>37</t>
  </si>
  <si>
    <t>181</t>
  </si>
  <si>
    <t>186</t>
  </si>
  <si>
    <t>Brashard Smith</t>
  </si>
  <si>
    <t>151</t>
  </si>
  <si>
    <t>Jawhar Jordan</t>
  </si>
  <si>
    <t>35</t>
  </si>
  <si>
    <t>95</t>
  </si>
  <si>
    <t>Jaret Patterson</t>
  </si>
  <si>
    <t>39</t>
  </si>
  <si>
    <t>Emari Demercado</t>
  </si>
  <si>
    <t>312</t>
  </si>
  <si>
    <t>7.1</t>
  </si>
  <si>
    <t>Zavier Scott</t>
  </si>
  <si>
    <t>32</t>
  </si>
  <si>
    <t>36</t>
  </si>
  <si>
    <t>60</t>
  </si>
  <si>
    <t>1.7</t>
  </si>
  <si>
    <t>Jaydon Blue</t>
  </si>
  <si>
    <t>38</t>
  </si>
  <si>
    <t>129</t>
  </si>
  <si>
    <t>Jaleel McLaughlin</t>
  </si>
  <si>
    <t>187</t>
  </si>
  <si>
    <t>168</t>
  </si>
  <si>
    <t>33</t>
  </si>
  <si>
    <t>147</t>
  </si>
  <si>
    <t>24</t>
  </si>
  <si>
    <t>6.3</t>
  </si>
  <si>
    <t>Chris Brooks</t>
  </si>
  <si>
    <t>27</t>
  </si>
  <si>
    <t>106</t>
  </si>
  <si>
    <t>5.3</t>
  </si>
  <si>
    <t>31</t>
  </si>
  <si>
    <t>167</t>
  </si>
  <si>
    <t>Kaleb Johnson</t>
  </si>
  <si>
    <t>28</t>
  </si>
  <si>
    <t>69</t>
  </si>
  <si>
    <t>2.5</t>
  </si>
  <si>
    <t>Antonio Gibson</t>
  </si>
  <si>
    <t>25</t>
  </si>
  <si>
    <t>James Conner</t>
  </si>
  <si>
    <t>3.0</t>
  </si>
  <si>
    <t>29</t>
  </si>
  <si>
    <t>0.0</t>
  </si>
  <si>
    <t>Raheim Sanders</t>
  </si>
  <si>
    <t>DJ Giddens</t>
  </si>
  <si>
    <t>26</t>
  </si>
  <si>
    <t>96</t>
  </si>
  <si>
    <t>Terrell Jennings</t>
  </si>
  <si>
    <t>23</t>
  </si>
  <si>
    <t>73</t>
  </si>
  <si>
    <t>3.2</t>
  </si>
  <si>
    <t>George Holani</t>
  </si>
  <si>
    <t>22</t>
  </si>
  <si>
    <t>123</t>
  </si>
  <si>
    <t>5.6</t>
  </si>
  <si>
    <t>Trey Benson</t>
  </si>
  <si>
    <t>160</t>
  </si>
  <si>
    <t>Jerome Ford</t>
  </si>
  <si>
    <t>Raheem Mostert</t>
  </si>
  <si>
    <t>104</t>
  </si>
  <si>
    <t>Justice Hill</t>
  </si>
  <si>
    <t>93</t>
  </si>
  <si>
    <t>20</t>
  </si>
  <si>
    <t>LeQuint Allen</t>
  </si>
  <si>
    <t>94</t>
  </si>
  <si>
    <t>Trevor Etienne</t>
  </si>
  <si>
    <t>21</t>
  </si>
  <si>
    <t>61</t>
  </si>
  <si>
    <t>2.9</t>
  </si>
  <si>
    <t>8.0</t>
  </si>
  <si>
    <t>Braelon Allen</t>
  </si>
  <si>
    <t>76</t>
  </si>
  <si>
    <t>Deebo Samuel</t>
  </si>
  <si>
    <t>17</t>
  </si>
  <si>
    <t>75</t>
  </si>
  <si>
    <t>Malik Washington</t>
  </si>
  <si>
    <t>110</t>
  </si>
  <si>
    <t>6.5</t>
  </si>
  <si>
    <t>Ty Chandler</t>
  </si>
  <si>
    <t>19</t>
  </si>
  <si>
    <t>2.4</t>
  </si>
  <si>
    <t>Khalil Herbert</t>
  </si>
  <si>
    <t>Evan Hull</t>
  </si>
  <si>
    <t>Miles Sanders</t>
  </si>
  <si>
    <t>117</t>
  </si>
  <si>
    <t>Hassan Haskins</t>
  </si>
  <si>
    <t>85</t>
  </si>
  <si>
    <t>Austin Ekeler</t>
  </si>
  <si>
    <t>3.1</t>
  </si>
  <si>
    <t>British Brooks</t>
  </si>
  <si>
    <t>78</t>
  </si>
  <si>
    <t>Will Shipley</t>
  </si>
  <si>
    <t>49</t>
  </si>
  <si>
    <t>3.5</t>
  </si>
  <si>
    <t>Connor Heyward</t>
  </si>
  <si>
    <t>15</t>
  </si>
  <si>
    <t>KaVontae Turpin</t>
  </si>
  <si>
    <t>89</t>
  </si>
  <si>
    <t>Najee Harris</t>
  </si>
  <si>
    <t>Kene Nwangwu</t>
  </si>
  <si>
    <t>79</t>
  </si>
  <si>
    <t>D'Ernest Johnson</t>
  </si>
  <si>
    <t>1.9</t>
  </si>
  <si>
    <t>0.5</t>
  </si>
  <si>
    <t>Hunter Luepke</t>
  </si>
  <si>
    <t>Ameer Abdullah</t>
  </si>
  <si>
    <t>6.1</t>
  </si>
  <si>
    <t>Tahj Brooks</t>
  </si>
  <si>
    <t>AJ Dillon</t>
  </si>
  <si>
    <t>Mark Andrews</t>
  </si>
  <si>
    <t>Zay Flowers</t>
  </si>
  <si>
    <t>62</t>
  </si>
  <si>
    <t>6.2</t>
  </si>
  <si>
    <t>1.5</t>
  </si>
  <si>
    <t>Zamir White</t>
  </si>
  <si>
    <t>Malachi Corley</t>
  </si>
  <si>
    <t>127</t>
  </si>
  <si>
    <t>9.8</t>
  </si>
  <si>
    <t>Savion Williams</t>
  </si>
  <si>
    <t>Tre Tucker</t>
  </si>
  <si>
    <t>51</t>
  </si>
  <si>
    <t>-8</t>
  </si>
  <si>
    <t>-0.7</t>
  </si>
  <si>
    <t>AJ Barner</t>
  </si>
  <si>
    <t>1.4</t>
  </si>
  <si>
    <t>Matthew Golden</t>
  </si>
  <si>
    <t>-5</t>
  </si>
  <si>
    <t>-0.5</t>
  </si>
  <si>
    <t>Marvin Mims</t>
  </si>
  <si>
    <t>Julius Chestnut</t>
  </si>
  <si>
    <t>40</t>
  </si>
  <si>
    <t>Chimere Dike</t>
  </si>
  <si>
    <t>1.6</t>
  </si>
  <si>
    <t>Dare Ogunbowale</t>
  </si>
  <si>
    <t>2.3</t>
  </si>
  <si>
    <t>Xavier Worthy</t>
  </si>
  <si>
    <t>87</t>
  </si>
  <si>
    <t>7.9</t>
  </si>
  <si>
    <t>Corey Kiner</t>
  </si>
  <si>
    <t>0.7</t>
  </si>
  <si>
    <t>Dameon Pierce</t>
  </si>
  <si>
    <t>2.6</t>
  </si>
  <si>
    <t>Puka Nacua</t>
  </si>
  <si>
    <t>10.5</t>
  </si>
  <si>
    <t>Rasheen Ali</t>
  </si>
  <si>
    <t>Nathan Carter</t>
  </si>
  <si>
    <t>6.7</t>
  </si>
  <si>
    <t>Tyler Goodson</t>
  </si>
  <si>
    <t>Jonnu Smith</t>
  </si>
  <si>
    <t>7.8</t>
  </si>
  <si>
    <t>Adam Prentice</t>
  </si>
  <si>
    <t>FB</t>
  </si>
  <si>
    <t>1.0</t>
  </si>
  <si>
    <t>Jimmy Horn</t>
  </si>
  <si>
    <t>8.6</t>
  </si>
  <si>
    <t>Jimmy Garoppolo</t>
  </si>
  <si>
    <t>-10</t>
  </si>
  <si>
    <t>-1.1</t>
  </si>
  <si>
    <t>Ronnie Rivers</t>
  </si>
  <si>
    <t>Rashid Shaheed</t>
  </si>
  <si>
    <t>9.1</t>
  </si>
  <si>
    <t>Jaxon Smith-Njigba</t>
  </si>
  <si>
    <t>DeMario Douglas</t>
  </si>
  <si>
    <t>Dylan Laube</t>
  </si>
  <si>
    <t>1.3</t>
  </si>
  <si>
    <t>Tyler Badie</t>
  </si>
  <si>
    <t>0.9</t>
  </si>
  <si>
    <t>Trayveon Williams</t>
  </si>
  <si>
    <t>Harold Fannin</t>
  </si>
  <si>
    <t>Tez Johnson</t>
  </si>
  <si>
    <t>-0.8</t>
  </si>
  <si>
    <t>Parker Washington</t>
  </si>
  <si>
    <t>Elijah Moore</t>
  </si>
  <si>
    <t>Clyde Edwards-Helaire</t>
  </si>
  <si>
    <t>Greg Dortch</t>
  </si>
  <si>
    <t>2.1</t>
  </si>
  <si>
    <t>Dyami Brown</t>
  </si>
  <si>
    <t>30</t>
  </si>
  <si>
    <t>Luther Burden</t>
  </si>
  <si>
    <t>Jacardia Wright</t>
  </si>
  <si>
    <t>Jameson Williams</t>
  </si>
  <si>
    <t>2.0</t>
  </si>
  <si>
    <t>Jaylin Noel</t>
  </si>
  <si>
    <t>0.3</t>
  </si>
  <si>
    <t>Bo Melton</t>
  </si>
  <si>
    <t>CB</t>
  </si>
  <si>
    <t>7.0</t>
  </si>
  <si>
    <t>-2</t>
  </si>
  <si>
    <t>-0.4</t>
  </si>
  <si>
    <t>-4</t>
  </si>
  <si>
    <t>-1.0</t>
  </si>
  <si>
    <t>Isaiah Bond</t>
  </si>
  <si>
    <t>Jakobi Meyers</t>
  </si>
  <si>
    <t>Brittain Brown</t>
  </si>
  <si>
    <t>7.4</t>
  </si>
  <si>
    <t>Rashee Rice</t>
  </si>
  <si>
    <t>Velus Jones Jr.</t>
  </si>
  <si>
    <t>Troy Franklin</t>
  </si>
  <si>
    <t>Arian Smith</t>
  </si>
  <si>
    <t>Phil Mafah</t>
  </si>
  <si>
    <t>10.0</t>
  </si>
  <si>
    <t>-1</t>
  </si>
  <si>
    <t>-0.3</t>
  </si>
  <si>
    <t>Sterling Shepard</t>
  </si>
  <si>
    <t>Josh Williams</t>
  </si>
  <si>
    <t>Olamide Zaccheaus</t>
  </si>
  <si>
    <t>Cade Stover</t>
  </si>
  <si>
    <t>0.8</t>
  </si>
  <si>
    <t>Mason Tipton</t>
  </si>
  <si>
    <t>Ryan Flournoy</t>
  </si>
  <si>
    <t>Myles Gaskin</t>
  </si>
  <si>
    <t>Jalen Milroe</t>
  </si>
  <si>
    <t>C.J. Ham</t>
  </si>
  <si>
    <t>Jayden Reed</t>
  </si>
  <si>
    <t>9.3</t>
  </si>
  <si>
    <t>John Metchie</t>
  </si>
  <si>
    <t>-1.7</t>
  </si>
  <si>
    <t>34</t>
  </si>
  <si>
    <t>11.3</t>
  </si>
  <si>
    <t>Wan'Dale Robinson</t>
  </si>
  <si>
    <t>Ashton Dulin</t>
  </si>
  <si>
    <t>14.7</t>
  </si>
  <si>
    <t>Owen Wright</t>
  </si>
  <si>
    <t>Brian Thomas</t>
  </si>
  <si>
    <t>Kalel Mullings</t>
  </si>
  <si>
    <t>-3</t>
  </si>
  <si>
    <t>Craig Reynolds</t>
  </si>
  <si>
    <t>Amon-Ra St. Brown</t>
  </si>
  <si>
    <t>Xavier Hutchinson</t>
  </si>
  <si>
    <t>7.3</t>
  </si>
  <si>
    <t>Jordan Whittington</t>
  </si>
  <si>
    <t>Ja'Marr Chase</t>
  </si>
  <si>
    <t>Andrei Iosivas</t>
  </si>
  <si>
    <t>Alec Ingold</t>
  </si>
  <si>
    <t>14.0</t>
  </si>
  <si>
    <t>Jordan Addison</t>
  </si>
  <si>
    <t>81</t>
  </si>
  <si>
    <t>40.5</t>
  </si>
  <si>
    <t>Justin Jefferson</t>
  </si>
  <si>
    <t>Jalen Nailor</t>
  </si>
  <si>
    <t>Reggie Gilliam</t>
  </si>
  <si>
    <t>Kyle Williams</t>
  </si>
  <si>
    <t>Brock Bowers</t>
  </si>
  <si>
    <t>Feleipe Franks</t>
  </si>
  <si>
    <t>Josh Downs</t>
  </si>
  <si>
    <t>D.K. Metcalf</t>
  </si>
  <si>
    <t>Emeka Egbuka</t>
  </si>
  <si>
    <t>Kameron Johnson</t>
  </si>
  <si>
    <t>DeeJay Dallas</t>
  </si>
  <si>
    <t>Derius Davis</t>
  </si>
  <si>
    <t>Tre Harris</t>
  </si>
  <si>
    <t>Nyheim Hines</t>
  </si>
  <si>
    <t>Amar Johnson</t>
  </si>
  <si>
    <t>Quentin Johnston</t>
  </si>
  <si>
    <t>Roschon Johnson</t>
  </si>
  <si>
    <t>8.5</t>
  </si>
  <si>
    <t>Kyle Juszczyk</t>
  </si>
  <si>
    <t>-1.5</t>
  </si>
  <si>
    <t>Skyy Moore</t>
  </si>
  <si>
    <t>Ricky Pearsall</t>
  </si>
  <si>
    <t>Kalif Raymond</t>
  </si>
  <si>
    <t>9.5</t>
  </si>
  <si>
    <t>Jacob Saylors</t>
  </si>
  <si>
    <t>Nico Collins</t>
  </si>
  <si>
    <t>7.5</t>
  </si>
  <si>
    <t>Kendall Milton</t>
  </si>
  <si>
    <t>Ke'Shawn Williams</t>
  </si>
  <si>
    <t>Patrick Ricard</t>
  </si>
  <si>
    <t>Jaylin Lane</t>
  </si>
  <si>
    <t>Chris Moore</t>
  </si>
  <si>
    <t>9.0</t>
  </si>
  <si>
    <t>Greg Dulcich</t>
  </si>
  <si>
    <t>-7</t>
  </si>
  <si>
    <t>-7.0</t>
  </si>
  <si>
    <t>Darren Waller</t>
  </si>
  <si>
    <t>T.J. Hockenson</t>
  </si>
  <si>
    <t>Tucker Kraft</t>
  </si>
  <si>
    <t>Christian Watson</t>
  </si>
  <si>
    <t>Dontayvion Wicks</t>
  </si>
  <si>
    <t>Andrew Beck</t>
  </si>
  <si>
    <t>Adonai Mitchell</t>
  </si>
  <si>
    <t>-4.0</t>
  </si>
  <si>
    <t>Khalil Shakir</t>
  </si>
  <si>
    <t>Braden Mann</t>
  </si>
  <si>
    <t>-34</t>
  </si>
  <si>
    <t>-34.0</t>
  </si>
  <si>
    <t>Mack Hollins</t>
  </si>
  <si>
    <t>Mitchell Evans</t>
  </si>
  <si>
    <t>Xavier Legette</t>
  </si>
  <si>
    <t>David Moore</t>
  </si>
  <si>
    <t>12.0</t>
  </si>
  <si>
    <t>Shedrick Jackson</t>
  </si>
  <si>
    <t>Isaiah Pola-Mao</t>
  </si>
  <si>
    <t>S</t>
  </si>
  <si>
    <t>Jamie Gillan</t>
  </si>
  <si>
    <t>-13</t>
  </si>
  <si>
    <t>-13.0</t>
  </si>
  <si>
    <t>Deven Thompkins</t>
  </si>
  <si>
    <t>Ulysses Bentley</t>
  </si>
  <si>
    <t>Rodney Thomas II</t>
  </si>
  <si>
    <t>Jerry Jeudy</t>
  </si>
  <si>
    <t>Gage Larvadain</t>
  </si>
  <si>
    <t>Jalen McMillan</t>
  </si>
  <si>
    <t>Travis Hunter</t>
  </si>
  <si>
    <t>Tyler Conklin</t>
  </si>
  <si>
    <t>Travis Homer</t>
  </si>
  <si>
    <t>-2.0</t>
  </si>
  <si>
    <t>Colston Loveland</t>
  </si>
  <si>
    <t>George Kittle</t>
  </si>
  <si>
    <t>-3.0</t>
  </si>
  <si>
    <t>Adrian Martinez</t>
  </si>
  <si>
    <t>Demarcus Robinson</t>
  </si>
  <si>
    <t>Malik Cunningham</t>
  </si>
  <si>
    <t>Grant Stuard</t>
  </si>
  <si>
    <t>Sione Vaki</t>
  </si>
  <si>
    <t>Travis Kelce</t>
  </si>
  <si>
    <t>Nikko Remigio</t>
  </si>
  <si>
    <t>11.0</t>
  </si>
  <si>
    <t>Terrance Ferguson</t>
  </si>
  <si>
    <t>Evan Engram</t>
  </si>
  <si>
    <t>Jarrett Stidham</t>
  </si>
  <si>
    <t>Brandon Aubrey</t>
  </si>
  <si>
    <t>Jake Ferguson</t>
  </si>
  <si>
    <t>CeeDee Lamb</t>
  </si>
  <si>
    <t>Drew Sample</t>
  </si>
  <si>
    <t>Andre Baccellia</t>
  </si>
  <si>
    <t/>
  </si>
  <si>
    <t>Jalen Brooks</t>
  </si>
  <si>
    <t>Pharaoh Brown</t>
  </si>
  <si>
    <t>Josiah Deguara</t>
  </si>
  <si>
    <t>Marvin Harrison Jr.</t>
  </si>
  <si>
    <t>Elijah Higgins</t>
  </si>
  <si>
    <t>Zay Jones</t>
  </si>
  <si>
    <t>Trey McBride</t>
  </si>
  <si>
    <t>Tip Reiman</t>
  </si>
  <si>
    <t>Trent Sherfield</t>
  </si>
  <si>
    <t>Steven Sims</t>
  </si>
  <si>
    <t>Xavier Weaver</t>
  </si>
  <si>
    <t>Michael Wilson</t>
  </si>
  <si>
    <t>Dylan Drummond</t>
  </si>
  <si>
    <t>KhaDarel Hodge</t>
  </si>
  <si>
    <t>Drake London</t>
  </si>
  <si>
    <t>Jake Matthews</t>
  </si>
  <si>
    <t>T</t>
  </si>
  <si>
    <t>Ray-Ray McCloud</t>
  </si>
  <si>
    <t>Darnell Mooney</t>
  </si>
  <si>
    <t>Kyle Pitts</t>
  </si>
  <si>
    <t>David Sills V</t>
  </si>
  <si>
    <t>Casey Washington</t>
  </si>
  <si>
    <t>Charlie Woerner</t>
  </si>
  <si>
    <t>Rashod Bateman</t>
  </si>
  <si>
    <t>DeAndre Hopkins</t>
  </si>
  <si>
    <t>Charlie Kolar</t>
  </si>
  <si>
    <t>Isaiah Likely</t>
  </si>
  <si>
    <t>Zaire Mitchell-Paden</t>
  </si>
  <si>
    <t>Devontez Walker</t>
  </si>
  <si>
    <t>Tylan Wallace</t>
  </si>
  <si>
    <t>Keon Coleman</t>
  </si>
  <si>
    <t>Brandin Cooks</t>
  </si>
  <si>
    <t>Gabe Davis</t>
  </si>
  <si>
    <t>Mecole Hardman</t>
  </si>
  <si>
    <t>Jackson Hawes</t>
  </si>
  <si>
    <t>Dalton Kincaid</t>
  </si>
  <si>
    <t>Dawson Knox</t>
  </si>
  <si>
    <t>Keleki Latu</t>
  </si>
  <si>
    <t>Josh Palmer</t>
  </si>
  <si>
    <t>Curtis Samuel</t>
  </si>
  <si>
    <t>Tyrell Shavers</t>
  </si>
  <si>
    <t>Jalen Coker</t>
  </si>
  <si>
    <t>Tetairoa McMillan</t>
  </si>
  <si>
    <t>James Mitchell</t>
  </si>
  <si>
    <t>Hunter Renfrow</t>
  </si>
  <si>
    <t>Ja'Tavion Sanders</t>
  </si>
  <si>
    <t>Brycen Tremayne</t>
  </si>
  <si>
    <t>Tommy Tremble</t>
  </si>
  <si>
    <t>Devin Duvernay</t>
  </si>
  <si>
    <t>Rome Odunze</t>
  </si>
  <si>
    <t>Durham Smythe</t>
  </si>
  <si>
    <t>Jahdae Walker</t>
  </si>
  <si>
    <t>Noah Fant</t>
  </si>
  <si>
    <t>Cody Ford</t>
  </si>
  <si>
    <t>OT</t>
  </si>
  <si>
    <t>Mike Gesicki</t>
  </si>
  <si>
    <t>Cam Grandy</t>
  </si>
  <si>
    <t>Tee Higgins</t>
  </si>
  <si>
    <t>Tanner Hudson</t>
  </si>
  <si>
    <t>Charlie Jones</t>
  </si>
  <si>
    <t>Mitchell Tinsley</t>
  </si>
  <si>
    <t>Brenden Bates</t>
  </si>
  <si>
    <t>Sal Cannella</t>
  </si>
  <si>
    <t>David Njoku</t>
  </si>
  <si>
    <t>Jamari Thrash</t>
  </si>
  <si>
    <t>Cedric Tillman</t>
  </si>
  <si>
    <t>Blake Whiteheart</t>
  </si>
  <si>
    <t>Luke Wypler</t>
  </si>
  <si>
    <t>C</t>
  </si>
  <si>
    <t>Jonathan Mingo</t>
  </si>
  <si>
    <t>George Pickens</t>
  </si>
  <si>
    <t>Luke Schoonmaker</t>
  </si>
  <si>
    <t>Brevyn Spann-Ford</t>
  </si>
  <si>
    <t>Jalen Tolbert</t>
  </si>
  <si>
    <t>Nate Adkins</t>
  </si>
  <si>
    <t>Michael Bandy</t>
  </si>
  <si>
    <t>Garett Bolles</t>
  </si>
  <si>
    <t>Pat Bryant</t>
  </si>
  <si>
    <t>Lil'Jordan Humphrey</t>
  </si>
  <si>
    <t>Lucas Krull</t>
  </si>
  <si>
    <t>Adam Trautman</t>
  </si>
  <si>
    <t>Ross Dwelley</t>
  </si>
  <si>
    <t>Anthony Firkser</t>
  </si>
  <si>
    <t>Tom Kennedy</t>
  </si>
  <si>
    <t>Sam LaPorta</t>
  </si>
  <si>
    <t>Giovanni Ricci</t>
  </si>
  <si>
    <t>Isaac TeSlaa</t>
  </si>
  <si>
    <t>Brock Wright</t>
  </si>
  <si>
    <t>Shane Zylstra</t>
  </si>
  <si>
    <t>Drake Dabney</t>
  </si>
  <si>
    <t>Romeo Doubs</t>
  </si>
  <si>
    <t>John FitzPatrick</t>
  </si>
  <si>
    <t>Malik Heath</t>
  </si>
  <si>
    <t>Jakobie Keeney-James</t>
  </si>
  <si>
    <t>Luke Musgrave</t>
  </si>
  <si>
    <t>Josh Whyle</t>
  </si>
  <si>
    <t>Braxton Berrios</t>
  </si>
  <si>
    <t>Harrison Bryant</t>
  </si>
  <si>
    <t>Jayden Higgins</t>
  </si>
  <si>
    <t>Christian Kirk</t>
  </si>
  <si>
    <t>Dalton Schultz</t>
  </si>
  <si>
    <t>Justin Watson</t>
  </si>
  <si>
    <t>Jared Wayne</t>
  </si>
  <si>
    <t>Mo Alie-Cox</t>
  </si>
  <si>
    <t>Anthony Gould</t>
  </si>
  <si>
    <t>Will Mallory</t>
  </si>
  <si>
    <t>Andrew Ogletree</t>
  </si>
  <si>
    <t>Coleman Owen</t>
  </si>
  <si>
    <t>Alec Pierce</t>
  </si>
  <si>
    <t>Michael Pittman Jr.</t>
  </si>
  <si>
    <t>Bernhard Raimann</t>
  </si>
  <si>
    <t>Tim Jones</t>
  </si>
  <si>
    <t>Hunter Long</t>
  </si>
  <si>
    <t>Quintin Morris</t>
  </si>
  <si>
    <t>Johnny Mundt</t>
  </si>
  <si>
    <t>Tim Patrick</t>
  </si>
  <si>
    <t>Brenton Strange</t>
  </si>
  <si>
    <t>Austin Trammell</t>
  </si>
  <si>
    <t>Marquise Brown</t>
  </si>
  <si>
    <t>Jason Brownlee</t>
  </si>
  <si>
    <t>Noah Gray</t>
  </si>
  <si>
    <t>Elijah Mitchell</t>
  </si>
  <si>
    <t>Jalen Royals</t>
  </si>
  <si>
    <t>JuJu Smith-Schuster</t>
  </si>
  <si>
    <t>Tyquan Thornton</t>
  </si>
  <si>
    <t>Robert Tonyan</t>
  </si>
  <si>
    <t>Jared Wiley</t>
  </si>
  <si>
    <t>Keenan Allen</t>
  </si>
  <si>
    <t>Will Dissly</t>
  </si>
  <si>
    <t>Tucker Fisk</t>
  </si>
  <si>
    <t>Oronde Gadsden II</t>
  </si>
  <si>
    <t>KeAndre Lambert-Smith</t>
  </si>
  <si>
    <t>Scott Matlock</t>
  </si>
  <si>
    <t>Ladd McConkey</t>
  </si>
  <si>
    <t>Trevor Penning</t>
  </si>
  <si>
    <t>Davante Adams</t>
  </si>
  <si>
    <t>Davis Allen</t>
  </si>
  <si>
    <t>Tutu Atwell</t>
  </si>
  <si>
    <t>Tyler Higbee</t>
  </si>
  <si>
    <t>Konata Mumpfield</t>
  </si>
  <si>
    <t>Colby Parkinson</t>
  </si>
  <si>
    <t>Xavier Smith</t>
  </si>
  <si>
    <t>Alex Bachman</t>
  </si>
  <si>
    <t>Jack Bech</t>
  </si>
  <si>
    <t>Alex Cappa</t>
  </si>
  <si>
    <t>G</t>
  </si>
  <si>
    <t>Tyler Lockett</t>
  </si>
  <si>
    <t>Michael Mayer</t>
  </si>
  <si>
    <t>Albert Okwuegbunam</t>
  </si>
  <si>
    <t>Carter Runyon</t>
  </si>
  <si>
    <t>Ian Thomas</t>
  </si>
  <si>
    <t>Dont'e Thornton</t>
  </si>
  <si>
    <t>Tanner Conner</t>
  </si>
  <si>
    <t>D'Wayne Eskridge</t>
  </si>
  <si>
    <t>Julian Hill</t>
  </si>
  <si>
    <t>Tyreek Hill</t>
  </si>
  <si>
    <t>Tahj Washington</t>
  </si>
  <si>
    <t>Theo Wease</t>
  </si>
  <si>
    <t>Nick Westbrook-Ikhine</t>
  </si>
  <si>
    <t>Cedrick Wilson Jr.</t>
  </si>
  <si>
    <t>Tai Felton</t>
  </si>
  <si>
    <t>Josh Oliver</t>
  </si>
  <si>
    <t>Ben Sims</t>
  </si>
  <si>
    <t>Adam Thielen</t>
  </si>
  <si>
    <t>Ben Yurosek</t>
  </si>
  <si>
    <t>Kevin Austin</t>
  </si>
  <si>
    <t>Ronnie Bell</t>
  </si>
  <si>
    <t>Juwan Johnson</t>
  </si>
  <si>
    <t>Moliki Matavao</t>
  </si>
  <si>
    <t>Foster Moreau</t>
  </si>
  <si>
    <t>Dante Pettis</t>
  </si>
  <si>
    <t>Jack Stoll</t>
  </si>
  <si>
    <t>Samori Toure</t>
  </si>
  <si>
    <t>Devaughn Vele</t>
  </si>
  <si>
    <t>Kayshon Boutte</t>
  </si>
  <si>
    <t>Efton Chism</t>
  </si>
  <si>
    <t>Stefon Diggs</t>
  </si>
  <si>
    <t>Hunter Henry</t>
  </si>
  <si>
    <t>Austin Hooper</t>
  </si>
  <si>
    <t>Jack Westover</t>
  </si>
  <si>
    <t>Daniel Bellinger</t>
  </si>
  <si>
    <t>Beaux Collins</t>
  </si>
  <si>
    <t>Isaiah Hodgins</t>
  </si>
  <si>
    <t>Jalin Hyatt</t>
  </si>
  <si>
    <t>Theo Johnson</t>
  </si>
  <si>
    <t>Chris Manhertz</t>
  </si>
  <si>
    <t>Malik Nabers</t>
  </si>
  <si>
    <t>Darius Slayton</t>
  </si>
  <si>
    <t>Tyler Johnson</t>
  </si>
  <si>
    <t>Allen Lazard</t>
  </si>
  <si>
    <t>Malachi Moore</t>
  </si>
  <si>
    <t>DB</t>
  </si>
  <si>
    <t>Josh Reynolds</t>
  </si>
  <si>
    <t>Jeremy Ruckert</t>
  </si>
  <si>
    <t>Quentin Skinner</t>
  </si>
  <si>
    <t>Stone Smartt</t>
  </si>
  <si>
    <t>Mason Taylor</t>
  </si>
  <si>
    <t>Garrett Wilson</t>
  </si>
  <si>
    <t>Jelani Woods</t>
  </si>
  <si>
    <t>A.J. Brown</t>
  </si>
  <si>
    <t>Grant Calcaterra</t>
  </si>
  <si>
    <t>Darius Cooper</t>
  </si>
  <si>
    <t>Britain Covey</t>
  </si>
  <si>
    <t>Jahan Dotson</t>
  </si>
  <si>
    <t>Xavier Gipson</t>
  </si>
  <si>
    <t>Dallas Goedert</t>
  </si>
  <si>
    <t>Kylen Granson</t>
  </si>
  <si>
    <t>DeVonta Smith</t>
  </si>
  <si>
    <t>Spencer Anderson</t>
  </si>
  <si>
    <t>OL</t>
  </si>
  <si>
    <t>Calvin Austin III</t>
  </si>
  <si>
    <t>Pat Freiermuth</t>
  </si>
  <si>
    <t>Scott Miller</t>
  </si>
  <si>
    <t>Ben Skowronek</t>
  </si>
  <si>
    <t>Marquez Valdes-Scantling</t>
  </si>
  <si>
    <t>Darnell Washington</t>
  </si>
  <si>
    <t>Roman Wilson</t>
  </si>
  <si>
    <t>Elijah Arroyo</t>
  </si>
  <si>
    <t>Jake Bobo</t>
  </si>
  <si>
    <t>Tory Horton</t>
  </si>
  <si>
    <t>Nick Kallerup</t>
  </si>
  <si>
    <t>Brady Russell</t>
  </si>
  <si>
    <t>Eric Saubert</t>
  </si>
  <si>
    <t>Cody White</t>
  </si>
  <si>
    <t>Dareke Young</t>
  </si>
  <si>
    <t>Kendrick Bourne</t>
  </si>
  <si>
    <t>Connor Colby</t>
  </si>
  <si>
    <t>Luke Farrell</t>
  </si>
  <si>
    <t>Jauan Jennings</t>
  </si>
  <si>
    <t>Jake Tonges</t>
  </si>
  <si>
    <t>Malik Turner</t>
  </si>
  <si>
    <t>Jordan Watkins</t>
  </si>
  <si>
    <t>Brayden Willis</t>
  </si>
  <si>
    <t>Devin Culp</t>
  </si>
  <si>
    <t>Payne Durham</t>
  </si>
  <si>
    <t>Mike Evans</t>
  </si>
  <si>
    <t>Chris Godwin</t>
  </si>
  <si>
    <t>Ryan Miller</t>
  </si>
  <si>
    <t>Cade Otton</t>
  </si>
  <si>
    <t>Tristan Wirfs</t>
  </si>
  <si>
    <t>Elic Ayomanor</t>
  </si>
  <si>
    <t>Gunnar Helm</t>
  </si>
  <si>
    <t>Van Jefferson</t>
  </si>
  <si>
    <t>Mason Kinsey</t>
  </si>
  <si>
    <t>David Martin-Robinson</t>
  </si>
  <si>
    <t>Chig Okonkwo</t>
  </si>
  <si>
    <t>Bryce Oliver</t>
  </si>
  <si>
    <t>James Proche</t>
  </si>
  <si>
    <t>Xavier Restrepo</t>
  </si>
  <si>
    <t>Calvin Ridley</t>
  </si>
  <si>
    <t>Jeffery Simmons</t>
  </si>
  <si>
    <t>DT</t>
  </si>
  <si>
    <t>John Bates</t>
  </si>
  <si>
    <t>Noah Brown</t>
  </si>
  <si>
    <t>Robbie Chosen</t>
  </si>
  <si>
    <t>Zach Ertz</t>
  </si>
  <si>
    <t>Jacoby Jones</t>
  </si>
  <si>
    <t>Tay Martin</t>
  </si>
  <si>
    <t>Luke McCaffrey</t>
  </si>
  <si>
    <t>Terry McLaurin</t>
  </si>
  <si>
    <t>Ben Sinnott</t>
  </si>
  <si>
    <t>Colson Yankoff</t>
  </si>
  <si>
    <t>Tgt</t>
  </si>
  <si>
    <t>Rec</t>
  </si>
  <si>
    <t>Y/R</t>
  </si>
  <si>
    <t>Target Share</t>
  </si>
  <si>
    <t>Ctch%</t>
  </si>
  <si>
    <t>Fmb</t>
  </si>
  <si>
    <t>1793</t>
  </si>
  <si>
    <t>15.1</t>
  </si>
  <si>
    <t>73.0</t>
  </si>
  <si>
    <t>172</t>
  </si>
  <si>
    <t>1401</t>
  </si>
  <si>
    <t>68.0</t>
  </si>
  <si>
    <t>141</t>
  </si>
  <si>
    <t>1048</t>
  </si>
  <si>
    <t>12.5</t>
  </si>
  <si>
    <t>59.6</t>
  </si>
  <si>
    <t>185</t>
  </si>
  <si>
    <t>1412</t>
  </si>
  <si>
    <t>67.6</t>
  </si>
  <si>
    <t>1211</t>
  </si>
  <si>
    <t>14.1</t>
  </si>
  <si>
    <t>72.9</t>
  </si>
  <si>
    <t>166</t>
  </si>
  <si>
    <t>1715</t>
  </si>
  <si>
    <t>13.3</t>
  </si>
  <si>
    <t>77.7</t>
  </si>
  <si>
    <t>140</t>
  </si>
  <si>
    <t>1014</t>
  </si>
  <si>
    <t>65.7</t>
  </si>
  <si>
    <t>156</t>
  </si>
  <si>
    <t>100</t>
  </si>
  <si>
    <t>1163</t>
  </si>
  <si>
    <t>11.6</t>
  </si>
  <si>
    <t>64.1</t>
  </si>
  <si>
    <t>126</t>
  </si>
  <si>
    <t>1239</t>
  </si>
  <si>
    <t>74.6</t>
  </si>
  <si>
    <t>121</t>
  </si>
  <si>
    <t>1003</t>
  </si>
  <si>
    <t>12.9</t>
  </si>
  <si>
    <t>64.5</t>
  </si>
  <si>
    <t>14.5</t>
  </si>
  <si>
    <t>57.4</t>
  </si>
  <si>
    <t>63</t>
  </si>
  <si>
    <t>938</t>
  </si>
  <si>
    <t>14.9</t>
  </si>
  <si>
    <t>49.6</t>
  </si>
  <si>
    <t>113</t>
  </si>
  <si>
    <t>1008</t>
  </si>
  <si>
    <t>13.1</t>
  </si>
  <si>
    <t>68.1</t>
  </si>
  <si>
    <t>102</t>
  </si>
  <si>
    <t>924</t>
  </si>
  <si>
    <t>79.1</t>
  </si>
  <si>
    <t>137</t>
  </si>
  <si>
    <t>1429</t>
  </si>
  <si>
    <t>15.4</t>
  </si>
  <si>
    <t>67.9</t>
  </si>
  <si>
    <t>88</t>
  </si>
  <si>
    <t>928</t>
  </si>
  <si>
    <t>777</t>
  </si>
  <si>
    <t>9.6</t>
  </si>
  <si>
    <t>66.4</t>
  </si>
  <si>
    <t>99</t>
  </si>
  <si>
    <t>727</t>
  </si>
  <si>
    <t>10.1</t>
  </si>
  <si>
    <t>72.7</t>
  </si>
  <si>
    <t>910</t>
  </si>
  <si>
    <t>14.2</t>
  </si>
  <si>
    <t>64.0</t>
  </si>
  <si>
    <t>120</t>
  </si>
  <si>
    <t>1117</t>
  </si>
  <si>
    <t>15.7</t>
  </si>
  <si>
    <t>59.2</t>
  </si>
  <si>
    <t>68</t>
  </si>
  <si>
    <t>919</t>
  </si>
  <si>
    <t>13.5</t>
  </si>
  <si>
    <t>60.7</t>
  </si>
  <si>
    <t>817</t>
  </si>
  <si>
    <t>10.8</t>
  </si>
  <si>
    <t>1013</t>
  </si>
  <si>
    <t>11.9</t>
  </si>
  <si>
    <t>83.3</t>
  </si>
  <si>
    <t>111</t>
  </si>
  <si>
    <t>80</t>
  </si>
  <si>
    <t>784</t>
  </si>
  <si>
    <t>72.1</t>
  </si>
  <si>
    <t>74</t>
  </si>
  <si>
    <t>1017</t>
  </si>
  <si>
    <t>13.7</t>
  </si>
  <si>
    <t>59.7</t>
  </si>
  <si>
    <t>1006</t>
  </si>
  <si>
    <t>61.9</t>
  </si>
  <si>
    <t>719</t>
  </si>
  <si>
    <t>75.8</t>
  </si>
  <si>
    <t>107</t>
  </si>
  <si>
    <t>731</t>
  </si>
  <si>
    <t>10.2</t>
  </si>
  <si>
    <t>67.3</t>
  </si>
  <si>
    <t>789</t>
  </si>
  <si>
    <t>13.2</t>
  </si>
  <si>
    <t>52.6</t>
  </si>
  <si>
    <t>602</t>
  </si>
  <si>
    <t>47.2</t>
  </si>
  <si>
    <t>820</t>
  </si>
  <si>
    <t>10.4</t>
  </si>
  <si>
    <t>76.7</t>
  </si>
  <si>
    <t>1077</t>
  </si>
  <si>
    <t>14.4</t>
  </si>
  <si>
    <t>66</t>
  </si>
  <si>
    <t>62.3</t>
  </si>
  <si>
    <t>108</t>
  </si>
  <si>
    <t>851</t>
  </si>
  <si>
    <t>11.2</t>
  </si>
  <si>
    <t>70.4</t>
  </si>
  <si>
    <t>77.4</t>
  </si>
  <si>
    <t>850</t>
  </si>
  <si>
    <t>696</t>
  </si>
  <si>
    <t>12.2</t>
  </si>
  <si>
    <t>62.0</t>
  </si>
  <si>
    <t>488</t>
  </si>
  <si>
    <t>78.8</t>
  </si>
  <si>
    <t>17.2</t>
  </si>
  <si>
    <t>63.7</t>
  </si>
  <si>
    <t>724</t>
  </si>
  <si>
    <t>64.7</t>
  </si>
  <si>
    <t>768</t>
  </si>
  <si>
    <t>12.8</t>
  </si>
  <si>
    <t>69.0</t>
  </si>
  <si>
    <t>889</t>
  </si>
  <si>
    <t>11.5</t>
  </si>
  <si>
    <t>75.5</t>
  </si>
  <si>
    <t>709</t>
  </si>
  <si>
    <t>10.9</t>
  </si>
  <si>
    <t>62.5</t>
  </si>
  <si>
    <t>847</t>
  </si>
  <si>
    <t>14.6</t>
  </si>
  <si>
    <t>61.1</t>
  </si>
  <si>
    <t>680</t>
  </si>
  <si>
    <t>10.6</t>
  </si>
  <si>
    <t>74.4</t>
  </si>
  <si>
    <t>8.8</t>
  </si>
  <si>
    <t>68.6</t>
  </si>
  <si>
    <t>591</t>
  </si>
  <si>
    <t>9.9</t>
  </si>
  <si>
    <t>73.2</t>
  </si>
  <si>
    <t>600</t>
  </si>
  <si>
    <t>80.4</t>
  </si>
  <si>
    <t>42</t>
  </si>
  <si>
    <t>610</t>
  </si>
  <si>
    <t>53.2</t>
  </si>
  <si>
    <t>91</t>
  </si>
  <si>
    <t>707</t>
  </si>
  <si>
    <t>52.7</t>
  </si>
  <si>
    <t>616</t>
  </si>
  <si>
    <t>81.9</t>
  </si>
  <si>
    <t>566</t>
  </si>
  <si>
    <t>65.9</t>
  </si>
  <si>
    <t>90</t>
  </si>
  <si>
    <t>11.7</t>
  </si>
  <si>
    <t>661</t>
  </si>
  <si>
    <t>15.0</t>
  </si>
  <si>
    <t>48.9</t>
  </si>
  <si>
    <t>515</t>
  </si>
  <si>
    <t>12.6</t>
  </si>
  <si>
    <t>46.1</t>
  </si>
  <si>
    <t>486</t>
  </si>
  <si>
    <t>85.9</t>
  </si>
  <si>
    <t>21.3</t>
  </si>
  <si>
    <t>56.0</t>
  </si>
  <si>
    <t>504</t>
  </si>
  <si>
    <t>69.4</t>
  </si>
  <si>
    <t>98</t>
  </si>
  <si>
    <t>846</t>
  </si>
  <si>
    <t>14.3</t>
  </si>
  <si>
    <t>60.2</t>
  </si>
  <si>
    <t>682</t>
  </si>
  <si>
    <t>13.6</t>
  </si>
  <si>
    <t>58.8</t>
  </si>
  <si>
    <t>735</t>
  </si>
  <si>
    <t>593</t>
  </si>
  <si>
    <t>67.1</t>
  </si>
  <si>
    <t>9.7</t>
  </si>
  <si>
    <t>72.8</t>
  </si>
  <si>
    <t>713</t>
  </si>
  <si>
    <t>12.3</t>
  </si>
  <si>
    <t>70.7</t>
  </si>
  <si>
    <t>346</t>
  </si>
  <si>
    <t>75.3</t>
  </si>
  <si>
    <t>519</t>
  </si>
  <si>
    <t>76.5</t>
  </si>
  <si>
    <t>528</t>
  </si>
  <si>
    <t>60.8</t>
  </si>
  <si>
    <t>56</t>
  </si>
  <si>
    <t>560</t>
  </si>
  <si>
    <t>70.9</t>
  </si>
  <si>
    <t>78.4</t>
  </si>
  <si>
    <t>438</t>
  </si>
  <si>
    <t>77.3</t>
  </si>
  <si>
    <t>317</t>
  </si>
  <si>
    <t>70.8</t>
  </si>
  <si>
    <t>571</t>
  </si>
  <si>
    <t>443</t>
  </si>
  <si>
    <t>13.8</t>
  </si>
  <si>
    <t>44.4</t>
  </si>
  <si>
    <t>369</t>
  </si>
  <si>
    <t>8.4</t>
  </si>
  <si>
    <t>67.7</t>
  </si>
  <si>
    <t>423</t>
  </si>
  <si>
    <t>64.9</t>
  </si>
  <si>
    <t>550</t>
  </si>
  <si>
    <t>582</t>
  </si>
  <si>
    <t>15.3</t>
  </si>
  <si>
    <t>63.3</t>
  </si>
  <si>
    <t>587</t>
  </si>
  <si>
    <t>66.2</t>
  </si>
  <si>
    <t>532</t>
  </si>
  <si>
    <t>12.7</t>
  </si>
  <si>
    <t>57.5</t>
  </si>
  <si>
    <t>363</t>
  </si>
  <si>
    <t>54.7</t>
  </si>
  <si>
    <t>461</t>
  </si>
  <si>
    <t>9.2</t>
  </si>
  <si>
    <t>65.8</t>
  </si>
  <si>
    <t>664</t>
  </si>
  <si>
    <t>71.0</t>
  </si>
  <si>
    <t>628</t>
  </si>
  <si>
    <t>82.6</t>
  </si>
  <si>
    <t>538</t>
  </si>
  <si>
    <t>58.7</t>
  </si>
  <si>
    <t>395</t>
  </si>
  <si>
    <t>61.0</t>
  </si>
  <si>
    <t>404</t>
  </si>
  <si>
    <t>64.4</t>
  </si>
  <si>
    <t>301</t>
  </si>
  <si>
    <t>41.4</t>
  </si>
  <si>
    <t>525</t>
  </si>
  <si>
    <t>60.3</t>
  </si>
  <si>
    <t>313</t>
  </si>
  <si>
    <t>60.0</t>
  </si>
  <si>
    <t>608</t>
  </si>
  <si>
    <t>14.8</t>
  </si>
  <si>
    <t>56.2</t>
  </si>
  <si>
    <t>17.5</t>
  </si>
  <si>
    <t>63.6</t>
  </si>
  <si>
    <t>499</t>
  </si>
  <si>
    <t>66.7</t>
  </si>
  <si>
    <t>368</t>
  </si>
  <si>
    <t>48.4</t>
  </si>
  <si>
    <t>444</t>
  </si>
  <si>
    <t>483</t>
  </si>
  <si>
    <t>68.9</t>
  </si>
  <si>
    <t>652</t>
  </si>
  <si>
    <t>13.9</t>
  </si>
  <si>
    <t>78.3</t>
  </si>
  <si>
    <t>273</t>
  </si>
  <si>
    <t>74.0</t>
  </si>
  <si>
    <t>378</t>
  </si>
  <si>
    <t>8.2</t>
  </si>
  <si>
    <t>83.6</t>
  </si>
  <si>
    <t>372</t>
  </si>
  <si>
    <t>56.4</t>
  </si>
  <si>
    <t>79.6</t>
  </si>
  <si>
    <t>417</t>
  </si>
  <si>
    <t>73.5</t>
  </si>
  <si>
    <t>222</t>
  </si>
  <si>
    <t>75.9</t>
  </si>
  <si>
    <t>428</t>
  </si>
  <si>
    <t>61.4</t>
  </si>
  <si>
    <t>350</t>
  </si>
  <si>
    <t>75.0</t>
  </si>
  <si>
    <t>328</t>
  </si>
  <si>
    <t>9.4</t>
  </si>
  <si>
    <t>70.0</t>
  </si>
  <si>
    <t>7.6</t>
  </si>
  <si>
    <t>78.0</t>
  </si>
  <si>
    <t>357</t>
  </si>
  <si>
    <t>8.1</t>
  </si>
  <si>
    <t>80.0</t>
  </si>
  <si>
    <t>352</t>
  </si>
  <si>
    <t>10.7</t>
  </si>
  <si>
    <t>371</t>
  </si>
  <si>
    <t>73.6</t>
  </si>
  <si>
    <t>81.0</t>
  </si>
  <si>
    <t>332</t>
  </si>
  <si>
    <t>11.1</t>
  </si>
  <si>
    <t>65.2</t>
  </si>
  <si>
    <t>408</t>
  </si>
  <si>
    <t>76.8</t>
  </si>
  <si>
    <t>330</t>
  </si>
  <si>
    <t>292</t>
  </si>
  <si>
    <t>69.2</t>
  </si>
  <si>
    <t>551</t>
  </si>
  <si>
    <t>69.8</t>
  </si>
  <si>
    <t>447</t>
  </si>
  <si>
    <t>67.4</t>
  </si>
  <si>
    <t>16.7</t>
  </si>
  <si>
    <t>71.7</t>
  </si>
  <si>
    <t>360</t>
  </si>
  <si>
    <t>12.1</t>
  </si>
  <si>
    <t>55.8</t>
  </si>
  <si>
    <t>435</t>
  </si>
  <si>
    <t>56.9</t>
  </si>
  <si>
    <t>224</t>
  </si>
  <si>
    <t>11.8</t>
  </si>
  <si>
    <t>50.0</t>
  </si>
  <si>
    <t>282</t>
  </si>
  <si>
    <t>81.8</t>
  </si>
  <si>
    <t>361</t>
  </si>
  <si>
    <t>12.4</t>
  </si>
  <si>
    <t>489</t>
  </si>
  <si>
    <t>475</t>
  </si>
  <si>
    <t>71.4</t>
  </si>
  <si>
    <t>239</t>
  </si>
  <si>
    <t>53.8</t>
  </si>
  <si>
    <t>256</t>
  </si>
  <si>
    <t>264</t>
  </si>
  <si>
    <t>90.0</t>
  </si>
  <si>
    <t>293</t>
  </si>
  <si>
    <t>8.9</t>
  </si>
  <si>
    <t>68.8</t>
  </si>
  <si>
    <t>11.4</t>
  </si>
  <si>
    <t>68.3</t>
  </si>
  <si>
    <t>81.6</t>
  </si>
  <si>
    <t>347</t>
  </si>
  <si>
    <t>299</t>
  </si>
  <si>
    <t>281</t>
  </si>
  <si>
    <t>72.0</t>
  </si>
  <si>
    <t>394</t>
  </si>
  <si>
    <t>322</t>
  </si>
  <si>
    <t>8.7</t>
  </si>
  <si>
    <t>72.5</t>
  </si>
  <si>
    <t>8.3</t>
  </si>
  <si>
    <t>88.9</t>
  </si>
  <si>
    <t>291</t>
  </si>
  <si>
    <t>82.5</t>
  </si>
  <si>
    <t>218</t>
  </si>
  <si>
    <t>73.9</t>
  </si>
  <si>
    <t>298</t>
  </si>
  <si>
    <t>62.2</t>
  </si>
  <si>
    <t>338</t>
  </si>
  <si>
    <t>18.8</t>
  </si>
  <si>
    <t>40.9</t>
  </si>
  <si>
    <t>364</t>
  </si>
  <si>
    <t>345</t>
  </si>
  <si>
    <t>73.3</t>
  </si>
  <si>
    <t>76.9</t>
  </si>
  <si>
    <t>324</t>
  </si>
  <si>
    <t>86.1</t>
  </si>
  <si>
    <t>303</t>
  </si>
  <si>
    <t>59.5</t>
  </si>
  <si>
    <t>86.5</t>
  </si>
  <si>
    <t>72.2</t>
  </si>
  <si>
    <t>262</t>
  </si>
  <si>
    <t>80.5</t>
  </si>
  <si>
    <t>249</t>
  </si>
  <si>
    <t>271</t>
  </si>
  <si>
    <t>70.6</t>
  </si>
  <si>
    <t>270</t>
  </si>
  <si>
    <t>267</t>
  </si>
  <si>
    <t>335</t>
  </si>
  <si>
    <t>225</t>
  </si>
  <si>
    <t>263</t>
  </si>
  <si>
    <t>51.4</t>
  </si>
  <si>
    <t>80.6</t>
  </si>
  <si>
    <t>191</t>
  </si>
  <si>
    <t>190</t>
  </si>
  <si>
    <t>85.3</t>
  </si>
  <si>
    <t>84.6</t>
  </si>
  <si>
    <t>227</t>
  </si>
  <si>
    <t>54.1</t>
  </si>
  <si>
    <t>171</t>
  </si>
  <si>
    <t>82.9</t>
  </si>
  <si>
    <t>77.8</t>
  </si>
  <si>
    <t>178</t>
  </si>
  <si>
    <t>56.8</t>
  </si>
  <si>
    <t>23.1</t>
  </si>
  <si>
    <t>17.8</t>
  </si>
  <si>
    <t>277</t>
  </si>
  <si>
    <t>85.7</t>
  </si>
  <si>
    <t>208</t>
  </si>
  <si>
    <t>192</t>
  </si>
  <si>
    <t>91.4</t>
  </si>
  <si>
    <t>276</t>
  </si>
  <si>
    <t>62.9</t>
  </si>
  <si>
    <t>396</t>
  </si>
  <si>
    <t>15.2</t>
  </si>
  <si>
    <t>68.4</t>
  </si>
  <si>
    <t>207</t>
  </si>
  <si>
    <t>265</t>
  </si>
  <si>
    <t>72.4</t>
  </si>
  <si>
    <t>74.3</t>
  </si>
  <si>
    <t>179</t>
  </si>
  <si>
    <t>79.3</t>
  </si>
  <si>
    <t>135</t>
  </si>
  <si>
    <t>33.3</t>
  </si>
  <si>
    <t>81.3</t>
  </si>
  <si>
    <t>81.1</t>
  </si>
  <si>
    <t>203</t>
  </si>
  <si>
    <t>52.9</t>
  </si>
  <si>
    <t>57.7</t>
  </si>
  <si>
    <t>188</t>
  </si>
  <si>
    <t>80.8</t>
  </si>
  <si>
    <t>289</t>
  </si>
  <si>
    <t>87.9</t>
  </si>
  <si>
    <t>61.3</t>
  </si>
  <si>
    <t>144</t>
  </si>
  <si>
    <t>7.2</t>
  </si>
  <si>
    <t>82.8</t>
  </si>
  <si>
    <t>150</t>
  </si>
  <si>
    <t>286</t>
  </si>
  <si>
    <t>73.1</t>
  </si>
  <si>
    <t>47.8</t>
  </si>
  <si>
    <t>213</t>
  </si>
  <si>
    <t>76.0</t>
  </si>
  <si>
    <t>13.0</t>
  </si>
  <si>
    <t>45.5</t>
  </si>
  <si>
    <t>245</t>
  </si>
  <si>
    <t>16.3</t>
  </si>
  <si>
    <t>59.3</t>
  </si>
  <si>
    <t>161</t>
  </si>
  <si>
    <t>59.1</t>
  </si>
  <si>
    <t>86.4</t>
  </si>
  <si>
    <t>52.4</t>
  </si>
  <si>
    <t>165</t>
  </si>
  <si>
    <t>20.9</t>
  </si>
  <si>
    <t>47.6</t>
  </si>
  <si>
    <t>231</t>
  </si>
  <si>
    <t>21.0</t>
  </si>
  <si>
    <t>44.0</t>
  </si>
  <si>
    <t>55.0</t>
  </si>
  <si>
    <t>16.8</t>
  </si>
  <si>
    <t>78.9</t>
  </si>
  <si>
    <t>56.5</t>
  </si>
  <si>
    <t>136</t>
  </si>
  <si>
    <t>43.5</t>
  </si>
  <si>
    <t>84.2</t>
  </si>
  <si>
    <t>57.1</t>
  </si>
  <si>
    <t>7.7</t>
  </si>
  <si>
    <t>195</t>
  </si>
  <si>
    <t>87.0</t>
  </si>
  <si>
    <t>116</t>
  </si>
  <si>
    <t>79.2</t>
  </si>
  <si>
    <t>60.9</t>
  </si>
  <si>
    <t>65.0</t>
  </si>
  <si>
    <t>55.6</t>
  </si>
  <si>
    <t>197</t>
  </si>
  <si>
    <t>16.4</t>
  </si>
  <si>
    <t>94.7</t>
  </si>
  <si>
    <t>115</t>
  </si>
  <si>
    <t>142</t>
  </si>
  <si>
    <t>88.2</t>
  </si>
  <si>
    <t>47.4</t>
  </si>
  <si>
    <t>87.5</t>
  </si>
  <si>
    <t>43.8</t>
  </si>
  <si>
    <t>89.5</t>
  </si>
  <si>
    <t>18.5</t>
  </si>
  <si>
    <t>94.1</t>
  </si>
  <si>
    <t>152</t>
  </si>
  <si>
    <t>16.9</t>
  </si>
  <si>
    <t>56.3</t>
  </si>
  <si>
    <t>97</t>
  </si>
  <si>
    <t>183</t>
  </si>
  <si>
    <t>35.7</t>
  </si>
  <si>
    <t>26.8</t>
  </si>
  <si>
    <t>30.8</t>
  </si>
  <si>
    <t>42.9</t>
  </si>
  <si>
    <t>64.3</t>
  </si>
  <si>
    <t>100.0</t>
  </si>
  <si>
    <t>78.6</t>
  </si>
  <si>
    <t>32.0</t>
  </si>
  <si>
    <t>40.0</t>
  </si>
  <si>
    <t>86.7</t>
  </si>
  <si>
    <t>22.8</t>
  </si>
  <si>
    <t>92.3</t>
  </si>
  <si>
    <t>16.6</t>
  </si>
  <si>
    <t>41.7</t>
  </si>
  <si>
    <t>139</t>
  </si>
  <si>
    <t>23.2</t>
  </si>
  <si>
    <t>90.9</t>
  </si>
  <si>
    <t>22.7</t>
  </si>
  <si>
    <t>54.5</t>
  </si>
  <si>
    <t>10.3</t>
  </si>
  <si>
    <t>30.0</t>
  </si>
  <si>
    <t>21.2</t>
  </si>
  <si>
    <t>15.5</t>
  </si>
  <si>
    <t>16.0</t>
  </si>
  <si>
    <t>17.4</t>
  </si>
  <si>
    <t>6.8</t>
  </si>
  <si>
    <t>17.3</t>
  </si>
  <si>
    <t>17.0</t>
  </si>
  <si>
    <t>25.0</t>
  </si>
  <si>
    <t>20.0</t>
  </si>
  <si>
    <t>24.0</t>
  </si>
  <si>
    <t>-6</t>
  </si>
  <si>
    <t>-6.0</t>
  </si>
  <si>
    <t>33.0</t>
  </si>
  <si>
    <t>-9</t>
  </si>
  <si>
    <t>-9.0</t>
  </si>
  <si>
    <t>-10.0</t>
  </si>
  <si>
    <t>Sam Howell</t>
  </si>
  <si>
    <t>Derek Carr</t>
  </si>
  <si>
    <t>Desmond Ridder</t>
  </si>
  <si>
    <t>Will Levis</t>
  </si>
  <si>
    <t>Ryan Tannehill</t>
  </si>
  <si>
    <t>Bailey Zappe</t>
  </si>
  <si>
    <t>Easton Stick</t>
  </si>
  <si>
    <t>Deshaun Watson</t>
  </si>
  <si>
    <t>Tommy DeVito</t>
  </si>
  <si>
    <t>Taylor Heinicke</t>
  </si>
  <si>
    <t>Trevor Siemian</t>
  </si>
  <si>
    <t>P.J. Walker</t>
  </si>
  <si>
    <t>Dorian Thompson-Robinson</t>
  </si>
  <si>
    <t>Tim Boyle</t>
  </si>
  <si>
    <t>C.J. Beathard</t>
  </si>
  <si>
    <t>Case Keenum</t>
  </si>
  <si>
    <t>Brian Hoyer</t>
  </si>
  <si>
    <t>Blaine Gabbert</t>
  </si>
  <si>
    <t>Jaren Hall</t>
  </si>
  <si>
    <t>Jeff Driskel</t>
  </si>
  <si>
    <t>TE/QB</t>
  </si>
  <si>
    <t>Mike White</t>
  </si>
  <si>
    <t>Sean Clifford</t>
  </si>
  <si>
    <t>Jalen Reeves-Maybin</t>
  </si>
  <si>
    <t>Logan Woodside</t>
  </si>
  <si>
    <t>A.J. McCarron</t>
  </si>
  <si>
    <t>Thomas Morstead</t>
  </si>
  <si>
    <t>Logan Cooke</t>
  </si>
  <si>
    <t>Tommy Townsend</t>
  </si>
  <si>
    <t>Johnny Hekker</t>
  </si>
  <si>
    <t>Jerick McKinnon</t>
  </si>
  <si>
    <t>Tyler Boyd</t>
  </si>
  <si>
    <t>Parris Campbell</t>
  </si>
  <si>
    <t>Tank Dell</t>
  </si>
  <si>
    <t>Nathan Peterman</t>
  </si>
  <si>
    <t>Kadarius Toney</t>
  </si>
  <si>
    <t>Kyle Trask</t>
  </si>
  <si>
    <t>League Average</t>
  </si>
  <si>
    <t>1167</t>
  </si>
  <si>
    <t>272</t>
  </si>
  <si>
    <t>1459</t>
  </si>
  <si>
    <t>990</t>
  </si>
  <si>
    <t>Joe Mixon</t>
  </si>
  <si>
    <t>257</t>
  </si>
  <si>
    <t>1034</t>
  </si>
  <si>
    <t>255</t>
  </si>
  <si>
    <t>1035</t>
  </si>
  <si>
    <t>1005</t>
  </si>
  <si>
    <t>247</t>
  </si>
  <si>
    <t>962</t>
  </si>
  <si>
    <t>902</t>
  </si>
  <si>
    <t>237</t>
  </si>
  <si>
    <t>1122</t>
  </si>
  <si>
    <t>233</t>
  </si>
  <si>
    <t>229</t>
  </si>
  <si>
    <t>1049</t>
  </si>
  <si>
    <t>228</t>
  </si>
  <si>
    <t>1144</t>
  </si>
  <si>
    <t>994</t>
  </si>
  <si>
    <t>219</t>
  </si>
  <si>
    <t>1015</t>
  </si>
  <si>
    <t>905</t>
  </si>
  <si>
    <t>217</t>
  </si>
  <si>
    <t>774</t>
  </si>
  <si>
    <t>898</t>
  </si>
  <si>
    <t>214</t>
  </si>
  <si>
    <t>976</t>
  </si>
  <si>
    <t>1012</t>
  </si>
  <si>
    <t>1040</t>
  </si>
  <si>
    <t>205</t>
  </si>
  <si>
    <t>935</t>
  </si>
  <si>
    <t>204</t>
  </si>
  <si>
    <t>813</t>
  </si>
  <si>
    <t>Gus Edwards</t>
  </si>
  <si>
    <t>810</t>
  </si>
  <si>
    <t>683</t>
  </si>
  <si>
    <t>Ezekiel Elliott</t>
  </si>
  <si>
    <t>642</t>
  </si>
  <si>
    <t>Zack Moss</t>
  </si>
  <si>
    <t>794</t>
  </si>
  <si>
    <t>182</t>
  </si>
  <si>
    <t>945</t>
  </si>
  <si>
    <t>694</t>
  </si>
  <si>
    <t>Alexander Mattison</t>
  </si>
  <si>
    <t>700</t>
  </si>
  <si>
    <t>613</t>
  </si>
  <si>
    <t>733</t>
  </si>
  <si>
    <t>741</t>
  </si>
  <si>
    <t>157</t>
  </si>
  <si>
    <t>605</t>
  </si>
  <si>
    <t>619</t>
  </si>
  <si>
    <t>149</t>
  </si>
  <si>
    <t>148</t>
  </si>
  <si>
    <t>821</t>
  </si>
  <si>
    <t>416</t>
  </si>
  <si>
    <t>656</t>
  </si>
  <si>
    <t>411</t>
  </si>
  <si>
    <t>432</t>
  </si>
  <si>
    <t>657</t>
  </si>
  <si>
    <t>524</t>
  </si>
  <si>
    <t>D'Onta Foreman</t>
  </si>
  <si>
    <t>425</t>
  </si>
  <si>
    <t>Joshua Kelley</t>
  </si>
  <si>
    <t>405</t>
  </si>
  <si>
    <t>Jamaal Williams</t>
  </si>
  <si>
    <t>306</t>
  </si>
  <si>
    <t>451</t>
  </si>
  <si>
    <t>800</t>
  </si>
  <si>
    <t>453</t>
  </si>
  <si>
    <t>387</t>
  </si>
  <si>
    <t>401</t>
  </si>
  <si>
    <t>Latavius Murray</t>
  </si>
  <si>
    <t>300</t>
  </si>
  <si>
    <t>Royce Freeman</t>
  </si>
  <si>
    <t>319</t>
  </si>
  <si>
    <t>258</t>
  </si>
  <si>
    <t>389</t>
  </si>
  <si>
    <t>339</t>
  </si>
  <si>
    <t>Dalvin Cook</t>
  </si>
  <si>
    <t>Pierre Strong</t>
  </si>
  <si>
    <t>138</t>
  </si>
  <si>
    <t>284</t>
  </si>
  <si>
    <t>Matt Breida</t>
  </si>
  <si>
    <t>Cordarrelle Patterson</t>
  </si>
  <si>
    <t>Chase Edmonds</t>
  </si>
  <si>
    <t>Darrell Henderson</t>
  </si>
  <si>
    <t>244</t>
  </si>
  <si>
    <t>Jeff Wilson</t>
  </si>
  <si>
    <t>253</t>
  </si>
  <si>
    <t>Isaiah Spiller</t>
  </si>
  <si>
    <t>Keaontay Ingram</t>
  </si>
  <si>
    <t>Trey Sermon</t>
  </si>
  <si>
    <t>Patrick Taylor</t>
  </si>
  <si>
    <t>Darrynton Evans</t>
  </si>
  <si>
    <t>170</t>
  </si>
  <si>
    <t>Rondale Moore</t>
  </si>
  <si>
    <t>6.4</t>
  </si>
  <si>
    <t>Melvin Gordon</t>
  </si>
  <si>
    <t>Tony Jones</t>
  </si>
  <si>
    <t>Ke'Shawn Vaughn</t>
  </si>
  <si>
    <t>1.8</t>
  </si>
  <si>
    <t>Damien Harris</t>
  </si>
  <si>
    <t>Deuce Vaughn</t>
  </si>
  <si>
    <t>Israel Abanikanda</t>
  </si>
  <si>
    <t>Salvon Ahmed</t>
  </si>
  <si>
    <t>La'Mical Perine</t>
  </si>
  <si>
    <t>Boston Scott</t>
  </si>
  <si>
    <t>Eric Gray</t>
  </si>
  <si>
    <t>0.6</t>
  </si>
  <si>
    <t>Kevin Harris</t>
  </si>
  <si>
    <t>Raheem Blackshear</t>
  </si>
  <si>
    <t>Deon Jackson</t>
  </si>
  <si>
    <t>1.1</t>
  </si>
  <si>
    <t>Leonard Fournette</t>
  </si>
  <si>
    <t>Laviska Shenault Jr.</t>
  </si>
  <si>
    <t>Rashaad Penny</t>
  </si>
  <si>
    <t>Damien Williams</t>
  </si>
  <si>
    <t>Gary Brightwell</t>
  </si>
  <si>
    <t>Zach Evans</t>
  </si>
  <si>
    <t>0.2</t>
  </si>
  <si>
    <t>1.2</t>
  </si>
  <si>
    <t>Khari Blasingame</t>
  </si>
  <si>
    <t>Ihmir Smith-Marsette</t>
  </si>
  <si>
    <t>Michael Burton</t>
  </si>
  <si>
    <t>Tyler Scott</t>
  </si>
  <si>
    <t>Tyrion Davis-Price</t>
  </si>
  <si>
    <t>Mike Boone</t>
  </si>
  <si>
    <t>Lynn Bowden Jr.</t>
  </si>
  <si>
    <t>Erik Ezukanma</t>
  </si>
  <si>
    <t>Brandon Powell</t>
  </si>
  <si>
    <t>-1.2</t>
  </si>
  <si>
    <t>Jamal Agnew</t>
  </si>
  <si>
    <t>Brandon Bolden</t>
  </si>
  <si>
    <t>Elijah Dotson</t>
  </si>
  <si>
    <t>Marquise Goodwin</t>
  </si>
  <si>
    <t>Deonte Harty</t>
  </si>
  <si>
    <t>Matt Barkley</t>
  </si>
  <si>
    <t>DeAndre Carter</t>
  </si>
  <si>
    <t>Gerald Everett</t>
  </si>
  <si>
    <t>Derrick Gore</t>
  </si>
  <si>
    <t>Isaiah McKenzie</t>
  </si>
  <si>
    <t>Ty Montgomery</t>
  </si>
  <si>
    <t>Devine Ozigbo</t>
  </si>
  <si>
    <t>Trey Palmer</t>
  </si>
  <si>
    <t>Jonathan Ward</t>
  </si>
  <si>
    <t>Nick Bawden</t>
  </si>
  <si>
    <t>Ashtyn Davis</t>
  </si>
  <si>
    <t>Chris Evans</t>
  </si>
  <si>
    <t>Jake Funk</t>
  </si>
  <si>
    <t>19.5</t>
  </si>
  <si>
    <t>Kenyan Drake</t>
  </si>
  <si>
    <t>18.0</t>
  </si>
  <si>
    <t>Jason Cabinda</t>
  </si>
  <si>
    <t>Jashaun Corbin</t>
  </si>
  <si>
    <t>Blake Gillikin</t>
  </si>
  <si>
    <t>-11</t>
  </si>
  <si>
    <t>-11.0</t>
  </si>
  <si>
    <t>Peyton Hendershot</t>
  </si>
  <si>
    <t>Amani Hooker</t>
  </si>
  <si>
    <t>Rakim Jarrett</t>
  </si>
  <si>
    <t>-12</t>
  </si>
  <si>
    <t>-12.0</t>
  </si>
  <si>
    <t>Cameron Johnston</t>
  </si>
  <si>
    <t>-23</t>
  </si>
  <si>
    <t>-23.0</t>
  </si>
  <si>
    <t>Nick Niemann</t>
  </si>
  <si>
    <t>Keisean Nixon</t>
  </si>
  <si>
    <t>Jalen Reagor</t>
  </si>
  <si>
    <t>23.0</t>
  </si>
  <si>
    <t>James Robinson</t>
  </si>
  <si>
    <t>Ryan Stonehouse</t>
  </si>
  <si>
    <t>Trent Taylor</t>
  </si>
  <si>
    <t>Logan Thomas</t>
  </si>
  <si>
    <t>Zeke Turner</t>
  </si>
  <si>
    <t>Tress Way</t>
  </si>
  <si>
    <t>Jonathan Williams</t>
  </si>
  <si>
    <t>Mike Williams</t>
  </si>
  <si>
    <t>Robert Woods</t>
  </si>
  <si>
    <t>Ty Zentner</t>
  </si>
  <si>
    <t>Nelson Agholor</t>
  </si>
  <si>
    <t>Brandon Aiyuk</t>
  </si>
  <si>
    <t>Jordan Akins</t>
  </si>
  <si>
    <t>Alex Armah</t>
  </si>
  <si>
    <t>Odell Beckham Jr.</t>
  </si>
  <si>
    <t>Blake Bell</t>
  </si>
  <si>
    <t>David Bell</t>
  </si>
  <si>
    <t>Miles Boykin</t>
  </si>
  <si>
    <t>Ben Bredeson</t>
  </si>
  <si>
    <t>Damiere Byrd</t>
  </si>
  <si>
    <t>Lawrence Cager</t>
  </si>
  <si>
    <t>DJ Chark</t>
  </si>
  <si>
    <t>Irvin Charles</t>
  </si>
  <si>
    <t>Chase Claypool</t>
  </si>
  <si>
    <t>Randall Cobb</t>
  </si>
  <si>
    <t>Chris Conley</t>
  </si>
  <si>
    <t>Elijah Cooks</t>
  </si>
  <si>
    <t>Amari Cooper</t>
  </si>
  <si>
    <t>River Cracraft</t>
  </si>
  <si>
    <t>Jamison Crowder</t>
  </si>
  <si>
    <t>Phillip Dorsett</t>
  </si>
  <si>
    <t>Khalil Dorsey</t>
  </si>
  <si>
    <t>Keelan Doss</t>
  </si>
  <si>
    <t>Colton Dowell</t>
  </si>
  <si>
    <t>Brandin Echols</t>
  </si>
  <si>
    <t>Alex Erickson</t>
  </si>
  <si>
    <t>Simi Fehoko</t>
  </si>
  <si>
    <t>Cole Fotheringham</t>
  </si>
  <si>
    <t>Michael Gallup</t>
  </si>
  <si>
    <t>Jimmy Graham</t>
  </si>
  <si>
    <t>Antoine Green</t>
  </si>
  <si>
    <t>Jalen Guyton</t>
  </si>
  <si>
    <t>Robert Hainsey</t>
  </si>
  <si>
    <t>Jamycal Hasty</t>
  </si>
  <si>
    <t>Brycen Hopkins</t>
  </si>
  <si>
    <t>Jesper Horsted</t>
  </si>
  <si>
    <t>Hayden Hurst</t>
  </si>
  <si>
    <t>Trenton Irwin</t>
  </si>
  <si>
    <t>Trishton Jackson</t>
  </si>
  <si>
    <t>Richie James</t>
  </si>
  <si>
    <t>Brandon Johnson</t>
  </si>
  <si>
    <t>Collin Johnson</t>
  </si>
  <si>
    <t>Diontae Johnson</t>
  </si>
  <si>
    <t>Jakob Johnson</t>
  </si>
  <si>
    <t>Julio Jones</t>
  </si>
  <si>
    <t>Marvin Jones</t>
  </si>
  <si>
    <t>Brevin Jordan</t>
  </si>
  <si>
    <t>Ko Kieft</t>
  </si>
  <si>
    <t>Keith Kirkwood</t>
  </si>
  <si>
    <t>Kwamie Lassiter II</t>
  </si>
  <si>
    <t>Marcedes Lewis</t>
  </si>
  <si>
    <t>Terrace Marshall Jr.</t>
  </si>
  <si>
    <t>Anthony McFarland Jr.</t>
  </si>
  <si>
    <t>Sean McKeon</t>
  </si>
  <si>
    <t>Jordan Mims</t>
  </si>
  <si>
    <t>D.J. Montgomery</t>
  </si>
  <si>
    <t>Nick Muse</t>
  </si>
  <si>
    <t>K.J. Osborn</t>
  </si>
  <si>
    <t>Donald Parham</t>
  </si>
  <si>
    <t>DeVante Parker</t>
  </si>
  <si>
    <t>Zach Pascal</t>
  </si>
  <si>
    <t>Donovan Peoples-Jones</t>
  </si>
  <si>
    <t>A.T. Perry</t>
  </si>
  <si>
    <t>Kyle Philips</t>
  </si>
  <si>
    <t>Byron Pringle</t>
  </si>
  <si>
    <t>MyCole Pruitt</t>
  </si>
  <si>
    <t>Teagan Quitoriano</t>
  </si>
  <si>
    <t>Kevin Rader</t>
  </si>
  <si>
    <t>Allen Robinson</t>
  </si>
  <si>
    <t>Amari Rodgers</t>
  </si>
  <si>
    <t>Malcolm Rodriguez</t>
  </si>
  <si>
    <t>Justyn Ross</t>
  </si>
  <si>
    <t>Dan Skipper</t>
  </si>
  <si>
    <t>Donovan Smith</t>
  </si>
  <si>
    <t>Irv Smith Jr.</t>
  </si>
  <si>
    <t>Keith Smith</t>
  </si>
  <si>
    <t>Willie Snead</t>
  </si>
  <si>
    <t>Equanimeous St. Brown</t>
  </si>
  <si>
    <t>Mike Strachan</t>
  </si>
  <si>
    <t>Cole Strange</t>
  </si>
  <si>
    <t>Stephen Sullivan</t>
  </si>
  <si>
    <t>Geoff Swaim</t>
  </si>
  <si>
    <t>Malik Taylor</t>
  </si>
  <si>
    <t>Michael Thomas</t>
  </si>
  <si>
    <t>Cody Thompson</t>
  </si>
  <si>
    <t>Laquon Treadwell</t>
  </si>
  <si>
    <t>Cole Turner</t>
  </si>
  <si>
    <t>C.J. Uzomah</t>
  </si>
  <si>
    <t>Greg Van Roten</t>
  </si>
  <si>
    <t>Nick Vannett</t>
  </si>
  <si>
    <t>Quez Watkins</t>
  </si>
  <si>
    <t>David Wells</t>
  </si>
  <si>
    <t>Trevon Wesco</t>
  </si>
  <si>
    <t>Mitchell Wilcox</t>
  </si>
  <si>
    <t>Rodney Williams</t>
  </si>
  <si>
    <t>Juwann Winfree</t>
  </si>
  <si>
    <t>Kenny Yeboah</t>
  </si>
  <si>
    <t>1749</t>
  </si>
  <si>
    <t>1799</t>
  </si>
  <si>
    <t>69.6</t>
  </si>
  <si>
    <t>1515</t>
  </si>
  <si>
    <t>72.6</t>
  </si>
  <si>
    <t>963</t>
  </si>
  <si>
    <t>79.7</t>
  </si>
  <si>
    <t>1152</t>
  </si>
  <si>
    <t>69.9</t>
  </si>
  <si>
    <t>1243</t>
  </si>
  <si>
    <t>1183</t>
  </si>
  <si>
    <t>66.9</t>
  </si>
  <si>
    <t>1456</t>
  </si>
  <si>
    <t>1486</t>
  </si>
  <si>
    <t>65.6</t>
  </si>
  <si>
    <t>58.9</t>
  </si>
  <si>
    <t>75.2</t>
  </si>
  <si>
    <t>1216</t>
  </si>
  <si>
    <t>1364</t>
  </si>
  <si>
    <t>960</t>
  </si>
  <si>
    <t>74.8</t>
  </si>
  <si>
    <t>1042</t>
  </si>
  <si>
    <t>984</t>
  </si>
  <si>
    <t>1123</t>
  </si>
  <si>
    <t>63.0</t>
  </si>
  <si>
    <t>1024</t>
  </si>
  <si>
    <t>63.8</t>
  </si>
  <si>
    <t>825</t>
  </si>
  <si>
    <t>76.4</t>
  </si>
  <si>
    <t>882</t>
  </si>
  <si>
    <t>1066</t>
  </si>
  <si>
    <t>72.3</t>
  </si>
  <si>
    <t>1297</t>
  </si>
  <si>
    <t>16.2</t>
  </si>
  <si>
    <t>73.4</t>
  </si>
  <si>
    <t>1255</t>
  </si>
  <si>
    <t>15.9</t>
  </si>
  <si>
    <t>58.1</t>
  </si>
  <si>
    <t>894</t>
  </si>
  <si>
    <t>64.8</t>
  </si>
  <si>
    <t>1002</t>
  </si>
  <si>
    <t>59.8</t>
  </si>
  <si>
    <t>77.5</t>
  </si>
  <si>
    <t>858</t>
  </si>
  <si>
    <t>71.3</t>
  </si>
  <si>
    <t>1016</t>
  </si>
  <si>
    <t>13.4</t>
  </si>
  <si>
    <t>55.9</t>
  </si>
  <si>
    <t>1342</t>
  </si>
  <si>
    <t>17.9</t>
  </si>
  <si>
    <t>1057</t>
  </si>
  <si>
    <t>466</t>
  </si>
  <si>
    <t>87.2</t>
  </si>
  <si>
    <t>673</t>
  </si>
  <si>
    <t>80.2</t>
  </si>
  <si>
    <t>128</t>
  </si>
  <si>
    <t>1250</t>
  </si>
  <si>
    <t>761</t>
  </si>
  <si>
    <t>807</t>
  </si>
  <si>
    <t>67.0</t>
  </si>
  <si>
    <t>62.7</t>
  </si>
  <si>
    <t>771</t>
  </si>
  <si>
    <t>1074</t>
  </si>
  <si>
    <t>15.8</t>
  </si>
  <si>
    <t>667</t>
  </si>
  <si>
    <t>564</t>
  </si>
  <si>
    <t>80.7</t>
  </si>
  <si>
    <t>1114</t>
  </si>
  <si>
    <t>55.5</t>
  </si>
  <si>
    <t>1020</t>
  </si>
  <si>
    <t>793</t>
  </si>
  <si>
    <t>549</t>
  </si>
  <si>
    <t>18.1</t>
  </si>
  <si>
    <t>59.4</t>
  </si>
  <si>
    <t>621</t>
  </si>
  <si>
    <t>70.1</t>
  </si>
  <si>
    <t>370</t>
  </si>
  <si>
    <t>82.4</t>
  </si>
  <si>
    <t>892</t>
  </si>
  <si>
    <t>674</t>
  </si>
  <si>
    <t>61.5</t>
  </si>
  <si>
    <t>592</t>
  </si>
  <si>
    <t>71.1</t>
  </si>
  <si>
    <t>737</t>
  </si>
  <si>
    <t>62.1</t>
  </si>
  <si>
    <t>640</t>
  </si>
  <si>
    <t>56.7</t>
  </si>
  <si>
    <t>635</t>
  </si>
  <si>
    <t>476</t>
  </si>
  <si>
    <t>79.5</t>
  </si>
  <si>
    <t>787</t>
  </si>
  <si>
    <t>82.1</t>
  </si>
  <si>
    <t>70.5</t>
  </si>
  <si>
    <t>316</t>
  </si>
  <si>
    <t>376</t>
  </si>
  <si>
    <t>385</t>
  </si>
  <si>
    <t>552</t>
  </si>
  <si>
    <t>70.3</t>
  </si>
  <si>
    <t>574</t>
  </si>
  <si>
    <t>50.5</t>
  </si>
  <si>
    <t>436</t>
  </si>
  <si>
    <t>78.5</t>
  </si>
  <si>
    <t>717</t>
  </si>
  <si>
    <t>58.6</t>
  </si>
  <si>
    <t>455</t>
  </si>
  <si>
    <t>89.3</t>
  </si>
  <si>
    <t>770</t>
  </si>
  <si>
    <t>518</t>
  </si>
  <si>
    <t>59.0</t>
  </si>
  <si>
    <t>561</t>
  </si>
  <si>
    <t>81.4</t>
  </si>
  <si>
    <t>495</t>
  </si>
  <si>
    <t>15.6</t>
  </si>
  <si>
    <t>544</t>
  </si>
  <si>
    <t>73.8</t>
  </si>
  <si>
    <t>445</t>
  </si>
  <si>
    <t>81.5</t>
  </si>
  <si>
    <t>89.8</t>
  </si>
  <si>
    <t>418</t>
  </si>
  <si>
    <t>50.6</t>
  </si>
  <si>
    <t>419</t>
  </si>
  <si>
    <t>55.3</t>
  </si>
  <si>
    <t>426</t>
  </si>
  <si>
    <t>53.3</t>
  </si>
  <si>
    <t>58.2</t>
  </si>
  <si>
    <t>88.6</t>
  </si>
  <si>
    <t>448</t>
  </si>
  <si>
    <t>581</t>
  </si>
  <si>
    <t>67.2</t>
  </si>
  <si>
    <t>431</t>
  </si>
  <si>
    <t>74.5</t>
  </si>
  <si>
    <t>565</t>
  </si>
  <si>
    <t>65.5</t>
  </si>
  <si>
    <t>406</t>
  </si>
  <si>
    <t>296</t>
  </si>
  <si>
    <t>68.5</t>
  </si>
  <si>
    <t>83.7</t>
  </si>
  <si>
    <t>381</t>
  </si>
  <si>
    <t>16.1</t>
  </si>
  <si>
    <t>53.0</t>
  </si>
  <si>
    <t>366</t>
  </si>
  <si>
    <t>85.0</t>
  </si>
  <si>
    <t>321</t>
  </si>
  <si>
    <t>53.1</t>
  </si>
  <si>
    <t>567</t>
  </si>
  <si>
    <t>367</t>
  </si>
  <si>
    <t>414</t>
  </si>
  <si>
    <t>308</t>
  </si>
  <si>
    <t>49.2</t>
  </si>
  <si>
    <t>355</t>
  </si>
  <si>
    <t>50.8</t>
  </si>
  <si>
    <t>68.2</t>
  </si>
  <si>
    <t>76.3</t>
  </si>
  <si>
    <t>61.7</t>
  </si>
  <si>
    <t>305</t>
  </si>
  <si>
    <t>71.8</t>
  </si>
  <si>
    <t>52.8</t>
  </si>
  <si>
    <t>62.8</t>
  </si>
  <si>
    <t>304</t>
  </si>
  <si>
    <t>67.5</t>
  </si>
  <si>
    <t>285</t>
  </si>
  <si>
    <t>154</t>
  </si>
  <si>
    <t>460</t>
  </si>
  <si>
    <t>50.9</t>
  </si>
  <si>
    <t>78.1</t>
  </si>
  <si>
    <t>58.5</t>
  </si>
  <si>
    <t>354</t>
  </si>
  <si>
    <t>373</t>
  </si>
  <si>
    <t>46.9</t>
  </si>
  <si>
    <t>194</t>
  </si>
  <si>
    <t>71.9</t>
  </si>
  <si>
    <t>377</t>
  </si>
  <si>
    <t>17.1</t>
  </si>
  <si>
    <t>424</t>
  </si>
  <si>
    <t>19.3</t>
  </si>
  <si>
    <t>268</t>
  </si>
  <si>
    <t>57.9</t>
  </si>
  <si>
    <t>84.0</t>
  </si>
  <si>
    <t>47.7</t>
  </si>
  <si>
    <t>315</t>
  </si>
  <si>
    <t>74.1</t>
  </si>
  <si>
    <t>57.6</t>
  </si>
  <si>
    <t>331</t>
  </si>
  <si>
    <t>251</t>
  </si>
  <si>
    <t>55.2</t>
  </si>
  <si>
    <t>76.2</t>
  </si>
  <si>
    <t>93.3</t>
  </si>
  <si>
    <t>73.7</t>
  </si>
  <si>
    <t>162</t>
  </si>
  <si>
    <t>92.9</t>
  </si>
  <si>
    <t>52.2</t>
  </si>
  <si>
    <t>246</t>
  </si>
  <si>
    <t>20.5</t>
  </si>
  <si>
    <t>91.7</t>
  </si>
  <si>
    <t>42.1</t>
  </si>
  <si>
    <t>28.6</t>
  </si>
  <si>
    <t>58.3</t>
  </si>
  <si>
    <t>19.7</t>
  </si>
  <si>
    <t>30.4</t>
  </si>
  <si>
    <t>46.2</t>
  </si>
  <si>
    <t>29.4</t>
  </si>
  <si>
    <t>31.5</t>
  </si>
  <si>
    <t>26.7</t>
  </si>
  <si>
    <t>18.7</t>
  </si>
  <si>
    <t>37.5</t>
  </si>
  <si>
    <t>16.5</t>
  </si>
  <si>
    <t>-5.0</t>
  </si>
  <si>
    <t>31.0</t>
  </si>
  <si>
    <t>22.0</t>
  </si>
  <si>
    <t>45.0</t>
  </si>
  <si>
    <t>Jake Haener</t>
  </si>
  <si>
    <t>Skylar Thompson</t>
  </si>
  <si>
    <t>Hendon Hooker</t>
  </si>
  <si>
    <t>AJ Cole III</t>
  </si>
  <si>
    <t>Jack Fox</t>
  </si>
  <si>
    <t>Bryan Anger</t>
  </si>
  <si>
    <t>Riley Dixon</t>
  </si>
  <si>
    <t>JK Scott</t>
  </si>
  <si>
    <t>Miles Killebrew</t>
  </si>
  <si>
    <t>Penei Sewell</t>
  </si>
  <si>
    <t>RT</t>
  </si>
  <si>
    <t>2005</t>
  </si>
  <si>
    <t>325</t>
  </si>
  <si>
    <t>1921</t>
  </si>
  <si>
    <t>1299</t>
  </si>
  <si>
    <t>1431</t>
  </si>
  <si>
    <t>1329</t>
  </si>
  <si>
    <t>1043</t>
  </si>
  <si>
    <t>1079</t>
  </si>
  <si>
    <t>1138</t>
  </si>
  <si>
    <t>959</t>
  </si>
  <si>
    <t>1195</t>
  </si>
  <si>
    <t>1094</t>
  </si>
  <si>
    <t>235</t>
  </si>
  <si>
    <t>950</t>
  </si>
  <si>
    <t>876</t>
  </si>
  <si>
    <t>1009</t>
  </si>
  <si>
    <t>801</t>
  </si>
  <si>
    <t>907</t>
  </si>
  <si>
    <t>728</t>
  </si>
  <si>
    <t>839</t>
  </si>
  <si>
    <t>799</t>
  </si>
  <si>
    <t>775</t>
  </si>
  <si>
    <t>766</t>
  </si>
  <si>
    <t>573</t>
  </si>
  <si>
    <t>558</t>
  </si>
  <si>
    <t>630</t>
  </si>
  <si>
    <t>891</t>
  </si>
  <si>
    <t>915</t>
  </si>
  <si>
    <t>513</t>
  </si>
  <si>
    <t>644</t>
  </si>
  <si>
    <t>569</t>
  </si>
  <si>
    <t>420</t>
  </si>
  <si>
    <t>442</t>
  </si>
  <si>
    <t>502</t>
  </si>
  <si>
    <t>531</t>
  </si>
  <si>
    <t>365</t>
  </si>
  <si>
    <t>334</t>
  </si>
  <si>
    <t>430</t>
  </si>
  <si>
    <t>Isaac Guerendo</t>
  </si>
  <si>
    <t>310</t>
  </si>
  <si>
    <t>290</t>
  </si>
  <si>
    <t>226</t>
  </si>
  <si>
    <t>212</t>
  </si>
  <si>
    <t>Carson Steele</t>
  </si>
  <si>
    <t>261</t>
  </si>
  <si>
    <t>202</t>
  </si>
  <si>
    <t>201</t>
  </si>
  <si>
    <t>Sincere McCormick</t>
  </si>
  <si>
    <t>Kenny McIntosh</t>
  </si>
  <si>
    <t>174</t>
  </si>
  <si>
    <t>133</t>
  </si>
  <si>
    <t>0.1</t>
  </si>
  <si>
    <t>Jase McClellan</t>
  </si>
  <si>
    <t>J.J. Taylor</t>
  </si>
  <si>
    <t>Jonathon Brooks</t>
  </si>
  <si>
    <t>-0.6</t>
  </si>
  <si>
    <t>Jermar Jefferson</t>
  </si>
  <si>
    <t>MarShawn Lloyd</t>
  </si>
  <si>
    <t>Aaron Shampklin</t>
  </si>
  <si>
    <t>Chris Collier</t>
  </si>
  <si>
    <t>0.4</t>
  </si>
  <si>
    <t>Jacob Kibodi</t>
  </si>
  <si>
    <t>-0.2</t>
  </si>
  <si>
    <t>DJ Turner</t>
  </si>
  <si>
    <t>Blake Watson</t>
  </si>
  <si>
    <t>-1.3</t>
  </si>
  <si>
    <t>Tyreik McAllister</t>
  </si>
  <si>
    <t>Ainias Smith</t>
  </si>
  <si>
    <t>Jake Bailey</t>
  </si>
  <si>
    <t>Dane Belton</t>
  </si>
  <si>
    <t>Jacob Cowing</t>
  </si>
  <si>
    <t>Matthew Hayball</t>
  </si>
  <si>
    <t>Jaden Hicks</t>
  </si>
  <si>
    <t>Jermaine Jackson</t>
  </si>
  <si>
    <t>Jha'Quan Jackson</t>
  </si>
  <si>
    <t>Marcus Jones</t>
  </si>
  <si>
    <t>Julian Love</t>
  </si>
  <si>
    <t>FS</t>
  </si>
  <si>
    <t>Dell Pettus</t>
  </si>
  <si>
    <t>Ja'Lynn Polk</t>
  </si>
  <si>
    <t>Cody Schrader</t>
  </si>
  <si>
    <t>Tavierre Thomas</t>
  </si>
  <si>
    <t>Erick All</t>
  </si>
  <si>
    <t>Javon Baker</t>
  </si>
  <si>
    <t>Jaheim Bell</t>
  </si>
  <si>
    <t>Chris Blair</t>
  </si>
  <si>
    <t>Jake Brendel</t>
  </si>
  <si>
    <t>Jermaine Burton</t>
  </si>
  <si>
    <t>Mike Caliendo</t>
  </si>
  <si>
    <t>Dan Chisena</t>
  </si>
  <si>
    <t>Baylor Cupp</t>
  </si>
  <si>
    <t>Jaelon Darden</t>
  </si>
  <si>
    <t>Zach Davidson</t>
  </si>
  <si>
    <t>Divine Deablo</t>
  </si>
  <si>
    <t>LLB</t>
  </si>
  <si>
    <t>Taylor Decker</t>
  </si>
  <si>
    <t>LT</t>
  </si>
  <si>
    <t>Grant Dubose</t>
  </si>
  <si>
    <t>Jody Fortson</t>
  </si>
  <si>
    <t>Sam Franklin</t>
  </si>
  <si>
    <t>Zach Frazier</t>
  </si>
  <si>
    <t>C.J. Goodwin</t>
  </si>
  <si>
    <t>Dallin Holker</t>
  </si>
  <si>
    <t>Sam Hubbard</t>
  </si>
  <si>
    <t>LDE</t>
  </si>
  <si>
    <t>E.J. Jenkins</t>
  </si>
  <si>
    <t>Ramel Keyton</t>
  </si>
  <si>
    <t>JC Latham</t>
  </si>
  <si>
    <t>Vederian Lowe</t>
  </si>
  <si>
    <t>FB/DL</t>
  </si>
  <si>
    <t>Jordan Matthews</t>
  </si>
  <si>
    <t>Bub Means</t>
  </si>
  <si>
    <t>Anthony Miller</t>
  </si>
  <si>
    <t>Wanya Morris</t>
  </si>
  <si>
    <t>James Pierre</t>
  </si>
  <si>
    <t>Kendric Pryor</t>
  </si>
  <si>
    <t>Dominick Puni</t>
  </si>
  <si>
    <t>RG</t>
  </si>
  <si>
    <t>John Ross</t>
  </si>
  <si>
    <t>Trenton Scott</t>
  </si>
  <si>
    <t>John Samuel Shenker</t>
  </si>
  <si>
    <t>Tyler Smith</t>
  </si>
  <si>
    <t>LG</t>
  </si>
  <si>
    <t>Juanyeh Thomas</t>
  </si>
  <si>
    <t>Eric Tomlinson</t>
  </si>
  <si>
    <t>Ben VanSumeren</t>
  </si>
  <si>
    <t>Kristian Wilkerson</t>
  </si>
  <si>
    <t>Johnny Wilson</t>
  </si>
  <si>
    <t>Michael Woods II</t>
  </si>
  <si>
    <t>1708</t>
  </si>
  <si>
    <t>1263</t>
  </si>
  <si>
    <t>1194</t>
  </si>
  <si>
    <t>1146</t>
  </si>
  <si>
    <t>1204</t>
  </si>
  <si>
    <t>1533</t>
  </si>
  <si>
    <t>1104</t>
  </si>
  <si>
    <t>1271</t>
  </si>
  <si>
    <t>1130</t>
  </si>
  <si>
    <t>966</t>
  </si>
  <si>
    <t>823</t>
  </si>
  <si>
    <t>699</t>
  </si>
  <si>
    <t>1229</t>
  </si>
  <si>
    <t>884</t>
  </si>
  <si>
    <t>1282</t>
  </si>
  <si>
    <t>65.4</t>
  </si>
  <si>
    <t>854</t>
  </si>
  <si>
    <t>1149</t>
  </si>
  <si>
    <t>1096</t>
  </si>
  <si>
    <t>1081</t>
  </si>
  <si>
    <t>89.7</t>
  </si>
  <si>
    <t>1106</t>
  </si>
  <si>
    <t>83.0</t>
  </si>
  <si>
    <t>1004</t>
  </si>
  <si>
    <t>1059</t>
  </si>
  <si>
    <t>803</t>
  </si>
  <si>
    <t>744</t>
  </si>
  <si>
    <t>808</t>
  </si>
  <si>
    <t>68.7</t>
  </si>
  <si>
    <t>543</t>
  </si>
  <si>
    <t>833</t>
  </si>
  <si>
    <t>69.1</t>
  </si>
  <si>
    <t>710</t>
  </si>
  <si>
    <t>654</t>
  </si>
  <si>
    <t>992</t>
  </si>
  <si>
    <t>653</t>
  </si>
  <si>
    <t>665</t>
  </si>
  <si>
    <t>60.4</t>
  </si>
  <si>
    <t>505</t>
  </si>
  <si>
    <t>66.0</t>
  </si>
  <si>
    <t>875</t>
  </si>
  <si>
    <t>885</t>
  </si>
  <si>
    <t>53.4</t>
  </si>
  <si>
    <t>686</t>
  </si>
  <si>
    <t>84.7</t>
  </si>
  <si>
    <t>726</t>
  </si>
  <si>
    <t>494</t>
  </si>
  <si>
    <t>67.8</t>
  </si>
  <si>
    <t>900</t>
  </si>
  <si>
    <t>57.3</t>
  </si>
  <si>
    <t>638</t>
  </si>
  <si>
    <t>1001</t>
  </si>
  <si>
    <t>69.5</t>
  </si>
  <si>
    <t>711</t>
  </si>
  <si>
    <t>857</t>
  </si>
  <si>
    <t>83.1</t>
  </si>
  <si>
    <t>734</t>
  </si>
  <si>
    <t>53.5</t>
  </si>
  <si>
    <t>62.4</t>
  </si>
  <si>
    <t>517</t>
  </si>
  <si>
    <t>479</t>
  </si>
  <si>
    <t>449</t>
  </si>
  <si>
    <t>82.3</t>
  </si>
  <si>
    <t>670</t>
  </si>
  <si>
    <t>393</t>
  </si>
  <si>
    <t>481</t>
  </si>
  <si>
    <t>576</t>
  </si>
  <si>
    <t>497</t>
  </si>
  <si>
    <t>615</t>
  </si>
  <si>
    <t>85.5</t>
  </si>
  <si>
    <t>392</t>
  </si>
  <si>
    <t>90.4</t>
  </si>
  <si>
    <t>474</t>
  </si>
  <si>
    <t>63.5</t>
  </si>
  <si>
    <t>539</t>
  </si>
  <si>
    <t>58.0</t>
  </si>
  <si>
    <t>601</t>
  </si>
  <si>
    <t>63.9</t>
  </si>
  <si>
    <t>86.8</t>
  </si>
  <si>
    <t>756</t>
  </si>
  <si>
    <t>45.3</t>
  </si>
  <si>
    <t>589</t>
  </si>
  <si>
    <t>63.2</t>
  </si>
  <si>
    <t>562</t>
  </si>
  <si>
    <t>340</t>
  </si>
  <si>
    <t>477</t>
  </si>
  <si>
    <t>386</t>
  </si>
  <si>
    <t>66.1</t>
  </si>
  <si>
    <t>85.1</t>
  </si>
  <si>
    <t>390</t>
  </si>
  <si>
    <t>254</t>
  </si>
  <si>
    <t>503</t>
  </si>
  <si>
    <t>584</t>
  </si>
  <si>
    <t>54.9</t>
  </si>
  <si>
    <t>415</t>
  </si>
  <si>
    <t>51.3</t>
  </si>
  <si>
    <t>80.9</t>
  </si>
  <si>
    <t>342</t>
  </si>
  <si>
    <t>86.0</t>
  </si>
  <si>
    <t>530</t>
  </si>
  <si>
    <t>824</t>
  </si>
  <si>
    <t>22.3</t>
  </si>
  <si>
    <t>53.6</t>
  </si>
  <si>
    <t>294</t>
  </si>
  <si>
    <t>85.4</t>
  </si>
  <si>
    <t>51.7</t>
  </si>
  <si>
    <t>478</t>
  </si>
  <si>
    <t>351</t>
  </si>
  <si>
    <t>56.1</t>
  </si>
  <si>
    <t>413</t>
  </si>
  <si>
    <t>61.2</t>
  </si>
  <si>
    <t>556</t>
  </si>
  <si>
    <t>19.2</t>
  </si>
  <si>
    <t>620</t>
  </si>
  <si>
    <t>21.4</t>
  </si>
  <si>
    <t>248</t>
  </si>
  <si>
    <t>75.7</t>
  </si>
  <si>
    <t>379</t>
  </si>
  <si>
    <t>241</t>
  </si>
  <si>
    <t>48.1</t>
  </si>
  <si>
    <t>63.4</t>
  </si>
  <si>
    <t>374</t>
  </si>
  <si>
    <t>74.2</t>
  </si>
  <si>
    <t>41.8</t>
  </si>
  <si>
    <t>85.2</t>
  </si>
  <si>
    <t>48.8</t>
  </si>
  <si>
    <t>22.2</t>
  </si>
  <si>
    <t>22.6</t>
  </si>
  <si>
    <t>48.6</t>
  </si>
  <si>
    <t>189</t>
  </si>
  <si>
    <t>215</t>
  </si>
  <si>
    <t>31.3</t>
  </si>
  <si>
    <t>93.8</t>
  </si>
  <si>
    <t>48.3</t>
  </si>
  <si>
    <t>45.2</t>
  </si>
  <si>
    <t>36.4</t>
  </si>
  <si>
    <t>47.1</t>
  </si>
  <si>
    <t>38.9</t>
  </si>
  <si>
    <t>41.2</t>
  </si>
  <si>
    <t>17.7</t>
  </si>
  <si>
    <t>17.6</t>
  </si>
  <si>
    <t>27.3</t>
  </si>
  <si>
    <t>33.5</t>
  </si>
  <si>
    <t>34.0</t>
  </si>
  <si>
    <t>49.0</t>
  </si>
  <si>
    <t>28.0</t>
  </si>
  <si>
    <t>Washington Football Team</t>
  </si>
  <si>
    <t>Tom Brady</t>
  </si>
  <si>
    <t>Matt Ryan</t>
  </si>
  <si>
    <t>Colt McCoy</t>
  </si>
  <si>
    <t>Sam Ehlinger</t>
  </si>
  <si>
    <t>Trace McSorley</t>
  </si>
  <si>
    <t>David Blough</t>
  </si>
  <si>
    <t>John Wolford</t>
  </si>
  <si>
    <t>Anthony Brown</t>
  </si>
  <si>
    <t>Nick Foles</t>
  </si>
  <si>
    <t>Davis Webb</t>
  </si>
  <si>
    <t>Bryce Perkins</t>
  </si>
  <si>
    <t>Chris Streveler</t>
  </si>
  <si>
    <t>Jacob Eason</t>
  </si>
  <si>
    <t>Chase Daniel</t>
  </si>
  <si>
    <t>Ryan Wright</t>
  </si>
  <si>
    <t>Andy Lee</t>
  </si>
  <si>
    <t>Rex Burkhead</t>
  </si>
  <si>
    <t>Chad Henne</t>
  </si>
  <si>
    <t>Nate Sudfeld</t>
  </si>
  <si>
    <t>Ben Roethlisberger</t>
  </si>
  <si>
    <t>QB/WR</t>
  </si>
  <si>
    <t>Mike Glennon</t>
  </si>
  <si>
    <t>Cam Newton</t>
  </si>
  <si>
    <t>Jake Fromm</t>
  </si>
  <si>
    <t>Garrett Gilbert</t>
  </si>
  <si>
    <t>Sean Mannion</t>
  </si>
  <si>
    <t>Ian Book</t>
  </si>
  <si>
    <t>Chris Banjo</t>
  </si>
  <si>
    <t>Josh Rosen</t>
  </si>
  <si>
    <t>Ryan Fitzpatrick</t>
  </si>
  <si>
    <t>Matthias Farley</t>
  </si>
  <si>
    <t>Kellen Mond</t>
  </si>
  <si>
    <t>Greg Ward</t>
  </si>
  <si>
    <t>Kendall Hinton</t>
  </si>
  <si>
    <t>Danny Amendola</t>
  </si>
  <si>
    <t>Cole Beasley</t>
  </si>
  <si>
    <t>Chris Boswell</t>
  </si>
  <si>
    <t>Keelan Cole</t>
  </si>
  <si>
    <t>Sam Koch</t>
  </si>
  <si>
    <t>Jarvis Landry</t>
  </si>
  <si>
    <t>Ty Long</t>
  </si>
  <si>
    <t>Albert Wilson</t>
  </si>
  <si>
    <t>Brandon Zylstra</t>
  </si>
  <si>
    <t>Eno Benjamin</t>
  </si>
  <si>
    <t>Caleb Huntley</t>
  </si>
  <si>
    <t>Mark Ingram</t>
  </si>
  <si>
    <t>Justin Jackson</t>
  </si>
  <si>
    <t>Sony Michel</t>
  </si>
  <si>
    <t>Trestan Ebner</t>
  </si>
  <si>
    <t>Dontrell Hilliard</t>
  </si>
  <si>
    <t>J.D. McKissic</t>
  </si>
  <si>
    <t>Avery Williams</t>
  </si>
  <si>
    <t>Darrel Williams</t>
  </si>
  <si>
    <t>Benny Snell Jr.</t>
  </si>
  <si>
    <t>Malcolm Brown</t>
  </si>
  <si>
    <t>Ronald Jones II</t>
  </si>
  <si>
    <t>Marlon Mack</t>
  </si>
  <si>
    <t>Corey Clement</t>
  </si>
  <si>
    <t>Phillip Lindsay</t>
  </si>
  <si>
    <t>Larry Rountree</t>
  </si>
  <si>
    <t>Jordan Wilkins</t>
  </si>
  <si>
    <t>Tevin Coleman</t>
  </si>
  <si>
    <t>Snoop Conner</t>
  </si>
  <si>
    <t>David Johnson</t>
  </si>
  <si>
    <t>Dwayne Washington</t>
  </si>
  <si>
    <t>Spencer Brown</t>
  </si>
  <si>
    <t>Derek Watt</t>
  </si>
  <si>
    <t>Giovani Bernard</t>
  </si>
  <si>
    <t>Mike Davis</t>
  </si>
  <si>
    <t>Montrell Washington</t>
  </si>
  <si>
    <t>Pharoh Cooper</t>
  </si>
  <si>
    <t>Zander Horvath</t>
  </si>
  <si>
    <t>Anthony Schwartz</t>
  </si>
  <si>
    <t>Reggie Bonnafon</t>
  </si>
  <si>
    <t>Godwin Igwebuike</t>
  </si>
  <si>
    <t>Michael Dickson</t>
  </si>
  <si>
    <t>KJ Hamler</t>
  </si>
  <si>
    <t>Duke Johnson</t>
  </si>
  <si>
    <t>C.J. Moore</t>
  </si>
  <si>
    <t>Breshad Perriman</t>
  </si>
  <si>
    <t>Armani Rogers</t>
  </si>
  <si>
    <t>Marcus Allen</t>
  </si>
  <si>
    <t>Nick Bellore</t>
  </si>
  <si>
    <t>Sean Chandler</t>
  </si>
  <si>
    <t>Clayton Fejedelem</t>
  </si>
  <si>
    <t>Demetric Felton</t>
  </si>
  <si>
    <t>Danny Gray</t>
  </si>
  <si>
    <t>Kylin Hill</t>
  </si>
  <si>
    <t>Jordan Howard</t>
  </si>
  <si>
    <t>Robert Hunt</t>
  </si>
  <si>
    <t>Andy Isabella</t>
  </si>
  <si>
    <t>Dallin Leavitt</t>
  </si>
  <si>
    <t>Racey McMath</t>
  </si>
  <si>
    <t>M.J. Stewart</t>
  </si>
  <si>
    <t>Maurice Alexander</t>
  </si>
  <si>
    <t>Josh Ali</t>
  </si>
  <si>
    <t>Stephen Anderson</t>
  </si>
  <si>
    <t>Dan Arnold</t>
  </si>
  <si>
    <t>Devin Asiasi</t>
  </si>
  <si>
    <t>David Bakhtiari</t>
  </si>
  <si>
    <t>Daylen Baldwin</t>
  </si>
  <si>
    <t>Kendall Blanton</t>
  </si>
  <si>
    <t>C.J. Board</t>
  </si>
  <si>
    <t>Cameron Brate</t>
  </si>
  <si>
    <t>John Brown</t>
  </si>
  <si>
    <t>Marquez Callaway</t>
  </si>
  <si>
    <t>Jalen Camp</t>
  </si>
  <si>
    <t>Quintez Cephus</t>
  </si>
  <si>
    <t>Tyrie Cleveland</t>
  </si>
  <si>
    <t>Jack Conklin</t>
  </si>
  <si>
    <t>Keke Coutee</t>
  </si>
  <si>
    <t>Frank Darby</t>
  </si>
  <si>
    <t>Corey Davis</t>
  </si>
  <si>
    <t>Tyler Davis</t>
  </si>
  <si>
    <t>Bryan Edwards</t>
  </si>
  <si>
    <t>Ben Ellefson</t>
  </si>
  <si>
    <t>Miller Forristall</t>
  </si>
  <si>
    <t>Russell Gage</t>
  </si>
  <si>
    <t>Tanner Gentry</t>
  </si>
  <si>
    <t>Zach Gentry</t>
  </si>
  <si>
    <t>Jake Gervase</t>
  </si>
  <si>
    <t>Kenny Golladay</t>
  </si>
  <si>
    <t>Josh Gordon</t>
  </si>
  <si>
    <t>A.J. Green</t>
  </si>
  <si>
    <t>Ryan Griffin</t>
  </si>
  <si>
    <t>Kamu Grugier-Hill</t>
  </si>
  <si>
    <t>Troy Hairston</t>
  </si>
  <si>
    <t>Jacob Harris</t>
  </si>
  <si>
    <t>N'Keal Harry</t>
  </si>
  <si>
    <t>Penny Hart</t>
  </si>
  <si>
    <t>Parker Hesse</t>
  </si>
  <si>
    <t>T.Y. Hilton</t>
  </si>
  <si>
    <t>Cody Hollister</t>
  </si>
  <si>
    <t>Dennis Houston</t>
  </si>
  <si>
    <t>O.J. Howard</t>
  </si>
  <si>
    <t>DeSean Jackson</t>
  </si>
  <si>
    <t>Cade Johnson</t>
  </si>
  <si>
    <t>Marcus Johnson</t>
  </si>
  <si>
    <t>Tyron Johnson</t>
  </si>
  <si>
    <t>Tyler Kroft</t>
  </si>
  <si>
    <t>Jake Kumerow</t>
  </si>
  <si>
    <t>Tyler Mabry</t>
  </si>
  <si>
    <t>Lance McCutcheon</t>
  </si>
  <si>
    <t>Tre' McKitty</t>
  </si>
  <si>
    <t>Dax Milne</t>
  </si>
  <si>
    <t>Denzel Mims</t>
  </si>
  <si>
    <t>Jason Moore</t>
  </si>
  <si>
    <t>Stanley Morgan Jr.</t>
  </si>
  <si>
    <t>Chris Myarick</t>
  </si>
  <si>
    <t>Dezmon Patmon</t>
  </si>
  <si>
    <t>Richard Rodgers</t>
  </si>
  <si>
    <t>Kyle Rudolph</t>
  </si>
  <si>
    <t>Braylon Sanders</t>
  </si>
  <si>
    <t>Mason Schreck</t>
  </si>
  <si>
    <t>Cam Sims</t>
  </si>
  <si>
    <t>Jeff Smith</t>
  </si>
  <si>
    <t>Shi Smith</t>
  </si>
  <si>
    <t>Tre'Quan Smith</t>
  </si>
  <si>
    <t>Freddie Swain</t>
  </si>
  <si>
    <t>Tommy Sweeney</t>
  </si>
  <si>
    <t>Mike Thomas</t>
  </si>
  <si>
    <t>Noah Togiai</t>
  </si>
  <si>
    <t>Jalen Virgil</t>
  </si>
  <si>
    <t>James Washington</t>
  </si>
  <si>
    <t>Sammy Watkins</t>
  </si>
  <si>
    <t>Nsimba Webster</t>
  </si>
  <si>
    <t>Kevin White</t>
  </si>
  <si>
    <t>Maxx Williams</t>
  </si>
  <si>
    <t>Ty'Son Williams</t>
  </si>
  <si>
    <t>Devontae Booker</t>
  </si>
  <si>
    <t>Devonta Freeman</t>
  </si>
  <si>
    <t>Alex Collins</t>
  </si>
  <si>
    <t>Carlos Hyde</t>
  </si>
  <si>
    <t>Peyton Barber</t>
  </si>
  <si>
    <t>Chris Carson</t>
  </si>
  <si>
    <t>Le'Veon Bell</t>
  </si>
  <si>
    <t>Adrian Peterson</t>
  </si>
  <si>
    <t>Wayne Gallman</t>
  </si>
  <si>
    <t>Austin Walter</t>
  </si>
  <si>
    <t>Elijhaa Penny</t>
  </si>
  <si>
    <t>Qadree Ollison</t>
  </si>
  <si>
    <t>Ryquell Armstead</t>
  </si>
  <si>
    <t>Jason Huntley</t>
  </si>
  <si>
    <t>Kalen Ballage</t>
  </si>
  <si>
    <t>James White</t>
  </si>
  <si>
    <t>Jalen Richard</t>
  </si>
  <si>
    <t>Scottie Phillips</t>
  </si>
  <si>
    <t>Jakeem Grant</t>
  </si>
  <si>
    <t>Buddy Howell</t>
  </si>
  <si>
    <t>Jaylen Samuels</t>
  </si>
  <si>
    <t>Wendell Smallwood</t>
  </si>
  <si>
    <t>Mekhi Sargent</t>
  </si>
  <si>
    <t>Kenjon Barner</t>
  </si>
  <si>
    <t>JaQuan Hardy</t>
  </si>
  <si>
    <t>Tavon Austin</t>
  </si>
  <si>
    <t>Damarea Crockett</t>
  </si>
  <si>
    <t>Gabe Nabers</t>
  </si>
  <si>
    <t>Andre Roberts</t>
  </si>
  <si>
    <t>Henry Ruggs III</t>
  </si>
  <si>
    <t>Johnny Stanton</t>
  </si>
  <si>
    <t>Trenton Cannon</t>
  </si>
  <si>
    <t>Cameron Batson</t>
  </si>
  <si>
    <t>Kurt Benkert</t>
  </si>
  <si>
    <t>Andy Janovich</t>
  </si>
  <si>
    <t>John Kelly</t>
  </si>
  <si>
    <t>Jacques Patrick</t>
  </si>
  <si>
    <t>Emmanuel Sanders</t>
  </si>
  <si>
    <t>Antonio Brown</t>
  </si>
  <si>
    <t>SS</t>
  </si>
  <si>
    <t>Nathan Cottrell</t>
  </si>
  <si>
    <t>Eric Ebron</t>
  </si>
  <si>
    <t>Maurice Ffrench</t>
  </si>
  <si>
    <t>Cyril Grayson</t>
  </si>
  <si>
    <t>Patrick Laird</t>
  </si>
  <si>
    <t>Nate McCrary</t>
  </si>
  <si>
    <t>Ryan Nall</t>
  </si>
  <si>
    <t>Michael Palardy</t>
  </si>
  <si>
    <t>Trey Ragas</t>
  </si>
  <si>
    <t>Chester Rogers</t>
  </si>
  <si>
    <t>Ito Smith</t>
  </si>
  <si>
    <t>Tremon Smith</t>
  </si>
  <si>
    <t>Kenny Stills</t>
  </si>
  <si>
    <t>Preston Williams</t>
  </si>
  <si>
    <t>Andrew Wingard</t>
  </si>
  <si>
    <t>Rodney Adams</t>
  </si>
  <si>
    <t>Geronimo Allison</t>
  </si>
  <si>
    <t>JJ Arcega-Whiteside</t>
  </si>
  <si>
    <t>Antony Auclair</t>
  </si>
  <si>
    <t>Travis Benjamin</t>
  </si>
  <si>
    <t>Trinity Benson</t>
  </si>
  <si>
    <t>Tarik Black</t>
  </si>
  <si>
    <t>Christian Blake</t>
  </si>
  <si>
    <t>Nick Boyle</t>
  </si>
  <si>
    <t>Garrett Bradbury</t>
  </si>
  <si>
    <t>Ja'Marcus Bradley</t>
  </si>
  <si>
    <t>Darius Bradwell</t>
  </si>
  <si>
    <t>Daniel Brown</t>
  </si>
  <si>
    <t>Tevaughn Campbell</t>
  </si>
  <si>
    <t>RCB</t>
  </si>
  <si>
    <t>Derek Carrier</t>
  </si>
  <si>
    <t>Cethan Carter</t>
  </si>
  <si>
    <t>Jared Cook</t>
  </si>
  <si>
    <t>Isaiah Coulter</t>
  </si>
  <si>
    <t>Keion Crossen</t>
  </si>
  <si>
    <t>Dominique Dafney</t>
  </si>
  <si>
    <t>Darrell Daniels</t>
  </si>
  <si>
    <t>Davion Davis</t>
  </si>
  <si>
    <t>Dion Dawkins</t>
  </si>
  <si>
    <t>Jack Doyle</t>
  </si>
  <si>
    <t>Darren Fells</t>
  </si>
  <si>
    <t>Dez Fitzpatrick</t>
  </si>
  <si>
    <t>Isaiah Ford</t>
  </si>
  <si>
    <t>Will Fuller</t>
  </si>
  <si>
    <t>Garrett Griffin</t>
  </si>
  <si>
    <t>Rob Gronkowski</t>
  </si>
  <si>
    <t>Marvin Hall</t>
  </si>
  <si>
    <t>Demetrius Harris</t>
  </si>
  <si>
    <t>Daniel Helm</t>
  </si>
  <si>
    <t>Chris Herndon</t>
  </si>
  <si>
    <t>DE</t>
  </si>
  <si>
    <t>Rashard Higgins</t>
  </si>
  <si>
    <t>K.J. Hill</t>
  </si>
  <si>
    <t>Chris Hogan</t>
  </si>
  <si>
    <t>Jacob Hollister</t>
  </si>
  <si>
    <t>Tommy Hudson</t>
  </si>
  <si>
    <t>Adam Humphries</t>
  </si>
  <si>
    <t>Tyree Jackson</t>
  </si>
  <si>
    <t>Jesse James</t>
  </si>
  <si>
    <t>Blake Jarwin</t>
  </si>
  <si>
    <t>Lane Johnson</t>
  </si>
  <si>
    <t>Marcus Kemp</t>
  </si>
  <si>
    <t>Tommylee Lewis</t>
  </si>
  <si>
    <t>Conor McDermott</t>
  </si>
  <si>
    <t>Codey McElroy</t>
  </si>
  <si>
    <t>Kirk Merritt</t>
  </si>
  <si>
    <t>Jaydon Mickens</t>
  </si>
  <si>
    <t>Matt Nelson</t>
  </si>
  <si>
    <t>Dazz Newsome</t>
  </si>
  <si>
    <t>James O'Shaughnessy</t>
  </si>
  <si>
    <t>Danny Pinter</t>
  </si>
  <si>
    <t>Bobby Price</t>
  </si>
  <si>
    <t>Mike Remmers</t>
  </si>
  <si>
    <t>Mohamed Sanu</t>
  </si>
  <si>
    <t>C.J. Saunders</t>
  </si>
  <si>
    <t>Ricky Seals-Jones</t>
  </si>
  <si>
    <t>Adam Shaheen</t>
  </si>
  <si>
    <t>Tajae Sharpe</t>
  </si>
  <si>
    <t>Devin Smith</t>
  </si>
  <si>
    <t>Kaden Smith</t>
  </si>
  <si>
    <t>Lee Smith</t>
  </si>
  <si>
    <t>Rodney Smith</t>
  </si>
  <si>
    <t>Vyncint Smith</t>
  </si>
  <si>
    <t>Diontae Spencer</t>
  </si>
  <si>
    <t>Jeremy Sprinkle</t>
  </si>
  <si>
    <t>Terence Steele</t>
  </si>
  <si>
    <t>RT/LT</t>
  </si>
  <si>
    <t>Luke Stocker</t>
  </si>
  <si>
    <t>Auden Tate</t>
  </si>
  <si>
    <t>Andrew Thomas</t>
  </si>
  <si>
    <t>Colin Thompson</t>
  </si>
  <si>
    <t>Antoine Wesley</t>
  </si>
  <si>
    <t>Dede Westbrook</t>
  </si>
  <si>
    <t>Christian Wilkins</t>
  </si>
  <si>
    <t>RDE</t>
  </si>
  <si>
    <t>Seth Williams</t>
  </si>
  <si>
    <t>Trent Williams</t>
  </si>
  <si>
    <t>Tyrell Williams</t>
  </si>
  <si>
    <t>Easop Winston</t>
  </si>
  <si>
    <t>Ethan Wolf</t>
  </si>
  <si>
    <t>Deon Yelder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</si>
</sst>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0">
    <xf numFmtId="0" fontId="0" fillId="0" borderId="0" xfId="0"/>
    <xf numFmtId="9" fontId="0" fillId="0" borderId="0" xfId="1" applyFont="1"/>
    <xf numFmtId="16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1" fillId="0" borderId="0" xfId="0" applyFont="1"/>
    <xf numFmtId="164" fontId="1" fillId="0" borderId="0" xfId="1" applyNumberFormat="1"/>
    <xf numFmtId="9" fontId="1" fillId="0" borderId="0" xfId="1"/>
    <xf numFmtId="2" fontId="1" fillId="0" borderId="0" xfId="0" applyNumberFormat="1" applyFont="1"/>
    <xf numFmtId="164" fontId="1" fillId="0" borderId="0" xfId="0" applyNumberFormat="1" applyFont="1"/>
  </cellXfs>
  <cellStyles count="2"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FL_2021_2024_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 Team"/>
      <sheetName val="2025 Passing"/>
      <sheetName val="2025 Rushing"/>
      <sheetName val="2025 Receiving"/>
      <sheetName val="2023 Team"/>
      <sheetName val="2023 Passing"/>
      <sheetName val="2023 Rushing"/>
      <sheetName val="2023 Receiving"/>
      <sheetName val="2024 Team"/>
      <sheetName val="2024 Passing"/>
      <sheetName val="2024 Rushing"/>
      <sheetName val="2024 Receiving"/>
      <sheetName val="2021 Team"/>
      <sheetName val="2021 Passing"/>
      <sheetName val="2021 Rushing"/>
      <sheetName val="2021 Receiving"/>
      <sheetName val="2022 Team"/>
      <sheetName val="2022 Passing"/>
      <sheetName val="2022 Rushing"/>
      <sheetName val="2022 Receiv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B2" t="str">
            <v>DAL</v>
          </cell>
          <cell r="C2">
            <v>647</v>
          </cell>
          <cell r="D2">
            <v>473</v>
          </cell>
          <cell r="E2">
            <v>1120</v>
          </cell>
          <cell r="F2">
            <v>0.57767857142857137</v>
          </cell>
          <cell r="G2">
            <v>0.42232142857142857</v>
          </cell>
        </row>
        <row r="3">
          <cell r="B3" t="str">
            <v>TAM</v>
          </cell>
          <cell r="C3">
            <v>731</v>
          </cell>
          <cell r="D3">
            <v>385</v>
          </cell>
          <cell r="E3">
            <v>1116</v>
          </cell>
          <cell r="F3">
            <v>0.65501792114695345</v>
          </cell>
          <cell r="G3">
            <v>0.3449820788530466</v>
          </cell>
        </row>
        <row r="4">
          <cell r="B4" t="str">
            <v>BUF</v>
          </cell>
          <cell r="C4">
            <v>655</v>
          </cell>
          <cell r="D4">
            <v>461</v>
          </cell>
          <cell r="E4">
            <v>1116</v>
          </cell>
          <cell r="F4">
            <v>0.5869175627240143</v>
          </cell>
          <cell r="G4">
            <v>0.41308243727598565</v>
          </cell>
        </row>
        <row r="5">
          <cell r="B5" t="str">
            <v>KAN</v>
          </cell>
          <cell r="C5">
            <v>675</v>
          </cell>
          <cell r="D5">
            <v>431</v>
          </cell>
          <cell r="E5">
            <v>1106</v>
          </cell>
          <cell r="F5">
            <v>0.61030741410488243</v>
          </cell>
          <cell r="G5">
            <v>0.38969258589511752</v>
          </cell>
        </row>
        <row r="6">
          <cell r="B6" t="str">
            <v>LAC</v>
          </cell>
          <cell r="C6">
            <v>674</v>
          </cell>
          <cell r="D6">
            <v>423</v>
          </cell>
          <cell r="E6">
            <v>1097</v>
          </cell>
          <cell r="F6">
            <v>0.61440291704649042</v>
          </cell>
          <cell r="G6">
            <v>0.38559708295350958</v>
          </cell>
        </row>
        <row r="7">
          <cell r="B7" t="str">
            <v>NWE</v>
          </cell>
          <cell r="C7">
            <v>535</v>
          </cell>
          <cell r="D7">
            <v>489</v>
          </cell>
          <cell r="E7">
            <v>1024</v>
          </cell>
          <cell r="F7">
            <v>0.5224609375</v>
          </cell>
          <cell r="G7">
            <v>0.4775390625</v>
          </cell>
        </row>
        <row r="8">
          <cell r="B8" t="str">
            <v>CIN</v>
          </cell>
          <cell r="C8">
            <v>555</v>
          </cell>
          <cell r="D8">
            <v>436</v>
          </cell>
          <cell r="E8">
            <v>991</v>
          </cell>
          <cell r="F8">
            <v>0.56004036326942486</v>
          </cell>
          <cell r="G8">
            <v>0.4399596367305752</v>
          </cell>
        </row>
        <row r="9">
          <cell r="B9" t="str">
            <v>LAR</v>
          </cell>
          <cell r="C9">
            <v>607</v>
          </cell>
          <cell r="D9">
            <v>420</v>
          </cell>
          <cell r="E9">
            <v>1027</v>
          </cell>
          <cell r="F9">
            <v>0.59104186952288218</v>
          </cell>
          <cell r="G9">
            <v>0.40895813047711782</v>
          </cell>
        </row>
        <row r="10">
          <cell r="B10" t="str">
            <v>IND</v>
          </cell>
          <cell r="C10">
            <v>521</v>
          </cell>
          <cell r="D10">
            <v>499</v>
          </cell>
          <cell r="E10">
            <v>1020</v>
          </cell>
          <cell r="F10">
            <v>0.51078431372549016</v>
          </cell>
          <cell r="G10">
            <v>0.48921568627450979</v>
          </cell>
        </row>
        <row r="11">
          <cell r="B11" t="str">
            <v>GNB</v>
          </cell>
          <cell r="C11">
            <v>593</v>
          </cell>
          <cell r="D11">
            <v>446</v>
          </cell>
          <cell r="E11">
            <v>1039</v>
          </cell>
          <cell r="F11">
            <v>0.57074109720885469</v>
          </cell>
          <cell r="G11">
            <v>0.42925890279114531</v>
          </cell>
        </row>
        <row r="12">
          <cell r="B12" t="str">
            <v>ARI</v>
          </cell>
          <cell r="C12">
            <v>591</v>
          </cell>
          <cell r="D12">
            <v>496</v>
          </cell>
          <cell r="E12">
            <v>1087</v>
          </cell>
          <cell r="F12">
            <v>0.54369825206991718</v>
          </cell>
          <cell r="G12">
            <v>0.45630174793008282</v>
          </cell>
        </row>
        <row r="13">
          <cell r="B13" t="str">
            <v>PHI</v>
          </cell>
          <cell r="C13">
            <v>494</v>
          </cell>
          <cell r="D13">
            <v>550</v>
          </cell>
          <cell r="E13">
            <v>1044</v>
          </cell>
          <cell r="F13">
            <v>0.47318007662835249</v>
          </cell>
          <cell r="G13">
            <v>0.52681992337164751</v>
          </cell>
        </row>
        <row r="14">
          <cell r="B14" t="str">
            <v>SFO</v>
          </cell>
          <cell r="C14">
            <v>514</v>
          </cell>
          <cell r="D14">
            <v>499</v>
          </cell>
          <cell r="E14">
            <v>1013</v>
          </cell>
          <cell r="F14">
            <v>0.50740375123395853</v>
          </cell>
          <cell r="G14">
            <v>0.49259624876604147</v>
          </cell>
        </row>
        <row r="15">
          <cell r="B15" t="str">
            <v>MIN</v>
          </cell>
          <cell r="C15">
            <v>604</v>
          </cell>
          <cell r="D15">
            <v>449</v>
          </cell>
          <cell r="E15">
            <v>1053</v>
          </cell>
          <cell r="F15">
            <v>0.57359924026590692</v>
          </cell>
          <cell r="G15">
            <v>0.42640075973409308</v>
          </cell>
        </row>
        <row r="16">
          <cell r="B16" t="str">
            <v>TEN</v>
          </cell>
          <cell r="C16">
            <v>535</v>
          </cell>
          <cell r="D16">
            <v>551</v>
          </cell>
          <cell r="E16">
            <v>1086</v>
          </cell>
          <cell r="F16">
            <v>0.49263351749539597</v>
          </cell>
          <cell r="G16">
            <v>0.50736648250460403</v>
          </cell>
        </row>
        <row r="17">
          <cell r="B17" t="str">
            <v>SEA</v>
          </cell>
          <cell r="C17">
            <v>495</v>
          </cell>
          <cell r="D17">
            <v>413</v>
          </cell>
          <cell r="E17">
            <v>908</v>
          </cell>
          <cell r="F17">
            <v>0.54515418502202639</v>
          </cell>
          <cell r="G17">
            <v>0.45484581497797355</v>
          </cell>
        </row>
        <row r="18">
          <cell r="B18" t="str">
            <v>BAL</v>
          </cell>
          <cell r="C18">
            <v>611</v>
          </cell>
          <cell r="D18">
            <v>517</v>
          </cell>
          <cell r="E18">
            <v>1128</v>
          </cell>
          <cell r="F18">
            <v>0.54166666666666663</v>
          </cell>
          <cell r="G18">
            <v>0.45833333333333331</v>
          </cell>
        </row>
        <row r="19">
          <cell r="B19" t="str">
            <v>LVR</v>
          </cell>
          <cell r="C19">
            <v>628</v>
          </cell>
          <cell r="D19">
            <v>414</v>
          </cell>
          <cell r="E19">
            <v>1042</v>
          </cell>
          <cell r="F19">
            <v>0.60268714011516311</v>
          </cell>
          <cell r="G19">
            <v>0.39731285988483683</v>
          </cell>
        </row>
        <row r="20">
          <cell r="B20" t="str">
            <v>NOR</v>
          </cell>
          <cell r="C20">
            <v>504</v>
          </cell>
          <cell r="D20">
            <v>510</v>
          </cell>
          <cell r="E20">
            <v>1014</v>
          </cell>
          <cell r="F20">
            <v>0.49704142011834318</v>
          </cell>
          <cell r="G20">
            <v>0.50295857988165682</v>
          </cell>
        </row>
        <row r="21">
          <cell r="B21" t="str">
            <v>CLE</v>
          </cell>
          <cell r="C21">
            <v>520</v>
          </cell>
          <cell r="D21">
            <v>485</v>
          </cell>
          <cell r="E21">
            <v>1005</v>
          </cell>
          <cell r="F21">
            <v>0.51741293532338306</v>
          </cell>
          <cell r="G21">
            <v>0.48258706467661694</v>
          </cell>
        </row>
        <row r="22">
          <cell r="B22" t="str">
            <v>PIT</v>
          </cell>
          <cell r="C22">
            <v>664</v>
          </cell>
          <cell r="D22">
            <v>411</v>
          </cell>
          <cell r="E22">
            <v>1075</v>
          </cell>
          <cell r="F22">
            <v>0.61767441860465111</v>
          </cell>
          <cell r="G22">
            <v>0.38232558139534883</v>
          </cell>
        </row>
        <row r="23">
          <cell r="B23" t="str">
            <v>MIA</v>
          </cell>
          <cell r="C23">
            <v>615</v>
          </cell>
          <cell r="D23">
            <v>442</v>
          </cell>
          <cell r="E23">
            <v>1057</v>
          </cell>
          <cell r="F23">
            <v>0.58183538315988648</v>
          </cell>
          <cell r="G23">
            <v>0.41816461684011352</v>
          </cell>
        </row>
        <row r="24">
          <cell r="B24" t="str">
            <v>DEN</v>
          </cell>
          <cell r="C24">
            <v>541</v>
          </cell>
          <cell r="D24">
            <v>455</v>
          </cell>
          <cell r="E24">
            <v>996</v>
          </cell>
          <cell r="F24">
            <v>0.54317269076305219</v>
          </cell>
          <cell r="G24">
            <v>0.45682730923694781</v>
          </cell>
        </row>
        <row r="25">
          <cell r="B25" t="str">
            <v>WAS</v>
          </cell>
          <cell r="C25">
            <v>550</v>
          </cell>
          <cell r="D25">
            <v>477</v>
          </cell>
          <cell r="E25">
            <v>1027</v>
          </cell>
          <cell r="F25">
            <v>0.53554040895813049</v>
          </cell>
          <cell r="G25">
            <v>0.46445959104186951</v>
          </cell>
        </row>
        <row r="26">
          <cell r="B26" t="str">
            <v>DET</v>
          </cell>
          <cell r="C26">
            <v>593</v>
          </cell>
          <cell r="D26">
            <v>427</v>
          </cell>
          <cell r="E26">
            <v>1020</v>
          </cell>
          <cell r="F26">
            <v>0.58137254901960789</v>
          </cell>
          <cell r="G26">
            <v>0.41862745098039217</v>
          </cell>
        </row>
        <row r="27">
          <cell r="B27" t="str">
            <v>ATL</v>
          </cell>
          <cell r="C27">
            <v>573</v>
          </cell>
          <cell r="D27">
            <v>393</v>
          </cell>
          <cell r="E27">
            <v>966</v>
          </cell>
          <cell r="F27">
            <v>0.59316770186335399</v>
          </cell>
          <cell r="G27">
            <v>0.40683229813664595</v>
          </cell>
        </row>
        <row r="28">
          <cell r="B28" t="str">
            <v>CHI</v>
          </cell>
          <cell r="C28">
            <v>542</v>
          </cell>
          <cell r="D28">
            <v>475</v>
          </cell>
          <cell r="E28">
            <v>1017</v>
          </cell>
          <cell r="F28">
            <v>0.53294001966568338</v>
          </cell>
          <cell r="G28">
            <v>0.46705998033431662</v>
          </cell>
        </row>
        <row r="29">
          <cell r="B29" t="str">
            <v>NYJ</v>
          </cell>
          <cell r="C29">
            <v>603</v>
          </cell>
          <cell r="D29">
            <v>380</v>
          </cell>
          <cell r="E29">
            <v>983</v>
          </cell>
          <cell r="F29">
            <v>0.61342828077314349</v>
          </cell>
          <cell r="G29">
            <v>0.38657171922685657</v>
          </cell>
        </row>
        <row r="30">
          <cell r="B30" t="str">
            <v>CAR</v>
          </cell>
          <cell r="C30">
            <v>599</v>
          </cell>
          <cell r="D30">
            <v>455</v>
          </cell>
          <cell r="E30">
            <v>1054</v>
          </cell>
          <cell r="F30">
            <v>0.56831119544592035</v>
          </cell>
          <cell r="G30">
            <v>0.43168880455407971</v>
          </cell>
        </row>
        <row r="31">
          <cell r="B31" t="str">
            <v>HOU</v>
          </cell>
          <cell r="C31">
            <v>546</v>
          </cell>
          <cell r="D31">
            <v>420</v>
          </cell>
          <cell r="E31">
            <v>966</v>
          </cell>
          <cell r="F31">
            <v>0.56521739130434778</v>
          </cell>
          <cell r="G31">
            <v>0.43478260869565216</v>
          </cell>
        </row>
        <row r="32">
          <cell r="B32" t="str">
            <v>NYG</v>
          </cell>
          <cell r="C32">
            <v>593</v>
          </cell>
          <cell r="D32">
            <v>419</v>
          </cell>
          <cell r="E32">
            <v>1012</v>
          </cell>
          <cell r="F32">
            <v>0.58596837944664026</v>
          </cell>
          <cell r="G32">
            <v>0.41403162055335968</v>
          </cell>
        </row>
        <row r="33">
          <cell r="B33" t="str">
            <v>JAX</v>
          </cell>
          <cell r="C33">
            <v>604</v>
          </cell>
          <cell r="D33">
            <v>392</v>
          </cell>
          <cell r="E33">
            <v>996</v>
          </cell>
          <cell r="F33">
            <v>0.60642570281124497</v>
          </cell>
          <cell r="G33">
            <v>0.39357429718875503</v>
          </cell>
        </row>
      </sheetData>
      <sheetData sheetId="13" refreshError="1"/>
      <sheetData sheetId="14" refreshError="1"/>
      <sheetData sheetId="15" refreshError="1"/>
      <sheetData sheetId="16">
        <row r="2">
          <cell r="B2" t="str">
            <v>KAN</v>
          </cell>
          <cell r="C2">
            <v>651</v>
          </cell>
          <cell r="D2">
            <v>417</v>
          </cell>
          <cell r="E2">
            <v>1068</v>
          </cell>
          <cell r="F2">
            <v>0.6095505617977528</v>
          </cell>
          <cell r="G2">
            <v>0.3904494382022472</v>
          </cell>
        </row>
        <row r="3">
          <cell r="B3" t="str">
            <v>PHI</v>
          </cell>
          <cell r="C3">
            <v>536</v>
          </cell>
          <cell r="D3">
            <v>544</v>
          </cell>
          <cell r="E3">
            <v>1080</v>
          </cell>
          <cell r="F3">
            <v>0.49629629629629629</v>
          </cell>
          <cell r="G3">
            <v>0.50370370370370365</v>
          </cell>
        </row>
        <row r="4">
          <cell r="B4" t="str">
            <v>DAL</v>
          </cell>
          <cell r="C4">
            <v>556</v>
          </cell>
          <cell r="D4">
            <v>531</v>
          </cell>
          <cell r="E4">
            <v>1087</v>
          </cell>
          <cell r="F4">
            <v>0.51149954001839926</v>
          </cell>
          <cell r="G4">
            <v>0.48850045998160074</v>
          </cell>
        </row>
        <row r="5">
          <cell r="B5" t="str">
            <v>BUF</v>
          </cell>
          <cell r="C5">
            <v>574</v>
          </cell>
          <cell r="D5">
            <v>430</v>
          </cell>
          <cell r="E5">
            <v>1004</v>
          </cell>
          <cell r="F5">
            <v>0.57171314741035861</v>
          </cell>
          <cell r="G5">
            <v>0.42828685258964144</v>
          </cell>
        </row>
        <row r="6">
          <cell r="B6" t="str">
            <v>DET</v>
          </cell>
          <cell r="C6">
            <v>588</v>
          </cell>
          <cell r="D6">
            <v>480</v>
          </cell>
          <cell r="E6">
            <v>1068</v>
          </cell>
          <cell r="F6">
            <v>0.550561797752809</v>
          </cell>
          <cell r="G6">
            <v>0.449438202247191</v>
          </cell>
        </row>
        <row r="7">
          <cell r="B7" t="str">
            <v>SFO</v>
          </cell>
          <cell r="C7">
            <v>512</v>
          </cell>
          <cell r="D7">
            <v>504</v>
          </cell>
          <cell r="E7">
            <v>1016</v>
          </cell>
          <cell r="F7">
            <v>0.50393700787401574</v>
          </cell>
          <cell r="G7">
            <v>0.49606299212598426</v>
          </cell>
        </row>
        <row r="8">
          <cell r="B8" t="str">
            <v>MIN</v>
          </cell>
          <cell r="C8">
            <v>672</v>
          </cell>
          <cell r="D8">
            <v>404</v>
          </cell>
          <cell r="E8">
            <v>1076</v>
          </cell>
          <cell r="F8">
            <v>0.62453531598513012</v>
          </cell>
          <cell r="G8">
            <v>0.37546468401486988</v>
          </cell>
        </row>
        <row r="9">
          <cell r="B9" t="str">
            <v>CIN</v>
          </cell>
          <cell r="C9">
            <v>610</v>
          </cell>
          <cell r="D9">
            <v>399</v>
          </cell>
          <cell r="E9">
            <v>1009</v>
          </cell>
          <cell r="F9">
            <v>0.60455896927651143</v>
          </cell>
          <cell r="G9">
            <v>0.39544103072348863</v>
          </cell>
        </row>
        <row r="10">
          <cell r="B10" t="str">
            <v>SEA</v>
          </cell>
          <cell r="C10">
            <v>573</v>
          </cell>
          <cell r="D10">
            <v>425</v>
          </cell>
          <cell r="E10">
            <v>998</v>
          </cell>
          <cell r="F10">
            <v>0.57414829659318634</v>
          </cell>
          <cell r="G10">
            <v>0.42585170340681361</v>
          </cell>
        </row>
        <row r="11">
          <cell r="B11" t="str">
            <v>JAX</v>
          </cell>
          <cell r="C11">
            <v>596</v>
          </cell>
          <cell r="D11">
            <v>448</v>
          </cell>
          <cell r="E11">
            <v>1044</v>
          </cell>
          <cell r="F11">
            <v>0.57088122605363989</v>
          </cell>
          <cell r="G11">
            <v>0.42911877394636017</v>
          </cell>
        </row>
        <row r="12">
          <cell r="B12" t="str">
            <v>MIA</v>
          </cell>
          <cell r="C12">
            <v>584</v>
          </cell>
          <cell r="D12">
            <v>390</v>
          </cell>
          <cell r="E12">
            <v>974</v>
          </cell>
          <cell r="F12">
            <v>0.59958932238193019</v>
          </cell>
          <cell r="G12">
            <v>0.40041067761806981</v>
          </cell>
        </row>
        <row r="13">
          <cell r="B13" t="str">
            <v>LVR</v>
          </cell>
          <cell r="C13">
            <v>586</v>
          </cell>
          <cell r="D13">
            <v>428</v>
          </cell>
          <cell r="E13">
            <v>1014</v>
          </cell>
          <cell r="F13">
            <v>0.57790927021696248</v>
          </cell>
          <cell r="G13">
            <v>0.42209072978303747</v>
          </cell>
        </row>
        <row r="14">
          <cell r="B14" t="str">
            <v>LAC</v>
          </cell>
          <cell r="C14">
            <v>711</v>
          </cell>
          <cell r="D14">
            <v>404</v>
          </cell>
          <cell r="E14">
            <v>1115</v>
          </cell>
          <cell r="F14">
            <v>0.63766816143497762</v>
          </cell>
          <cell r="G14">
            <v>0.36233183856502243</v>
          </cell>
        </row>
        <row r="15">
          <cell r="B15" t="str">
            <v>GNB</v>
          </cell>
          <cell r="C15">
            <v>563</v>
          </cell>
          <cell r="D15">
            <v>456</v>
          </cell>
          <cell r="E15">
            <v>1019</v>
          </cell>
          <cell r="F15">
            <v>0.55250245338567228</v>
          </cell>
          <cell r="G15">
            <v>0.44749754661432778</v>
          </cell>
        </row>
        <row r="16">
          <cell r="B16" t="str">
            <v>ATL</v>
          </cell>
          <cell r="C16">
            <v>415</v>
          </cell>
          <cell r="D16">
            <v>559</v>
          </cell>
          <cell r="E16">
            <v>974</v>
          </cell>
          <cell r="F16">
            <v>0.42607802874743328</v>
          </cell>
          <cell r="G16">
            <v>0.57392197125256672</v>
          </cell>
        </row>
        <row r="17">
          <cell r="B17" t="str">
            <v>NYG</v>
          </cell>
          <cell r="C17">
            <v>520</v>
          </cell>
          <cell r="D17">
            <v>520</v>
          </cell>
          <cell r="E17">
            <v>1040</v>
          </cell>
          <cell r="F17">
            <v>0.5</v>
          </cell>
          <cell r="G17">
            <v>0.5</v>
          </cell>
        </row>
        <row r="18">
          <cell r="B18" t="str">
            <v>NWE</v>
          </cell>
          <cell r="C18">
            <v>540</v>
          </cell>
          <cell r="D18">
            <v>425</v>
          </cell>
          <cell r="E18">
            <v>965</v>
          </cell>
          <cell r="F18">
            <v>0.55958549222797926</v>
          </cell>
          <cell r="G18">
            <v>0.44041450777202074</v>
          </cell>
        </row>
        <row r="19">
          <cell r="B19" t="str">
            <v>CLE</v>
          </cell>
          <cell r="C19">
            <v>540</v>
          </cell>
          <cell r="D19">
            <v>532</v>
          </cell>
          <cell r="E19">
            <v>1072</v>
          </cell>
          <cell r="F19">
            <v>0.50373134328358204</v>
          </cell>
          <cell r="G19">
            <v>0.4962686567164179</v>
          </cell>
        </row>
        <row r="20">
          <cell r="B20" t="str">
            <v>BAL</v>
          </cell>
          <cell r="C20">
            <v>488</v>
          </cell>
          <cell r="D20">
            <v>526</v>
          </cell>
          <cell r="E20">
            <v>1014</v>
          </cell>
          <cell r="F20">
            <v>0.48126232741617359</v>
          </cell>
          <cell r="G20">
            <v>0.51873767258382641</v>
          </cell>
        </row>
        <row r="21">
          <cell r="B21" t="str">
            <v>CAR</v>
          </cell>
          <cell r="C21">
            <v>457</v>
          </cell>
          <cell r="D21">
            <v>483</v>
          </cell>
          <cell r="E21">
            <v>940</v>
          </cell>
          <cell r="F21">
            <v>0.48617021276595745</v>
          </cell>
          <cell r="G21">
            <v>0.5138297872340426</v>
          </cell>
        </row>
        <row r="22">
          <cell r="B22" t="str">
            <v>ARI</v>
          </cell>
          <cell r="C22">
            <v>664</v>
          </cell>
          <cell r="D22">
            <v>434</v>
          </cell>
          <cell r="E22">
            <v>1098</v>
          </cell>
          <cell r="F22">
            <v>0.60473588342440798</v>
          </cell>
          <cell r="G22">
            <v>0.39526411657559196</v>
          </cell>
        </row>
        <row r="23">
          <cell r="B23" t="str">
            <v>NOR</v>
          </cell>
          <cell r="C23">
            <v>512</v>
          </cell>
          <cell r="D23">
            <v>465</v>
          </cell>
          <cell r="E23">
            <v>977</v>
          </cell>
          <cell r="F23">
            <v>0.52405322415557831</v>
          </cell>
          <cell r="G23">
            <v>0.47594677584442169</v>
          </cell>
        </row>
        <row r="24">
          <cell r="B24" t="str">
            <v>CHI</v>
          </cell>
          <cell r="C24">
            <v>377</v>
          </cell>
          <cell r="D24">
            <v>558</v>
          </cell>
          <cell r="E24">
            <v>935</v>
          </cell>
          <cell r="F24">
            <v>0.40320855614973261</v>
          </cell>
          <cell r="G24">
            <v>0.59679144385026739</v>
          </cell>
        </row>
        <row r="25">
          <cell r="B25" t="str">
            <v>WAS</v>
          </cell>
          <cell r="C25">
            <v>554</v>
          </cell>
          <cell r="D25">
            <v>538</v>
          </cell>
          <cell r="E25">
            <v>1092</v>
          </cell>
          <cell r="F25">
            <v>0.5073260073260073</v>
          </cell>
          <cell r="G25">
            <v>0.4926739926739927</v>
          </cell>
        </row>
        <row r="26">
          <cell r="B26" t="str">
            <v>TAM</v>
          </cell>
          <cell r="C26">
            <v>751</v>
          </cell>
          <cell r="D26">
            <v>386</v>
          </cell>
          <cell r="E26">
            <v>1137</v>
          </cell>
          <cell r="F26">
            <v>0.66051011433597184</v>
          </cell>
          <cell r="G26">
            <v>0.33948988566402816</v>
          </cell>
        </row>
        <row r="27">
          <cell r="B27" t="str">
            <v>PIT</v>
          </cell>
          <cell r="C27">
            <v>571</v>
          </cell>
          <cell r="D27">
            <v>500</v>
          </cell>
          <cell r="E27">
            <v>1071</v>
          </cell>
          <cell r="F27">
            <v>0.53314659197012138</v>
          </cell>
          <cell r="G27">
            <v>0.46685340802987862</v>
          </cell>
        </row>
        <row r="28">
          <cell r="B28" t="str">
            <v>LAR</v>
          </cell>
          <cell r="C28">
            <v>531</v>
          </cell>
          <cell r="D28">
            <v>411</v>
          </cell>
          <cell r="E28">
            <v>942</v>
          </cell>
          <cell r="F28">
            <v>0.56369426751592355</v>
          </cell>
          <cell r="G28">
            <v>0.43630573248407645</v>
          </cell>
        </row>
        <row r="29">
          <cell r="B29" t="str">
            <v>TEN</v>
          </cell>
          <cell r="C29">
            <v>456</v>
          </cell>
          <cell r="D29">
            <v>487</v>
          </cell>
          <cell r="E29">
            <v>943</v>
          </cell>
          <cell r="F29">
            <v>0.4835630965005302</v>
          </cell>
          <cell r="G29">
            <v>0.5164369034994698</v>
          </cell>
        </row>
        <row r="30">
          <cell r="B30" t="str">
            <v>NYJ</v>
          </cell>
          <cell r="C30">
            <v>627</v>
          </cell>
          <cell r="D30">
            <v>405</v>
          </cell>
          <cell r="E30">
            <v>1032</v>
          </cell>
          <cell r="F30">
            <v>0.60755813953488369</v>
          </cell>
          <cell r="G30">
            <v>0.39244186046511625</v>
          </cell>
        </row>
        <row r="31">
          <cell r="B31" t="str">
            <v>HOU</v>
          </cell>
          <cell r="C31">
            <v>579</v>
          </cell>
          <cell r="D31">
            <v>398</v>
          </cell>
          <cell r="E31">
            <v>977</v>
          </cell>
          <cell r="F31">
            <v>0.59263050153531216</v>
          </cell>
          <cell r="G31">
            <v>0.40736949846468784</v>
          </cell>
        </row>
        <row r="32">
          <cell r="B32" t="str">
            <v>IND</v>
          </cell>
          <cell r="C32">
            <v>604</v>
          </cell>
          <cell r="D32">
            <v>439</v>
          </cell>
          <cell r="E32">
            <v>1043</v>
          </cell>
          <cell r="F32">
            <v>0.57909875359539786</v>
          </cell>
          <cell r="G32">
            <v>0.42090124640460214</v>
          </cell>
        </row>
        <row r="33">
          <cell r="B33" t="str">
            <v>DEN</v>
          </cell>
          <cell r="C33">
            <v>571</v>
          </cell>
          <cell r="D33">
            <v>444</v>
          </cell>
          <cell r="E33">
            <v>1015</v>
          </cell>
          <cell r="F33">
            <v>0.56256157635467985</v>
          </cell>
          <cell r="G33">
            <v>0.43743842364532021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SH__2" displayName="RUSH__2" ref="A1:L616">
  <autoFilter ref="A1:L616" xr:uid="{00000000-0009-0000-0100-000001000000}"/>
  <tableColumns count="12">
    <tableColumn id="2" xr3:uid="{00000000-0010-0000-0000-000002000000}" name="Player"/>
    <tableColumn id="4" xr3:uid="{00000000-0010-0000-0000-000004000000}" name="Team"/>
    <tableColumn id="5" xr3:uid="{00000000-0010-0000-0000-000005000000}" name="Pos"/>
    <tableColumn id="8" xr3:uid="{00000000-0010-0000-0000-000008000000}" name="Tgt"/>
    <tableColumn id="9" xr3:uid="{00000000-0010-0000-0000-000009000000}" name="Rec"/>
    <tableColumn id="10" xr3:uid="{00000000-0010-0000-0000-00000A000000}" name="Yds"/>
    <tableColumn id="11" xr3:uid="{00000000-0010-0000-0000-00000B000000}" name="Y/R"/>
    <tableColumn id="12" xr3:uid="{00000000-0010-0000-0000-00000C000000}" name="TD"/>
    <tableColumn id="25" xr3:uid="{00000000-0010-0000-0000-000019000000}" name="TD %"/>
    <tableColumn id="24" xr3:uid="{00000000-0010-0000-0000-000018000000}" name="Target Share"/>
    <tableColumn id="18" xr3:uid="{00000000-0010-0000-0000-000012000000}" name="Ctch%"/>
    <tableColumn id="20" xr3:uid="{00000000-0010-0000-0000-000014000000}" name="Fmb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/>
  </sheetViews>
  <sheetFormatPr defaultRowHeight="15" x14ac:dyDescent="0.25"/>
  <cols>
    <col min="1" max="1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649</v>
      </c>
      <c r="D2">
        <v>366</v>
      </c>
      <c r="E2">
        <f t="shared" ref="E2:E33" si="0">SUM(C2:D2)</f>
        <v>1015</v>
      </c>
      <c r="F2" s="1">
        <f t="shared" ref="F2:F33" si="1">C2/E2</f>
        <v>0.63940886699507393</v>
      </c>
      <c r="G2" s="1">
        <f t="shared" ref="G2:G33" si="2">D2/E2</f>
        <v>0.36059113300492612</v>
      </c>
    </row>
    <row r="3" spans="1:7" x14ac:dyDescent="0.25">
      <c r="A3" t="s">
        <v>9</v>
      </c>
      <c r="B3" t="s">
        <v>10</v>
      </c>
      <c r="C3">
        <v>545</v>
      </c>
      <c r="D3">
        <v>477</v>
      </c>
      <c r="E3">
        <f t="shared" si="0"/>
        <v>1022</v>
      </c>
      <c r="F3" s="1">
        <f t="shared" si="1"/>
        <v>0.5332681017612525</v>
      </c>
      <c r="G3" s="1">
        <f t="shared" si="2"/>
        <v>0.46673189823874756</v>
      </c>
    </row>
    <row r="4" spans="1:7" x14ac:dyDescent="0.25">
      <c r="A4" t="s">
        <v>11</v>
      </c>
      <c r="B4" t="s">
        <v>12</v>
      </c>
      <c r="C4">
        <v>422</v>
      </c>
      <c r="D4">
        <v>507</v>
      </c>
      <c r="E4">
        <f t="shared" si="0"/>
        <v>929</v>
      </c>
      <c r="F4" s="1">
        <f t="shared" si="1"/>
        <v>0.45425188374596343</v>
      </c>
      <c r="G4" s="1">
        <f t="shared" si="2"/>
        <v>0.54574811625403663</v>
      </c>
    </row>
    <row r="5" spans="1:7" x14ac:dyDescent="0.25">
      <c r="A5" t="s">
        <v>13</v>
      </c>
      <c r="B5" t="s">
        <v>14</v>
      </c>
      <c r="C5">
        <v>495</v>
      </c>
      <c r="D5">
        <v>547</v>
      </c>
      <c r="E5">
        <f t="shared" si="0"/>
        <v>1042</v>
      </c>
      <c r="F5" s="1">
        <f t="shared" si="1"/>
        <v>0.4750479846449136</v>
      </c>
      <c r="G5" s="1">
        <f t="shared" si="2"/>
        <v>0.5249520153550864</v>
      </c>
    </row>
    <row r="6" spans="1:7" x14ac:dyDescent="0.25">
      <c r="A6" t="s">
        <v>15</v>
      </c>
      <c r="B6" t="s">
        <v>16</v>
      </c>
      <c r="C6">
        <v>515</v>
      </c>
      <c r="D6">
        <v>461</v>
      </c>
      <c r="E6">
        <f t="shared" si="0"/>
        <v>976</v>
      </c>
      <c r="F6" s="1">
        <f t="shared" si="1"/>
        <v>0.5276639344262295</v>
      </c>
      <c r="G6" s="1">
        <f t="shared" si="2"/>
        <v>0.4723360655737705</v>
      </c>
    </row>
    <row r="7" spans="1:7" x14ac:dyDescent="0.25">
      <c r="A7" t="s">
        <v>17</v>
      </c>
      <c r="B7" t="s">
        <v>18</v>
      </c>
      <c r="C7">
        <v>574</v>
      </c>
      <c r="D7">
        <v>505</v>
      </c>
      <c r="E7">
        <f t="shared" si="0"/>
        <v>1079</v>
      </c>
      <c r="F7" s="1">
        <f t="shared" si="1"/>
        <v>0.53197405004633924</v>
      </c>
      <c r="G7" s="1">
        <f t="shared" si="2"/>
        <v>0.46802594995366081</v>
      </c>
    </row>
    <row r="8" spans="1:7" x14ac:dyDescent="0.25">
      <c r="A8" t="s">
        <v>19</v>
      </c>
      <c r="B8" t="s">
        <v>20</v>
      </c>
      <c r="C8">
        <v>640</v>
      </c>
      <c r="D8">
        <v>381</v>
      </c>
      <c r="E8">
        <f t="shared" si="0"/>
        <v>1021</v>
      </c>
      <c r="F8" s="1">
        <f t="shared" si="1"/>
        <v>0.62683643486777674</v>
      </c>
      <c r="G8" s="1">
        <f t="shared" si="2"/>
        <v>0.37316356513222332</v>
      </c>
    </row>
    <row r="9" spans="1:7" x14ac:dyDescent="0.25">
      <c r="A9" t="s">
        <v>21</v>
      </c>
      <c r="B9" t="s">
        <v>22</v>
      </c>
      <c r="C9">
        <v>558</v>
      </c>
      <c r="D9">
        <v>421</v>
      </c>
      <c r="E9">
        <f t="shared" si="0"/>
        <v>979</v>
      </c>
      <c r="F9" s="1">
        <f t="shared" si="1"/>
        <v>0.56996935648621039</v>
      </c>
      <c r="G9" s="1">
        <f t="shared" si="2"/>
        <v>0.43003064351378956</v>
      </c>
    </row>
    <row r="10" spans="1:7" x14ac:dyDescent="0.25">
      <c r="A10" t="s">
        <v>23</v>
      </c>
      <c r="B10" t="s">
        <v>24</v>
      </c>
      <c r="C10">
        <v>624</v>
      </c>
      <c r="D10">
        <v>465</v>
      </c>
      <c r="E10">
        <f t="shared" si="0"/>
        <v>1089</v>
      </c>
      <c r="F10" s="1">
        <f t="shared" si="1"/>
        <v>0.57300275482093666</v>
      </c>
      <c r="G10" s="1">
        <f t="shared" si="2"/>
        <v>0.42699724517906334</v>
      </c>
    </row>
    <row r="11" spans="1:7" x14ac:dyDescent="0.25">
      <c r="A11" t="s">
        <v>25</v>
      </c>
      <c r="B11" t="s">
        <v>26</v>
      </c>
      <c r="C11">
        <v>613</v>
      </c>
      <c r="D11">
        <v>456</v>
      </c>
      <c r="E11">
        <f t="shared" si="0"/>
        <v>1069</v>
      </c>
      <c r="F11" s="1">
        <f t="shared" si="1"/>
        <v>0.57343311506080452</v>
      </c>
      <c r="G11" s="1">
        <f t="shared" si="2"/>
        <v>0.42656688493919553</v>
      </c>
    </row>
    <row r="12" spans="1:7" x14ac:dyDescent="0.25">
      <c r="A12" t="s">
        <v>27</v>
      </c>
      <c r="B12" t="s">
        <v>28</v>
      </c>
      <c r="C12">
        <v>582</v>
      </c>
      <c r="D12">
        <v>442</v>
      </c>
      <c r="E12">
        <f t="shared" si="0"/>
        <v>1024</v>
      </c>
      <c r="F12" s="1">
        <f t="shared" si="1"/>
        <v>0.568359375</v>
      </c>
      <c r="G12" s="1">
        <f t="shared" si="2"/>
        <v>0.431640625</v>
      </c>
    </row>
    <row r="13" spans="1:7" x14ac:dyDescent="0.25">
      <c r="A13" t="s">
        <v>29</v>
      </c>
      <c r="B13" t="s">
        <v>30</v>
      </c>
      <c r="C13">
        <v>489</v>
      </c>
      <c r="D13">
        <v>492</v>
      </c>
      <c r="E13">
        <f t="shared" si="0"/>
        <v>981</v>
      </c>
      <c r="F13" s="1">
        <f t="shared" si="1"/>
        <v>0.49847094801223241</v>
      </c>
      <c r="G13" s="1">
        <f t="shared" si="2"/>
        <v>0.50152905198776754</v>
      </c>
    </row>
    <row r="14" spans="1:7" x14ac:dyDescent="0.25">
      <c r="A14" t="s">
        <v>31</v>
      </c>
      <c r="B14" t="s">
        <v>32</v>
      </c>
      <c r="C14">
        <v>582</v>
      </c>
      <c r="D14">
        <v>475</v>
      </c>
      <c r="E14">
        <f t="shared" si="0"/>
        <v>1057</v>
      </c>
      <c r="F14" s="1">
        <f t="shared" si="1"/>
        <v>0.55061494796594135</v>
      </c>
      <c r="G14" s="1">
        <f t="shared" si="2"/>
        <v>0.44938505203405865</v>
      </c>
    </row>
    <row r="15" spans="1:7" x14ac:dyDescent="0.25">
      <c r="A15" t="s">
        <v>33</v>
      </c>
      <c r="B15" t="s">
        <v>34</v>
      </c>
      <c r="C15">
        <v>547</v>
      </c>
      <c r="D15">
        <v>442</v>
      </c>
      <c r="E15">
        <f t="shared" si="0"/>
        <v>989</v>
      </c>
      <c r="F15" s="1">
        <f t="shared" si="1"/>
        <v>0.55308392315470167</v>
      </c>
      <c r="G15" s="1">
        <f t="shared" si="2"/>
        <v>0.44691607684529827</v>
      </c>
    </row>
    <row r="16" spans="1:7" x14ac:dyDescent="0.25">
      <c r="A16" t="s">
        <v>35</v>
      </c>
      <c r="B16" t="s">
        <v>36</v>
      </c>
      <c r="C16">
        <v>563</v>
      </c>
      <c r="D16">
        <v>489</v>
      </c>
      <c r="E16">
        <f t="shared" si="0"/>
        <v>1052</v>
      </c>
      <c r="F16" s="1">
        <f t="shared" si="1"/>
        <v>0.53517110266159695</v>
      </c>
      <c r="G16" s="1">
        <f t="shared" si="2"/>
        <v>0.46482889733840305</v>
      </c>
    </row>
    <row r="17" spans="1:7" x14ac:dyDescent="0.25">
      <c r="A17" t="s">
        <v>37</v>
      </c>
      <c r="B17" t="s">
        <v>38</v>
      </c>
      <c r="C17">
        <v>584</v>
      </c>
      <c r="D17">
        <v>430</v>
      </c>
      <c r="E17">
        <f t="shared" si="0"/>
        <v>1014</v>
      </c>
      <c r="F17" s="1">
        <f t="shared" si="1"/>
        <v>0.57593688362919138</v>
      </c>
      <c r="G17" s="1">
        <f t="shared" si="2"/>
        <v>0.42406311637080868</v>
      </c>
    </row>
    <row r="18" spans="1:7" x14ac:dyDescent="0.25">
      <c r="A18" t="s">
        <v>39</v>
      </c>
      <c r="B18" t="s">
        <v>40</v>
      </c>
      <c r="C18">
        <v>515</v>
      </c>
      <c r="D18">
        <v>369</v>
      </c>
      <c r="E18">
        <f t="shared" si="0"/>
        <v>884</v>
      </c>
      <c r="F18" s="1">
        <f t="shared" si="1"/>
        <v>0.58257918552036203</v>
      </c>
      <c r="G18" s="1">
        <f t="shared" si="2"/>
        <v>0.41742081447963802</v>
      </c>
    </row>
    <row r="19" spans="1:7" x14ac:dyDescent="0.25">
      <c r="A19" t="s">
        <v>41</v>
      </c>
      <c r="B19" t="s">
        <v>42</v>
      </c>
      <c r="C19">
        <v>569</v>
      </c>
      <c r="D19">
        <v>466</v>
      </c>
      <c r="E19">
        <f t="shared" si="0"/>
        <v>1035</v>
      </c>
      <c r="F19" s="1">
        <f t="shared" si="1"/>
        <v>0.54975845410628021</v>
      </c>
      <c r="G19" s="1">
        <f t="shared" si="2"/>
        <v>0.45024154589371979</v>
      </c>
    </row>
    <row r="20" spans="1:7" x14ac:dyDescent="0.25">
      <c r="A20" t="s">
        <v>43</v>
      </c>
      <c r="B20" t="s">
        <v>44</v>
      </c>
      <c r="C20">
        <v>598</v>
      </c>
      <c r="D20">
        <v>465</v>
      </c>
      <c r="E20">
        <f t="shared" si="0"/>
        <v>1063</v>
      </c>
      <c r="F20" s="1">
        <f t="shared" si="1"/>
        <v>0.5625587958607714</v>
      </c>
      <c r="G20" s="1">
        <f t="shared" si="2"/>
        <v>0.4374412041392286</v>
      </c>
    </row>
    <row r="21" spans="1:7" x14ac:dyDescent="0.25">
      <c r="A21" t="s">
        <v>45</v>
      </c>
      <c r="B21" t="s">
        <v>46</v>
      </c>
      <c r="C21">
        <v>479</v>
      </c>
      <c r="D21">
        <v>432</v>
      </c>
      <c r="E21">
        <f t="shared" si="0"/>
        <v>911</v>
      </c>
      <c r="F21" s="1">
        <f t="shared" si="1"/>
        <v>0.52579582875960484</v>
      </c>
      <c r="G21" s="1">
        <f t="shared" si="2"/>
        <v>0.47420417124039516</v>
      </c>
    </row>
    <row r="22" spans="1:7" x14ac:dyDescent="0.25">
      <c r="A22" t="s">
        <v>47</v>
      </c>
      <c r="B22" t="s">
        <v>48</v>
      </c>
      <c r="C22">
        <v>484</v>
      </c>
      <c r="D22">
        <v>410</v>
      </c>
      <c r="E22">
        <f t="shared" si="0"/>
        <v>894</v>
      </c>
      <c r="F22" s="1">
        <f t="shared" si="1"/>
        <v>0.54138702460850108</v>
      </c>
      <c r="G22" s="1">
        <f t="shared" si="2"/>
        <v>0.45861297539149887</v>
      </c>
    </row>
    <row r="23" spans="1:7" x14ac:dyDescent="0.25">
      <c r="A23" t="s">
        <v>49</v>
      </c>
      <c r="B23" t="s">
        <v>50</v>
      </c>
      <c r="C23">
        <v>502</v>
      </c>
      <c r="D23">
        <v>494</v>
      </c>
      <c r="E23">
        <f t="shared" si="0"/>
        <v>996</v>
      </c>
      <c r="F23" s="1">
        <f t="shared" si="1"/>
        <v>0.50401606425702816</v>
      </c>
      <c r="G23" s="1">
        <f t="shared" si="2"/>
        <v>0.49598393574297189</v>
      </c>
    </row>
    <row r="24" spans="1:7" x14ac:dyDescent="0.25">
      <c r="A24" t="s">
        <v>51</v>
      </c>
      <c r="B24" t="s">
        <v>52</v>
      </c>
      <c r="C24">
        <v>591</v>
      </c>
      <c r="D24">
        <v>435</v>
      </c>
      <c r="E24">
        <f t="shared" si="0"/>
        <v>1026</v>
      </c>
      <c r="F24" s="1">
        <f t="shared" si="1"/>
        <v>0.57602339181286555</v>
      </c>
      <c r="G24" s="1">
        <f t="shared" si="2"/>
        <v>0.42397660818713451</v>
      </c>
    </row>
    <row r="25" spans="1:7" x14ac:dyDescent="0.25">
      <c r="A25" t="s">
        <v>53</v>
      </c>
      <c r="B25" t="s">
        <v>54</v>
      </c>
      <c r="C25">
        <v>526</v>
      </c>
      <c r="D25">
        <v>511</v>
      </c>
      <c r="E25">
        <f t="shared" si="0"/>
        <v>1037</v>
      </c>
      <c r="F25" s="1">
        <f t="shared" si="1"/>
        <v>0.50723240115718415</v>
      </c>
      <c r="G25" s="1">
        <f t="shared" si="2"/>
        <v>0.49276759884281579</v>
      </c>
    </row>
    <row r="26" spans="1:7" x14ac:dyDescent="0.25">
      <c r="A26" t="s">
        <v>55</v>
      </c>
      <c r="B26" t="s">
        <v>56</v>
      </c>
      <c r="C26">
        <v>494</v>
      </c>
      <c r="D26">
        <v>456</v>
      </c>
      <c r="E26">
        <f t="shared" si="0"/>
        <v>950</v>
      </c>
      <c r="F26" s="1">
        <f t="shared" si="1"/>
        <v>0.52</v>
      </c>
      <c r="G26" s="1">
        <f t="shared" si="2"/>
        <v>0.48</v>
      </c>
    </row>
    <row r="27" spans="1:7" x14ac:dyDescent="0.25">
      <c r="A27" t="s">
        <v>57</v>
      </c>
      <c r="B27" t="s">
        <v>58</v>
      </c>
      <c r="C27">
        <v>497</v>
      </c>
      <c r="D27">
        <v>478</v>
      </c>
      <c r="E27">
        <f t="shared" si="0"/>
        <v>975</v>
      </c>
      <c r="F27" s="1">
        <f t="shared" si="1"/>
        <v>0.5097435897435898</v>
      </c>
      <c r="G27" s="1">
        <f t="shared" si="2"/>
        <v>0.49025641025641026</v>
      </c>
    </row>
    <row r="28" spans="1:7" x14ac:dyDescent="0.25">
      <c r="A28" t="s">
        <v>59</v>
      </c>
      <c r="B28" t="s">
        <v>60</v>
      </c>
      <c r="C28">
        <v>550</v>
      </c>
      <c r="D28">
        <v>407</v>
      </c>
      <c r="E28">
        <f t="shared" si="0"/>
        <v>957</v>
      </c>
      <c r="F28" s="1">
        <f t="shared" si="1"/>
        <v>0.57471264367816088</v>
      </c>
      <c r="G28" s="1">
        <f t="shared" si="2"/>
        <v>0.42528735632183906</v>
      </c>
    </row>
    <row r="29" spans="1:7" x14ac:dyDescent="0.25">
      <c r="A29" t="s">
        <v>61</v>
      </c>
      <c r="B29" t="s">
        <v>62</v>
      </c>
      <c r="C29">
        <v>574</v>
      </c>
      <c r="D29">
        <v>481</v>
      </c>
      <c r="E29">
        <f t="shared" si="0"/>
        <v>1055</v>
      </c>
      <c r="F29" s="1">
        <f t="shared" si="1"/>
        <v>0.54407582938388621</v>
      </c>
      <c r="G29" s="1">
        <f t="shared" si="2"/>
        <v>0.45592417061611373</v>
      </c>
    </row>
    <row r="30" spans="1:7" x14ac:dyDescent="0.25">
      <c r="A30" t="s">
        <v>63</v>
      </c>
      <c r="B30" t="s">
        <v>64</v>
      </c>
      <c r="C30">
        <v>481</v>
      </c>
      <c r="D30">
        <v>507</v>
      </c>
      <c r="E30">
        <f t="shared" si="0"/>
        <v>988</v>
      </c>
      <c r="F30" s="1">
        <f t="shared" si="1"/>
        <v>0.48684210526315791</v>
      </c>
      <c r="G30" s="1">
        <f t="shared" si="2"/>
        <v>0.51315789473684215</v>
      </c>
    </row>
    <row r="31" spans="1:7" x14ac:dyDescent="0.25">
      <c r="A31" t="s">
        <v>65</v>
      </c>
      <c r="B31" t="s">
        <v>66</v>
      </c>
      <c r="C31">
        <v>558</v>
      </c>
      <c r="D31">
        <v>472</v>
      </c>
      <c r="E31">
        <f t="shared" si="0"/>
        <v>1030</v>
      </c>
      <c r="F31" s="1">
        <f t="shared" si="1"/>
        <v>0.54174757281553398</v>
      </c>
      <c r="G31" s="1">
        <f t="shared" si="2"/>
        <v>0.45825242718446602</v>
      </c>
    </row>
    <row r="32" spans="1:7" x14ac:dyDescent="0.25">
      <c r="A32" t="s">
        <v>67</v>
      </c>
      <c r="B32" t="s">
        <v>68</v>
      </c>
      <c r="C32">
        <v>570</v>
      </c>
      <c r="D32">
        <v>378</v>
      </c>
      <c r="E32">
        <f t="shared" si="0"/>
        <v>948</v>
      </c>
      <c r="F32" s="1">
        <f t="shared" si="1"/>
        <v>0.60126582278481011</v>
      </c>
      <c r="G32" s="1">
        <f t="shared" si="2"/>
        <v>0.39873417721518989</v>
      </c>
    </row>
    <row r="33" spans="1:7" x14ac:dyDescent="0.25">
      <c r="A33" t="s">
        <v>69</v>
      </c>
      <c r="B33" t="s">
        <v>70</v>
      </c>
      <c r="C33">
        <v>469</v>
      </c>
      <c r="D33">
        <v>484</v>
      </c>
      <c r="E33">
        <f t="shared" si="0"/>
        <v>953</v>
      </c>
      <c r="F33" s="1">
        <f t="shared" si="1"/>
        <v>0.49213011542497376</v>
      </c>
      <c r="G33" s="1">
        <f t="shared" si="2"/>
        <v>0.50786988457502624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workbookViewId="0"/>
  </sheetViews>
  <sheetFormatPr defaultRowHeight="15" x14ac:dyDescent="0.25"/>
  <cols>
    <col min="1" max="1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t="s">
        <v>28</v>
      </c>
      <c r="C2">
        <v>551</v>
      </c>
      <c r="D2">
        <v>534</v>
      </c>
      <c r="E2">
        <f t="shared" ref="E2:E33" si="0">SUM(C2:D2)</f>
        <v>1085</v>
      </c>
      <c r="F2" s="1">
        <f t="shared" ref="F2:F33" si="1">C2/E2</f>
        <v>0.50783410138248852</v>
      </c>
      <c r="G2" s="1">
        <f t="shared" ref="G2:G33" si="2">D2/E2</f>
        <v>0.49216589861751153</v>
      </c>
    </row>
    <row r="3" spans="1:7" x14ac:dyDescent="0.25">
      <c r="A3" t="s">
        <v>13</v>
      </c>
      <c r="B3" t="s">
        <v>14</v>
      </c>
      <c r="C3">
        <v>520</v>
      </c>
      <c r="D3">
        <v>491</v>
      </c>
      <c r="E3">
        <f t="shared" si="0"/>
        <v>1011</v>
      </c>
      <c r="F3" s="1">
        <f t="shared" si="1"/>
        <v>0.51434223541048463</v>
      </c>
      <c r="G3" s="1">
        <f t="shared" si="2"/>
        <v>0.48565776458951532</v>
      </c>
    </row>
    <row r="4" spans="1:7" x14ac:dyDescent="0.25">
      <c r="A4" t="s">
        <v>11</v>
      </c>
      <c r="B4" t="s">
        <v>12</v>
      </c>
      <c r="C4">
        <v>477</v>
      </c>
      <c r="D4">
        <v>554</v>
      </c>
      <c r="E4">
        <f t="shared" si="0"/>
        <v>1031</v>
      </c>
      <c r="F4" s="1">
        <f t="shared" si="1"/>
        <v>0.46265761396702232</v>
      </c>
      <c r="G4" s="1">
        <f t="shared" si="2"/>
        <v>0.53734238603297768</v>
      </c>
    </row>
    <row r="5" spans="1:7" x14ac:dyDescent="0.25">
      <c r="A5" t="s">
        <v>65</v>
      </c>
      <c r="B5" t="s">
        <v>66</v>
      </c>
      <c r="C5">
        <v>571</v>
      </c>
      <c r="D5">
        <v>483</v>
      </c>
      <c r="E5">
        <f t="shared" si="0"/>
        <v>1054</v>
      </c>
      <c r="F5" s="1">
        <f t="shared" si="1"/>
        <v>0.54174573055028463</v>
      </c>
      <c r="G5" s="1">
        <f t="shared" si="2"/>
        <v>0.45825426944971537</v>
      </c>
    </row>
    <row r="6" spans="1:7" x14ac:dyDescent="0.25">
      <c r="A6" t="s">
        <v>69</v>
      </c>
      <c r="B6" t="s">
        <v>70</v>
      </c>
      <c r="C6">
        <v>525</v>
      </c>
      <c r="D6">
        <v>526</v>
      </c>
      <c r="E6">
        <f t="shared" si="0"/>
        <v>1051</v>
      </c>
      <c r="F6" s="1">
        <f t="shared" si="1"/>
        <v>0.49952426260704091</v>
      </c>
      <c r="G6" s="1">
        <f t="shared" si="2"/>
        <v>0.50047573739295914</v>
      </c>
    </row>
    <row r="7" spans="1:7" x14ac:dyDescent="0.25">
      <c r="A7" t="s">
        <v>19</v>
      </c>
      <c r="B7" t="s">
        <v>20</v>
      </c>
      <c r="C7">
        <v>652</v>
      </c>
      <c r="D7">
        <v>380</v>
      </c>
      <c r="E7">
        <f t="shared" si="0"/>
        <v>1032</v>
      </c>
      <c r="F7" s="1">
        <f t="shared" si="1"/>
        <v>0.63178294573643412</v>
      </c>
      <c r="G7" s="1">
        <f t="shared" si="2"/>
        <v>0.36821705426356588</v>
      </c>
    </row>
    <row r="8" spans="1:7" x14ac:dyDescent="0.25">
      <c r="A8" t="s">
        <v>57</v>
      </c>
      <c r="B8" t="s">
        <v>58</v>
      </c>
      <c r="C8">
        <v>448</v>
      </c>
      <c r="D8">
        <v>621</v>
      </c>
      <c r="E8">
        <f t="shared" si="0"/>
        <v>1069</v>
      </c>
      <c r="F8" s="1">
        <f t="shared" si="1"/>
        <v>0.41908325537885877</v>
      </c>
      <c r="G8" s="1">
        <f t="shared" si="2"/>
        <v>0.58091674462114129</v>
      </c>
    </row>
    <row r="9" spans="1:7" x14ac:dyDescent="0.25">
      <c r="A9" t="s">
        <v>29</v>
      </c>
      <c r="B9" t="s">
        <v>30</v>
      </c>
      <c r="C9">
        <v>479</v>
      </c>
      <c r="D9">
        <v>526</v>
      </c>
      <c r="E9">
        <f t="shared" si="0"/>
        <v>1005</v>
      </c>
      <c r="F9" s="1">
        <f t="shared" si="1"/>
        <v>0.47661691542288559</v>
      </c>
      <c r="G9" s="1">
        <f t="shared" si="2"/>
        <v>0.52338308457711447</v>
      </c>
    </row>
    <row r="10" spans="1:7" x14ac:dyDescent="0.25">
      <c r="A10" t="s">
        <v>47</v>
      </c>
      <c r="B10" t="s">
        <v>48</v>
      </c>
      <c r="C10">
        <v>548</v>
      </c>
      <c r="D10">
        <v>457</v>
      </c>
      <c r="E10">
        <f t="shared" si="0"/>
        <v>1005</v>
      </c>
      <c r="F10" s="1">
        <f t="shared" si="1"/>
        <v>0.54527363184079602</v>
      </c>
      <c r="G10" s="1">
        <f t="shared" si="2"/>
        <v>0.45472636815920398</v>
      </c>
    </row>
    <row r="11" spans="1:7" x14ac:dyDescent="0.25">
      <c r="A11" t="s">
        <v>25</v>
      </c>
      <c r="B11" t="s">
        <v>26</v>
      </c>
      <c r="C11">
        <v>570</v>
      </c>
      <c r="D11">
        <v>461</v>
      </c>
      <c r="E11">
        <f t="shared" si="0"/>
        <v>1031</v>
      </c>
      <c r="F11" s="1">
        <f t="shared" si="1"/>
        <v>0.55286129970902032</v>
      </c>
      <c r="G11" s="1">
        <f t="shared" si="2"/>
        <v>0.44713870029097963</v>
      </c>
    </row>
    <row r="12" spans="1:7" x14ac:dyDescent="0.25">
      <c r="A12" t="s">
        <v>41</v>
      </c>
      <c r="B12" t="s">
        <v>42</v>
      </c>
      <c r="C12">
        <v>510</v>
      </c>
      <c r="D12">
        <v>463</v>
      </c>
      <c r="E12">
        <f t="shared" si="0"/>
        <v>973</v>
      </c>
      <c r="F12" s="1">
        <f t="shared" si="1"/>
        <v>0.52415210688591984</v>
      </c>
      <c r="G12" s="1">
        <f t="shared" si="2"/>
        <v>0.47584789311408016</v>
      </c>
    </row>
    <row r="13" spans="1:7" x14ac:dyDescent="0.25">
      <c r="A13" t="s">
        <v>7</v>
      </c>
      <c r="B13" t="s">
        <v>8</v>
      </c>
      <c r="C13">
        <v>543</v>
      </c>
      <c r="D13">
        <v>463</v>
      </c>
      <c r="E13">
        <f t="shared" si="0"/>
        <v>1006</v>
      </c>
      <c r="F13" s="1">
        <f t="shared" si="1"/>
        <v>0.53976143141153077</v>
      </c>
      <c r="G13" s="1">
        <f t="shared" si="2"/>
        <v>0.46023856858846918</v>
      </c>
    </row>
    <row r="14" spans="1:7" x14ac:dyDescent="0.25">
      <c r="A14" t="s">
        <v>9</v>
      </c>
      <c r="B14" t="s">
        <v>10</v>
      </c>
      <c r="C14">
        <v>559</v>
      </c>
      <c r="D14">
        <v>495</v>
      </c>
      <c r="E14">
        <f t="shared" si="0"/>
        <v>1054</v>
      </c>
      <c r="F14" s="1">
        <f t="shared" si="1"/>
        <v>0.53036053130929794</v>
      </c>
      <c r="G14" s="1">
        <f t="shared" si="2"/>
        <v>0.46963946869070211</v>
      </c>
    </row>
    <row r="15" spans="1:7" x14ac:dyDescent="0.25">
      <c r="A15" t="s">
        <v>61</v>
      </c>
      <c r="B15" t="s">
        <v>62</v>
      </c>
      <c r="C15">
        <v>533</v>
      </c>
      <c r="D15">
        <v>457</v>
      </c>
      <c r="E15">
        <f t="shared" si="0"/>
        <v>990</v>
      </c>
      <c r="F15" s="1">
        <f t="shared" si="1"/>
        <v>0.53838383838383841</v>
      </c>
      <c r="G15" s="1">
        <f t="shared" si="2"/>
        <v>0.46161616161616159</v>
      </c>
    </row>
    <row r="16" spans="1:7" x14ac:dyDescent="0.25">
      <c r="A16" t="s">
        <v>37</v>
      </c>
      <c r="B16" t="s">
        <v>38</v>
      </c>
      <c r="C16">
        <v>600</v>
      </c>
      <c r="D16">
        <v>450</v>
      </c>
      <c r="E16">
        <f t="shared" si="0"/>
        <v>1050</v>
      </c>
      <c r="F16" s="1">
        <f t="shared" si="1"/>
        <v>0.5714285714285714</v>
      </c>
      <c r="G16" s="1">
        <f t="shared" si="2"/>
        <v>0.42857142857142855</v>
      </c>
    </row>
    <row r="17" spans="1:7" x14ac:dyDescent="0.25">
      <c r="A17" t="s">
        <v>59</v>
      </c>
      <c r="B17" t="s">
        <v>60</v>
      </c>
      <c r="C17">
        <v>499</v>
      </c>
      <c r="D17">
        <v>533</v>
      </c>
      <c r="E17">
        <f t="shared" si="0"/>
        <v>1032</v>
      </c>
      <c r="F17" s="1">
        <f t="shared" si="1"/>
        <v>0.48352713178294576</v>
      </c>
      <c r="G17" s="1">
        <f t="shared" si="2"/>
        <v>0.51647286821705429</v>
      </c>
    </row>
    <row r="18" spans="1:7" x14ac:dyDescent="0.25">
      <c r="A18" t="s">
        <v>33</v>
      </c>
      <c r="B18" t="s">
        <v>34</v>
      </c>
      <c r="C18">
        <v>513</v>
      </c>
      <c r="D18">
        <v>496</v>
      </c>
      <c r="E18">
        <f t="shared" si="0"/>
        <v>1009</v>
      </c>
      <c r="F18" s="1">
        <f t="shared" si="1"/>
        <v>0.50842418235877107</v>
      </c>
      <c r="G18" s="1">
        <f t="shared" si="2"/>
        <v>0.49157581764122893</v>
      </c>
    </row>
    <row r="19" spans="1:7" x14ac:dyDescent="0.25">
      <c r="A19" t="s">
        <v>63</v>
      </c>
      <c r="B19" t="s">
        <v>64</v>
      </c>
      <c r="C19">
        <v>593</v>
      </c>
      <c r="D19">
        <v>383</v>
      </c>
      <c r="E19">
        <f t="shared" si="0"/>
        <v>976</v>
      </c>
      <c r="F19" s="1">
        <f t="shared" si="1"/>
        <v>0.60758196721311475</v>
      </c>
      <c r="G19" s="1">
        <f t="shared" si="2"/>
        <v>0.39241803278688525</v>
      </c>
    </row>
    <row r="20" spans="1:7" x14ac:dyDescent="0.25">
      <c r="A20" t="s">
        <v>31</v>
      </c>
      <c r="B20" t="s">
        <v>32</v>
      </c>
      <c r="C20">
        <v>570</v>
      </c>
      <c r="D20">
        <v>434</v>
      </c>
      <c r="E20">
        <f t="shared" si="0"/>
        <v>1004</v>
      </c>
      <c r="F20" s="1">
        <f t="shared" si="1"/>
        <v>0.5677290836653387</v>
      </c>
      <c r="G20" s="1">
        <f t="shared" si="2"/>
        <v>0.43227091633466136</v>
      </c>
    </row>
    <row r="21" spans="1:7" x14ac:dyDescent="0.25">
      <c r="A21" t="s">
        <v>43</v>
      </c>
      <c r="B21" t="s">
        <v>44</v>
      </c>
      <c r="C21">
        <v>559</v>
      </c>
      <c r="D21">
        <v>450</v>
      </c>
      <c r="E21">
        <f t="shared" si="0"/>
        <v>1009</v>
      </c>
      <c r="F21" s="1">
        <f t="shared" si="1"/>
        <v>0.554013875123885</v>
      </c>
      <c r="G21" s="1">
        <f t="shared" si="2"/>
        <v>0.44598612487611494</v>
      </c>
    </row>
    <row r="22" spans="1:7" x14ac:dyDescent="0.25">
      <c r="A22" t="s">
        <v>23</v>
      </c>
      <c r="B22" t="s">
        <v>24</v>
      </c>
      <c r="C22">
        <v>637</v>
      </c>
      <c r="D22">
        <v>429</v>
      </c>
      <c r="E22">
        <f t="shared" si="0"/>
        <v>1066</v>
      </c>
      <c r="F22" s="1">
        <f t="shared" si="1"/>
        <v>0.59756097560975607</v>
      </c>
      <c r="G22" s="1">
        <f t="shared" si="2"/>
        <v>0.40243902439024393</v>
      </c>
    </row>
    <row r="23" spans="1:7" x14ac:dyDescent="0.25">
      <c r="A23" t="s">
        <v>45</v>
      </c>
      <c r="B23" t="s">
        <v>46</v>
      </c>
      <c r="C23">
        <v>591</v>
      </c>
      <c r="D23">
        <v>448</v>
      </c>
      <c r="E23">
        <f t="shared" si="0"/>
        <v>1039</v>
      </c>
      <c r="F23" s="1">
        <f t="shared" si="1"/>
        <v>0.56881616939364776</v>
      </c>
      <c r="G23" s="1">
        <f t="shared" si="2"/>
        <v>0.43118383060635224</v>
      </c>
    </row>
    <row r="24" spans="1:7" x14ac:dyDescent="0.25">
      <c r="A24" t="s">
        <v>15</v>
      </c>
      <c r="B24" t="s">
        <v>16</v>
      </c>
      <c r="C24">
        <v>547</v>
      </c>
      <c r="D24">
        <v>410</v>
      </c>
      <c r="E24">
        <f t="shared" si="0"/>
        <v>957</v>
      </c>
      <c r="F24" s="1">
        <f t="shared" si="1"/>
        <v>0.57157784743991635</v>
      </c>
      <c r="G24" s="1">
        <f t="shared" si="2"/>
        <v>0.42842215256008359</v>
      </c>
    </row>
    <row r="25" spans="1:7" x14ac:dyDescent="0.25">
      <c r="A25" t="s">
        <v>51</v>
      </c>
      <c r="B25" t="s">
        <v>52</v>
      </c>
      <c r="C25">
        <v>551</v>
      </c>
      <c r="D25">
        <v>444</v>
      </c>
      <c r="E25">
        <f t="shared" si="0"/>
        <v>995</v>
      </c>
      <c r="F25" s="1">
        <f t="shared" si="1"/>
        <v>0.55376884422110551</v>
      </c>
      <c r="G25" s="1">
        <f t="shared" si="2"/>
        <v>0.44623115577889449</v>
      </c>
    </row>
    <row r="26" spans="1:7" x14ac:dyDescent="0.25">
      <c r="A26" t="s">
        <v>55</v>
      </c>
      <c r="B26" t="s">
        <v>56</v>
      </c>
      <c r="C26">
        <v>607</v>
      </c>
      <c r="D26">
        <v>363</v>
      </c>
      <c r="E26">
        <f t="shared" si="0"/>
        <v>970</v>
      </c>
      <c r="F26" s="1">
        <f t="shared" si="1"/>
        <v>0.62577319587628866</v>
      </c>
      <c r="G26" s="1">
        <f t="shared" si="2"/>
        <v>0.37422680412371134</v>
      </c>
    </row>
    <row r="27" spans="1:7" x14ac:dyDescent="0.25">
      <c r="A27" t="s">
        <v>35</v>
      </c>
      <c r="B27" t="s">
        <v>36</v>
      </c>
      <c r="C27">
        <v>546</v>
      </c>
      <c r="D27">
        <v>414</v>
      </c>
      <c r="E27">
        <f t="shared" si="0"/>
        <v>960</v>
      </c>
      <c r="F27" s="1">
        <f t="shared" si="1"/>
        <v>0.56874999999999998</v>
      </c>
      <c r="G27" s="1">
        <f t="shared" si="2"/>
        <v>0.43125000000000002</v>
      </c>
    </row>
    <row r="28" spans="1:7" x14ac:dyDescent="0.25">
      <c r="A28" t="s">
        <v>67</v>
      </c>
      <c r="B28" t="s">
        <v>68</v>
      </c>
      <c r="C28">
        <v>530</v>
      </c>
      <c r="D28">
        <v>450</v>
      </c>
      <c r="E28">
        <f t="shared" si="0"/>
        <v>980</v>
      </c>
      <c r="F28" s="1">
        <f t="shared" si="1"/>
        <v>0.54081632653061229</v>
      </c>
      <c r="G28" s="1">
        <f t="shared" si="2"/>
        <v>0.45918367346938777</v>
      </c>
    </row>
    <row r="29" spans="1:7" x14ac:dyDescent="0.25">
      <c r="A29" t="s">
        <v>17</v>
      </c>
      <c r="B29" t="s">
        <v>18</v>
      </c>
      <c r="C29">
        <v>566</v>
      </c>
      <c r="D29">
        <v>431</v>
      </c>
      <c r="E29">
        <f t="shared" si="0"/>
        <v>997</v>
      </c>
      <c r="F29" s="1">
        <f t="shared" si="1"/>
        <v>0.56770310932798396</v>
      </c>
      <c r="G29" s="1">
        <f t="shared" si="2"/>
        <v>0.43229689067201604</v>
      </c>
    </row>
    <row r="30" spans="1:7" x14ac:dyDescent="0.25">
      <c r="A30" t="s">
        <v>39</v>
      </c>
      <c r="B30" t="s">
        <v>40</v>
      </c>
      <c r="C30">
        <v>635</v>
      </c>
      <c r="D30">
        <v>380</v>
      </c>
      <c r="E30">
        <f t="shared" si="0"/>
        <v>1015</v>
      </c>
      <c r="F30" s="1">
        <f t="shared" si="1"/>
        <v>0.62561576354679804</v>
      </c>
      <c r="G30" s="1">
        <f t="shared" si="2"/>
        <v>0.37438423645320196</v>
      </c>
    </row>
    <row r="31" spans="1:7" x14ac:dyDescent="0.25">
      <c r="A31" t="s">
        <v>49</v>
      </c>
      <c r="B31" t="s">
        <v>50</v>
      </c>
      <c r="C31">
        <v>529</v>
      </c>
      <c r="D31">
        <v>446</v>
      </c>
      <c r="E31">
        <f t="shared" si="0"/>
        <v>975</v>
      </c>
      <c r="F31" s="1">
        <f t="shared" si="1"/>
        <v>0.54256410256410259</v>
      </c>
      <c r="G31" s="1">
        <f t="shared" si="2"/>
        <v>0.45743589743589741</v>
      </c>
    </row>
    <row r="32" spans="1:7" x14ac:dyDescent="0.25">
      <c r="A32" t="s">
        <v>53</v>
      </c>
      <c r="B32" t="s">
        <v>54</v>
      </c>
      <c r="C32">
        <v>591</v>
      </c>
      <c r="D32">
        <v>424</v>
      </c>
      <c r="E32">
        <f t="shared" si="0"/>
        <v>1015</v>
      </c>
      <c r="F32" s="1">
        <f t="shared" si="1"/>
        <v>0.58226600985221677</v>
      </c>
      <c r="G32" s="1">
        <f t="shared" si="2"/>
        <v>0.41773399014778323</v>
      </c>
    </row>
    <row r="33" spans="1:7" x14ac:dyDescent="0.25">
      <c r="A33" t="s">
        <v>21</v>
      </c>
      <c r="B33" t="s">
        <v>22</v>
      </c>
      <c r="C33">
        <v>661</v>
      </c>
      <c r="D33">
        <v>391</v>
      </c>
      <c r="E33">
        <f t="shared" si="0"/>
        <v>1052</v>
      </c>
      <c r="F33" s="1">
        <f t="shared" si="1"/>
        <v>0.62832699619771859</v>
      </c>
      <c r="G33" s="1">
        <f t="shared" si="2"/>
        <v>0.37167300380228135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/>
  </sheetViews>
  <sheetFormatPr defaultRowHeight="15" x14ac:dyDescent="0.25"/>
  <cols>
    <col min="1" max="1" width="2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23</v>
      </c>
      <c r="B2" t="s">
        <v>24</v>
      </c>
      <c r="C2">
        <v>614</v>
      </c>
      <c r="D2">
        <v>468</v>
      </c>
      <c r="E2">
        <f t="shared" ref="E2:E33" si="0">SUM(C2:D2)</f>
        <v>1082</v>
      </c>
      <c r="F2" s="1">
        <f t="shared" ref="F2:F33" si="1">C2/E2</f>
        <v>0.56746765249537889</v>
      </c>
      <c r="G2" s="1">
        <f t="shared" ref="G2:G33" si="2">D2/E2</f>
        <v>0.43253234750462105</v>
      </c>
    </row>
    <row r="3" spans="1:7" x14ac:dyDescent="0.25">
      <c r="A3" t="s">
        <v>45</v>
      </c>
      <c r="B3" t="s">
        <v>46</v>
      </c>
      <c r="C3">
        <v>566</v>
      </c>
      <c r="D3">
        <v>456</v>
      </c>
      <c r="E3">
        <f t="shared" si="0"/>
        <v>1022</v>
      </c>
      <c r="F3" s="1">
        <f t="shared" si="1"/>
        <v>0.55381604696673192</v>
      </c>
      <c r="G3" s="1">
        <f t="shared" si="2"/>
        <v>0.44618395303326808</v>
      </c>
    </row>
    <row r="4" spans="1:7" x14ac:dyDescent="0.25">
      <c r="A4" t="s">
        <v>61</v>
      </c>
      <c r="B4" t="s">
        <v>62</v>
      </c>
      <c r="C4">
        <v>491</v>
      </c>
      <c r="D4">
        <v>499</v>
      </c>
      <c r="E4">
        <f t="shared" si="0"/>
        <v>990</v>
      </c>
      <c r="F4" s="1">
        <f t="shared" si="1"/>
        <v>0.49595959595959593</v>
      </c>
      <c r="G4" s="1">
        <f t="shared" si="2"/>
        <v>0.50404040404040407</v>
      </c>
    </row>
    <row r="5" spans="1:7" x14ac:dyDescent="0.25">
      <c r="A5" t="s">
        <v>11</v>
      </c>
      <c r="B5" t="s">
        <v>12</v>
      </c>
      <c r="C5">
        <v>494</v>
      </c>
      <c r="D5">
        <v>541</v>
      </c>
      <c r="E5">
        <f t="shared" si="0"/>
        <v>1035</v>
      </c>
      <c r="F5" s="1">
        <f t="shared" si="1"/>
        <v>0.47729468599033814</v>
      </c>
      <c r="G5" s="1">
        <f t="shared" si="2"/>
        <v>0.5227053140096618</v>
      </c>
    </row>
    <row r="6" spans="1:7" x14ac:dyDescent="0.25">
      <c r="A6" t="s">
        <v>27</v>
      </c>
      <c r="B6" t="s">
        <v>28</v>
      </c>
      <c r="C6">
        <v>606</v>
      </c>
      <c r="D6">
        <v>500</v>
      </c>
      <c r="E6">
        <f t="shared" si="0"/>
        <v>1106</v>
      </c>
      <c r="F6" s="1">
        <f t="shared" si="1"/>
        <v>0.54792043399638335</v>
      </c>
      <c r="G6" s="1">
        <f t="shared" si="2"/>
        <v>0.45207956600361665</v>
      </c>
    </row>
    <row r="7" spans="1:7" x14ac:dyDescent="0.25">
      <c r="A7" t="s">
        <v>13</v>
      </c>
      <c r="B7" t="s">
        <v>14</v>
      </c>
      <c r="C7">
        <v>579</v>
      </c>
      <c r="D7">
        <v>512</v>
      </c>
      <c r="E7">
        <f t="shared" si="0"/>
        <v>1091</v>
      </c>
      <c r="F7" s="1">
        <f t="shared" si="1"/>
        <v>0.53070577451879009</v>
      </c>
      <c r="G7" s="1">
        <f t="shared" si="2"/>
        <v>0.46929422548120991</v>
      </c>
    </row>
    <row r="8" spans="1:7" x14ac:dyDescent="0.25">
      <c r="A8" t="s">
        <v>57</v>
      </c>
      <c r="B8" t="s">
        <v>58</v>
      </c>
      <c r="C8">
        <v>563</v>
      </c>
      <c r="D8">
        <v>510</v>
      </c>
      <c r="E8">
        <f t="shared" si="0"/>
        <v>1073</v>
      </c>
      <c r="F8" s="1">
        <f t="shared" si="1"/>
        <v>0.5246971109040075</v>
      </c>
      <c r="G8" s="1">
        <f t="shared" si="2"/>
        <v>0.47530288909599255</v>
      </c>
    </row>
    <row r="9" spans="1:7" x14ac:dyDescent="0.25">
      <c r="A9" t="s">
        <v>43</v>
      </c>
      <c r="B9" t="s">
        <v>44</v>
      </c>
      <c r="C9">
        <v>583</v>
      </c>
      <c r="D9">
        <v>477</v>
      </c>
      <c r="E9">
        <f t="shared" si="0"/>
        <v>1060</v>
      </c>
      <c r="F9" s="1">
        <f t="shared" si="1"/>
        <v>0.55000000000000004</v>
      </c>
      <c r="G9" s="1">
        <f t="shared" si="2"/>
        <v>0.45</v>
      </c>
    </row>
    <row r="10" spans="1:7" x14ac:dyDescent="0.25">
      <c r="A10" t="s">
        <v>51</v>
      </c>
      <c r="B10" t="s">
        <v>52</v>
      </c>
      <c r="C10">
        <v>606</v>
      </c>
      <c r="D10">
        <v>480</v>
      </c>
      <c r="E10">
        <f t="shared" si="0"/>
        <v>1086</v>
      </c>
      <c r="F10" s="1">
        <f t="shared" si="1"/>
        <v>0.55801104972375692</v>
      </c>
      <c r="G10" s="1">
        <f t="shared" si="2"/>
        <v>0.44198895027624308</v>
      </c>
    </row>
    <row r="11" spans="1:7" x14ac:dyDescent="0.25">
      <c r="A11" t="s">
        <v>33</v>
      </c>
      <c r="B11" t="s">
        <v>34</v>
      </c>
      <c r="C11">
        <v>574</v>
      </c>
      <c r="D11">
        <v>479</v>
      </c>
      <c r="E11">
        <f t="shared" si="0"/>
        <v>1053</v>
      </c>
      <c r="F11" s="1">
        <f t="shared" si="1"/>
        <v>0.54510921177587845</v>
      </c>
      <c r="G11" s="1">
        <f t="shared" si="2"/>
        <v>0.45489078822412155</v>
      </c>
    </row>
    <row r="12" spans="1:7" x14ac:dyDescent="0.25">
      <c r="A12" t="s">
        <v>21</v>
      </c>
      <c r="B12" t="s">
        <v>22</v>
      </c>
      <c r="C12">
        <v>624</v>
      </c>
      <c r="D12">
        <v>518</v>
      </c>
      <c r="E12">
        <f t="shared" si="0"/>
        <v>1142</v>
      </c>
      <c r="F12" s="1">
        <f t="shared" si="1"/>
        <v>0.54640980735551659</v>
      </c>
      <c r="G12" s="1">
        <f t="shared" si="2"/>
        <v>0.45359019264448336</v>
      </c>
    </row>
    <row r="13" spans="1:7" x14ac:dyDescent="0.25">
      <c r="A13" t="s">
        <v>29</v>
      </c>
      <c r="B13" t="s">
        <v>30</v>
      </c>
      <c r="C13">
        <v>581</v>
      </c>
      <c r="D13">
        <v>441</v>
      </c>
      <c r="E13">
        <f t="shared" si="0"/>
        <v>1022</v>
      </c>
      <c r="F13" s="1">
        <f t="shared" si="1"/>
        <v>0.56849315068493156</v>
      </c>
      <c r="G13" s="1">
        <f t="shared" si="2"/>
        <v>0.4315068493150685</v>
      </c>
    </row>
    <row r="14" spans="1:7" x14ac:dyDescent="0.25">
      <c r="A14" t="s">
        <v>31</v>
      </c>
      <c r="B14" t="s">
        <v>32</v>
      </c>
      <c r="C14">
        <v>592</v>
      </c>
      <c r="D14">
        <v>444</v>
      </c>
      <c r="E14">
        <f t="shared" si="0"/>
        <v>1036</v>
      </c>
      <c r="F14" s="1">
        <f t="shared" si="1"/>
        <v>0.5714285714285714</v>
      </c>
      <c r="G14" s="1">
        <f t="shared" si="2"/>
        <v>0.42857142857142855</v>
      </c>
    </row>
    <row r="15" spans="1:7" x14ac:dyDescent="0.25">
      <c r="A15" t="s">
        <v>35</v>
      </c>
      <c r="B15" t="s">
        <v>36</v>
      </c>
      <c r="C15">
        <v>620</v>
      </c>
      <c r="D15">
        <v>453</v>
      </c>
      <c r="E15">
        <f t="shared" si="0"/>
        <v>1073</v>
      </c>
      <c r="F15" s="1">
        <f t="shared" si="1"/>
        <v>0.57781919850885366</v>
      </c>
      <c r="G15" s="1">
        <f t="shared" si="2"/>
        <v>0.42218080149114634</v>
      </c>
    </row>
    <row r="16" spans="1:7" x14ac:dyDescent="0.25">
      <c r="A16" t="s">
        <v>37</v>
      </c>
      <c r="B16" t="s">
        <v>38</v>
      </c>
      <c r="C16">
        <v>635</v>
      </c>
      <c r="D16">
        <v>417</v>
      </c>
      <c r="E16">
        <f t="shared" si="0"/>
        <v>1052</v>
      </c>
      <c r="F16" s="1">
        <f t="shared" si="1"/>
        <v>0.60361216730038025</v>
      </c>
      <c r="G16" s="1">
        <f t="shared" si="2"/>
        <v>0.39638783269961975</v>
      </c>
    </row>
    <row r="17" spans="1:7" x14ac:dyDescent="0.25">
      <c r="A17" t="s">
        <v>19</v>
      </c>
      <c r="B17" t="s">
        <v>20</v>
      </c>
      <c r="C17">
        <v>615</v>
      </c>
      <c r="D17">
        <v>383</v>
      </c>
      <c r="E17">
        <f t="shared" si="0"/>
        <v>998</v>
      </c>
      <c r="F17" s="1">
        <f t="shared" si="1"/>
        <v>0.61623246492985972</v>
      </c>
      <c r="G17" s="1">
        <f t="shared" si="2"/>
        <v>0.38376753507014028</v>
      </c>
    </row>
    <row r="18" spans="1:7" x14ac:dyDescent="0.25">
      <c r="A18" t="s">
        <v>63</v>
      </c>
      <c r="B18" t="s">
        <v>64</v>
      </c>
      <c r="C18">
        <v>575</v>
      </c>
      <c r="D18">
        <v>382</v>
      </c>
      <c r="E18">
        <f t="shared" si="0"/>
        <v>957</v>
      </c>
      <c r="F18" s="1">
        <f t="shared" si="1"/>
        <v>0.60083594566353182</v>
      </c>
      <c r="G18" s="1">
        <f t="shared" si="2"/>
        <v>0.39916405433646812</v>
      </c>
    </row>
    <row r="19" spans="1:7" x14ac:dyDescent="0.25">
      <c r="A19" t="s">
        <v>17</v>
      </c>
      <c r="B19" t="s">
        <v>18</v>
      </c>
      <c r="C19">
        <v>513</v>
      </c>
      <c r="D19">
        <v>534</v>
      </c>
      <c r="E19">
        <f t="shared" si="0"/>
        <v>1047</v>
      </c>
      <c r="F19" s="1">
        <f t="shared" si="1"/>
        <v>0.48997134670487108</v>
      </c>
      <c r="G19" s="1">
        <f t="shared" si="2"/>
        <v>0.51002865329512892</v>
      </c>
    </row>
    <row r="20" spans="1:7" x14ac:dyDescent="0.25">
      <c r="A20" t="s">
        <v>25</v>
      </c>
      <c r="B20" t="s">
        <v>26</v>
      </c>
      <c r="C20">
        <v>513</v>
      </c>
      <c r="D20">
        <v>451</v>
      </c>
      <c r="E20">
        <f t="shared" si="0"/>
        <v>964</v>
      </c>
      <c r="F20" s="1">
        <f t="shared" si="1"/>
        <v>0.53215767634854771</v>
      </c>
      <c r="G20" s="1">
        <f t="shared" si="2"/>
        <v>0.46784232365145229</v>
      </c>
    </row>
    <row r="21" spans="1:7" x14ac:dyDescent="0.25">
      <c r="A21" t="s">
        <v>65</v>
      </c>
      <c r="B21" t="s">
        <v>66</v>
      </c>
      <c r="C21">
        <v>568</v>
      </c>
      <c r="D21">
        <v>439</v>
      </c>
      <c r="E21">
        <f t="shared" si="0"/>
        <v>1007</v>
      </c>
      <c r="F21" s="1">
        <f t="shared" si="1"/>
        <v>0.56405163853028795</v>
      </c>
      <c r="G21" s="1">
        <f t="shared" si="2"/>
        <v>0.435948361469712</v>
      </c>
    </row>
    <row r="22" spans="1:7" x14ac:dyDescent="0.25">
      <c r="A22" t="s">
        <v>41</v>
      </c>
      <c r="B22" t="s">
        <v>42</v>
      </c>
      <c r="C22">
        <v>632</v>
      </c>
      <c r="D22">
        <v>431</v>
      </c>
      <c r="E22">
        <f t="shared" si="0"/>
        <v>1063</v>
      </c>
      <c r="F22" s="1">
        <f t="shared" si="1"/>
        <v>0.59454374412041389</v>
      </c>
      <c r="G22" s="1">
        <f t="shared" si="2"/>
        <v>0.40545625587958606</v>
      </c>
    </row>
    <row r="23" spans="1:7" x14ac:dyDescent="0.25">
      <c r="A23" t="s">
        <v>47</v>
      </c>
      <c r="B23" t="s">
        <v>48</v>
      </c>
      <c r="C23">
        <v>631</v>
      </c>
      <c r="D23">
        <v>393</v>
      </c>
      <c r="E23">
        <f t="shared" si="0"/>
        <v>1024</v>
      </c>
      <c r="F23" s="1">
        <f t="shared" si="1"/>
        <v>0.6162109375</v>
      </c>
      <c r="G23" s="1">
        <f t="shared" si="2"/>
        <v>0.3837890625</v>
      </c>
    </row>
    <row r="24" spans="1:7" x14ac:dyDescent="0.25">
      <c r="A24" t="s">
        <v>39</v>
      </c>
      <c r="B24" t="s">
        <v>40</v>
      </c>
      <c r="C24">
        <v>557</v>
      </c>
      <c r="D24">
        <v>413</v>
      </c>
      <c r="E24">
        <f t="shared" si="0"/>
        <v>970</v>
      </c>
      <c r="F24" s="1">
        <f t="shared" si="1"/>
        <v>0.5742268041237113</v>
      </c>
      <c r="G24" s="1">
        <f t="shared" si="2"/>
        <v>0.42577319587628865</v>
      </c>
    </row>
    <row r="25" spans="1:7" x14ac:dyDescent="0.25">
      <c r="A25" t="s">
        <v>7</v>
      </c>
      <c r="B25" t="s">
        <v>8</v>
      </c>
      <c r="C25">
        <v>555</v>
      </c>
      <c r="D25">
        <v>471</v>
      </c>
      <c r="E25">
        <f t="shared" si="0"/>
        <v>1026</v>
      </c>
      <c r="F25" s="1">
        <f t="shared" si="1"/>
        <v>0.54093567251461994</v>
      </c>
      <c r="G25" s="1">
        <f t="shared" si="2"/>
        <v>0.45906432748538012</v>
      </c>
    </row>
    <row r="26" spans="1:7" x14ac:dyDescent="0.25">
      <c r="A26" t="s">
        <v>69</v>
      </c>
      <c r="B26" t="s">
        <v>70</v>
      </c>
      <c r="C26">
        <v>636</v>
      </c>
      <c r="D26">
        <v>359</v>
      </c>
      <c r="E26">
        <f t="shared" si="0"/>
        <v>995</v>
      </c>
      <c r="F26" s="1">
        <f t="shared" si="1"/>
        <v>0.6391959798994975</v>
      </c>
      <c r="G26" s="1">
        <f t="shared" si="2"/>
        <v>0.3608040201005025</v>
      </c>
    </row>
    <row r="27" spans="1:7" x14ac:dyDescent="0.25">
      <c r="A27" t="s">
        <v>9</v>
      </c>
      <c r="B27" t="s">
        <v>10</v>
      </c>
      <c r="C27">
        <v>530</v>
      </c>
      <c r="D27">
        <v>522</v>
      </c>
      <c r="E27">
        <f t="shared" si="0"/>
        <v>1052</v>
      </c>
      <c r="F27" s="1">
        <f t="shared" si="1"/>
        <v>0.50380228136882133</v>
      </c>
      <c r="G27" s="1">
        <f t="shared" si="2"/>
        <v>0.49619771863117873</v>
      </c>
    </row>
    <row r="28" spans="1:7" x14ac:dyDescent="0.25">
      <c r="A28" t="s">
        <v>67</v>
      </c>
      <c r="B28" t="s">
        <v>68</v>
      </c>
      <c r="C28">
        <v>494</v>
      </c>
      <c r="D28">
        <v>444</v>
      </c>
      <c r="E28">
        <f t="shared" si="0"/>
        <v>938</v>
      </c>
      <c r="F28" s="1">
        <f t="shared" si="1"/>
        <v>0.5266524520255863</v>
      </c>
      <c r="G28" s="1">
        <f t="shared" si="2"/>
        <v>0.47334754797441364</v>
      </c>
    </row>
    <row r="29" spans="1:7" x14ac:dyDescent="0.25">
      <c r="A29" t="s">
        <v>59</v>
      </c>
      <c r="B29" t="s">
        <v>60</v>
      </c>
      <c r="C29">
        <v>506</v>
      </c>
      <c r="D29">
        <v>487</v>
      </c>
      <c r="E29">
        <f t="shared" si="0"/>
        <v>993</v>
      </c>
      <c r="F29" s="1">
        <f t="shared" si="1"/>
        <v>0.50956696878147034</v>
      </c>
      <c r="G29" s="1">
        <f t="shared" si="2"/>
        <v>0.49043303121852971</v>
      </c>
    </row>
    <row r="30" spans="1:7" x14ac:dyDescent="0.25">
      <c r="A30" t="s">
        <v>55</v>
      </c>
      <c r="B30" t="s">
        <v>56</v>
      </c>
      <c r="C30">
        <v>601</v>
      </c>
      <c r="D30">
        <v>388</v>
      </c>
      <c r="E30">
        <f t="shared" si="0"/>
        <v>989</v>
      </c>
      <c r="F30" s="1">
        <f t="shared" si="1"/>
        <v>0.60768452982810917</v>
      </c>
      <c r="G30" s="1">
        <f t="shared" si="2"/>
        <v>0.39231547017189078</v>
      </c>
    </row>
    <row r="31" spans="1:7" x14ac:dyDescent="0.25">
      <c r="A31" t="s">
        <v>53</v>
      </c>
      <c r="B31" t="s">
        <v>54</v>
      </c>
      <c r="C31">
        <v>518</v>
      </c>
      <c r="D31">
        <v>454</v>
      </c>
      <c r="E31">
        <f t="shared" si="0"/>
        <v>972</v>
      </c>
      <c r="F31" s="1">
        <f t="shared" si="1"/>
        <v>0.53292181069958844</v>
      </c>
      <c r="G31" s="1">
        <f t="shared" si="2"/>
        <v>0.46707818930041151</v>
      </c>
    </row>
    <row r="32" spans="1:7" x14ac:dyDescent="0.25">
      <c r="A32" t="s">
        <v>49</v>
      </c>
      <c r="B32" t="s">
        <v>50</v>
      </c>
      <c r="C32">
        <v>557</v>
      </c>
      <c r="D32">
        <v>415</v>
      </c>
      <c r="E32">
        <f t="shared" si="0"/>
        <v>972</v>
      </c>
      <c r="F32" s="1">
        <f t="shared" si="1"/>
        <v>0.57304526748971196</v>
      </c>
      <c r="G32" s="1">
        <f t="shared" si="2"/>
        <v>0.42695473251028809</v>
      </c>
    </row>
    <row r="33" spans="1:7" x14ac:dyDescent="0.25">
      <c r="A33" t="s">
        <v>15</v>
      </c>
      <c r="B33" t="s">
        <v>16</v>
      </c>
      <c r="C33">
        <v>586</v>
      </c>
      <c r="D33">
        <v>445</v>
      </c>
      <c r="E33">
        <f t="shared" si="0"/>
        <v>1031</v>
      </c>
      <c r="F33" s="1">
        <f t="shared" si="1"/>
        <v>0.56838021338506306</v>
      </c>
      <c r="G33" s="1">
        <f t="shared" si="2"/>
        <v>0.43161978661493694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9F3C-9778-433E-8F65-5378E4E46D8B}">
  <dimension ref="A1:G33"/>
  <sheetViews>
    <sheetView workbookViewId="0">
      <selection activeCell="F3" sqref="F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5" t="s">
        <v>37</v>
      </c>
      <c r="B2" s="5" t="s">
        <v>38</v>
      </c>
      <c r="C2" s="5">
        <v>651</v>
      </c>
      <c r="D2" s="5">
        <v>417</v>
      </c>
      <c r="E2" s="5">
        <f t="shared" ref="E2:E33" si="0">SUM(C2:D2)</f>
        <v>1068</v>
      </c>
      <c r="F2" s="6">
        <f t="shared" ref="F2:F33" si="1">C2/E2</f>
        <v>0.6095505617977528</v>
      </c>
      <c r="G2" s="6">
        <f t="shared" ref="G2:G33" si="2">D2/E2</f>
        <v>0.3904494382022472</v>
      </c>
    </row>
    <row r="3" spans="1:7" x14ac:dyDescent="0.25">
      <c r="A3" s="5" t="s">
        <v>57</v>
      </c>
      <c r="B3" s="5" t="s">
        <v>58</v>
      </c>
      <c r="C3" s="5">
        <v>536</v>
      </c>
      <c r="D3" s="5">
        <v>544</v>
      </c>
      <c r="E3" s="5">
        <f t="shared" si="0"/>
        <v>1080</v>
      </c>
      <c r="F3" s="6">
        <f t="shared" si="1"/>
        <v>0.49629629629629629</v>
      </c>
      <c r="G3" s="6">
        <f t="shared" si="2"/>
        <v>0.50370370370370365</v>
      </c>
    </row>
    <row r="4" spans="1:7" x14ac:dyDescent="0.25">
      <c r="A4" s="5" t="s">
        <v>23</v>
      </c>
      <c r="B4" s="5" t="s">
        <v>24</v>
      </c>
      <c r="C4" s="5">
        <v>556</v>
      </c>
      <c r="D4" s="5">
        <v>531</v>
      </c>
      <c r="E4" s="5">
        <f t="shared" si="0"/>
        <v>1087</v>
      </c>
      <c r="F4" s="6">
        <f t="shared" si="1"/>
        <v>0.51149954001839926</v>
      </c>
      <c r="G4" s="6">
        <f t="shared" si="2"/>
        <v>0.48850045998160074</v>
      </c>
    </row>
    <row r="5" spans="1:7" x14ac:dyDescent="0.25">
      <c r="A5" s="5" t="s">
        <v>13</v>
      </c>
      <c r="B5" s="5" t="s">
        <v>14</v>
      </c>
      <c r="C5" s="5">
        <v>574</v>
      </c>
      <c r="D5" s="5">
        <v>430</v>
      </c>
      <c r="E5" s="5">
        <f t="shared" si="0"/>
        <v>1004</v>
      </c>
      <c r="F5" s="6">
        <f t="shared" si="1"/>
        <v>0.57171314741035861</v>
      </c>
      <c r="G5" s="6">
        <f t="shared" si="2"/>
        <v>0.42828685258964144</v>
      </c>
    </row>
    <row r="6" spans="1:7" x14ac:dyDescent="0.25">
      <c r="A6" s="5" t="s">
        <v>27</v>
      </c>
      <c r="B6" s="5" t="s">
        <v>28</v>
      </c>
      <c r="C6" s="5">
        <v>588</v>
      </c>
      <c r="D6" s="5">
        <v>480</v>
      </c>
      <c r="E6" s="5">
        <f t="shared" si="0"/>
        <v>1068</v>
      </c>
      <c r="F6" s="6">
        <f t="shared" si="1"/>
        <v>0.550561797752809</v>
      </c>
      <c r="G6" s="6">
        <f t="shared" si="2"/>
        <v>0.449438202247191</v>
      </c>
    </row>
    <row r="7" spans="1:7" x14ac:dyDescent="0.25">
      <c r="A7" s="5" t="s">
        <v>61</v>
      </c>
      <c r="B7" s="5" t="s">
        <v>62</v>
      </c>
      <c r="C7" s="5">
        <v>512</v>
      </c>
      <c r="D7" s="5">
        <v>504</v>
      </c>
      <c r="E7" s="5">
        <f t="shared" si="0"/>
        <v>1016</v>
      </c>
      <c r="F7" s="6">
        <f t="shared" si="1"/>
        <v>0.50393700787401574</v>
      </c>
      <c r="G7" s="6">
        <f t="shared" si="2"/>
        <v>0.49606299212598426</v>
      </c>
    </row>
    <row r="8" spans="1:7" x14ac:dyDescent="0.25">
      <c r="A8" s="5" t="s">
        <v>47</v>
      </c>
      <c r="B8" s="5" t="s">
        <v>48</v>
      </c>
      <c r="C8" s="5">
        <v>672</v>
      </c>
      <c r="D8" s="5">
        <v>404</v>
      </c>
      <c r="E8" s="5">
        <f t="shared" si="0"/>
        <v>1076</v>
      </c>
      <c r="F8" s="6">
        <f t="shared" si="1"/>
        <v>0.62453531598513012</v>
      </c>
      <c r="G8" s="6">
        <f t="shared" si="2"/>
        <v>0.37546468401486988</v>
      </c>
    </row>
    <row r="9" spans="1:7" x14ac:dyDescent="0.25">
      <c r="A9" s="5" t="s">
        <v>19</v>
      </c>
      <c r="B9" s="5" t="s">
        <v>20</v>
      </c>
      <c r="C9" s="5">
        <v>610</v>
      </c>
      <c r="D9" s="5">
        <v>399</v>
      </c>
      <c r="E9" s="5">
        <f t="shared" si="0"/>
        <v>1009</v>
      </c>
      <c r="F9" s="6">
        <f t="shared" si="1"/>
        <v>0.60455896927651143</v>
      </c>
      <c r="G9" s="6">
        <f t="shared" si="2"/>
        <v>0.39544103072348863</v>
      </c>
    </row>
    <row r="10" spans="1:7" x14ac:dyDescent="0.25">
      <c r="A10" s="5" t="s">
        <v>63</v>
      </c>
      <c r="B10" s="5" t="s">
        <v>64</v>
      </c>
      <c r="C10" s="5">
        <v>573</v>
      </c>
      <c r="D10" s="5">
        <v>425</v>
      </c>
      <c r="E10" s="5">
        <f t="shared" si="0"/>
        <v>998</v>
      </c>
      <c r="F10" s="6">
        <f t="shared" si="1"/>
        <v>0.57414829659318634</v>
      </c>
      <c r="G10" s="6">
        <f t="shared" si="2"/>
        <v>0.42585170340681361</v>
      </c>
    </row>
    <row r="11" spans="1:7" x14ac:dyDescent="0.25">
      <c r="A11" s="5" t="s">
        <v>35</v>
      </c>
      <c r="B11" s="5" t="s">
        <v>36</v>
      </c>
      <c r="C11" s="5">
        <v>596</v>
      </c>
      <c r="D11" s="5">
        <v>448</v>
      </c>
      <c r="E11" s="5">
        <f t="shared" si="0"/>
        <v>1044</v>
      </c>
      <c r="F11" s="6">
        <f t="shared" si="1"/>
        <v>0.57088122605363989</v>
      </c>
      <c r="G11" s="6">
        <f t="shared" si="2"/>
        <v>0.42911877394636017</v>
      </c>
    </row>
    <row r="12" spans="1:7" x14ac:dyDescent="0.25">
      <c r="A12" s="5" t="s">
        <v>45</v>
      </c>
      <c r="B12" s="5" t="s">
        <v>46</v>
      </c>
      <c r="C12" s="5">
        <v>584</v>
      </c>
      <c r="D12" s="5">
        <v>390</v>
      </c>
      <c r="E12" s="5">
        <f t="shared" si="0"/>
        <v>974</v>
      </c>
      <c r="F12" s="6">
        <f t="shared" si="1"/>
        <v>0.59958932238193019</v>
      </c>
      <c r="G12" s="6">
        <f t="shared" si="2"/>
        <v>0.40041067761806981</v>
      </c>
    </row>
    <row r="13" spans="1:7" x14ac:dyDescent="0.25">
      <c r="A13" s="5" t="s">
        <v>39</v>
      </c>
      <c r="B13" s="5" t="s">
        <v>40</v>
      </c>
      <c r="C13" s="5">
        <v>586</v>
      </c>
      <c r="D13" s="5">
        <v>428</v>
      </c>
      <c r="E13" s="5">
        <f t="shared" si="0"/>
        <v>1014</v>
      </c>
      <c r="F13" s="6">
        <f t="shared" si="1"/>
        <v>0.57790927021696248</v>
      </c>
      <c r="G13" s="6">
        <f t="shared" si="2"/>
        <v>0.42209072978303747</v>
      </c>
    </row>
    <row r="14" spans="1:7" x14ac:dyDescent="0.25">
      <c r="A14" s="5" t="s">
        <v>41</v>
      </c>
      <c r="B14" s="5" t="s">
        <v>42</v>
      </c>
      <c r="C14" s="5">
        <v>711</v>
      </c>
      <c r="D14" s="5">
        <v>404</v>
      </c>
      <c r="E14" s="5">
        <f t="shared" si="0"/>
        <v>1115</v>
      </c>
      <c r="F14" s="6">
        <f t="shared" si="1"/>
        <v>0.63766816143497762</v>
      </c>
      <c r="G14" s="6">
        <f t="shared" si="2"/>
        <v>0.36233183856502243</v>
      </c>
    </row>
    <row r="15" spans="1:7" x14ac:dyDescent="0.25">
      <c r="A15" s="5" t="s">
        <v>29</v>
      </c>
      <c r="B15" s="5" t="s">
        <v>30</v>
      </c>
      <c r="C15" s="5">
        <v>563</v>
      </c>
      <c r="D15" s="5">
        <v>456</v>
      </c>
      <c r="E15" s="5">
        <f t="shared" si="0"/>
        <v>1019</v>
      </c>
      <c r="F15" s="6">
        <f t="shared" si="1"/>
        <v>0.55250245338567228</v>
      </c>
      <c r="G15" s="6">
        <f t="shared" si="2"/>
        <v>0.44749754661432778</v>
      </c>
    </row>
    <row r="16" spans="1:7" x14ac:dyDescent="0.25">
      <c r="A16" s="5" t="s">
        <v>9</v>
      </c>
      <c r="B16" s="5" t="s">
        <v>10</v>
      </c>
      <c r="C16" s="5">
        <v>415</v>
      </c>
      <c r="D16" s="5">
        <v>559</v>
      </c>
      <c r="E16" s="5">
        <f t="shared" si="0"/>
        <v>974</v>
      </c>
      <c r="F16" s="6">
        <f t="shared" si="1"/>
        <v>0.42607802874743328</v>
      </c>
      <c r="G16" s="6">
        <f t="shared" si="2"/>
        <v>0.57392197125256672</v>
      </c>
    </row>
    <row r="17" spans="1:7" x14ac:dyDescent="0.25">
      <c r="A17" s="5" t="s">
        <v>53</v>
      </c>
      <c r="B17" s="5" t="s">
        <v>54</v>
      </c>
      <c r="C17" s="5">
        <v>520</v>
      </c>
      <c r="D17" s="5">
        <v>520</v>
      </c>
      <c r="E17" s="5">
        <f t="shared" si="0"/>
        <v>1040</v>
      </c>
      <c r="F17" s="6">
        <f t="shared" si="1"/>
        <v>0.5</v>
      </c>
      <c r="G17" s="6">
        <f t="shared" si="2"/>
        <v>0.5</v>
      </c>
    </row>
    <row r="18" spans="1:7" x14ac:dyDescent="0.25">
      <c r="A18" s="5" t="s">
        <v>49</v>
      </c>
      <c r="B18" s="5" t="s">
        <v>50</v>
      </c>
      <c r="C18" s="5">
        <v>540</v>
      </c>
      <c r="D18" s="5">
        <v>425</v>
      </c>
      <c r="E18" s="5">
        <f t="shared" si="0"/>
        <v>965</v>
      </c>
      <c r="F18" s="6">
        <f t="shared" si="1"/>
        <v>0.55958549222797926</v>
      </c>
      <c r="G18" s="6">
        <f t="shared" si="2"/>
        <v>0.44041450777202074</v>
      </c>
    </row>
    <row r="19" spans="1:7" x14ac:dyDescent="0.25">
      <c r="A19" s="5" t="s">
        <v>21</v>
      </c>
      <c r="B19" s="5" t="s">
        <v>22</v>
      </c>
      <c r="C19" s="5">
        <v>540</v>
      </c>
      <c r="D19" s="5">
        <v>532</v>
      </c>
      <c r="E19" s="5">
        <f t="shared" si="0"/>
        <v>1072</v>
      </c>
      <c r="F19" s="6">
        <f t="shared" si="1"/>
        <v>0.50373134328358204</v>
      </c>
      <c r="G19" s="6">
        <f t="shared" si="2"/>
        <v>0.4962686567164179</v>
      </c>
    </row>
    <row r="20" spans="1:7" x14ac:dyDescent="0.25">
      <c r="A20" s="5" t="s">
        <v>11</v>
      </c>
      <c r="B20" s="5" t="s">
        <v>12</v>
      </c>
      <c r="C20" s="5">
        <v>488</v>
      </c>
      <c r="D20" s="5">
        <v>526</v>
      </c>
      <c r="E20" s="5">
        <f t="shared" si="0"/>
        <v>1014</v>
      </c>
      <c r="F20" s="6">
        <f t="shared" si="1"/>
        <v>0.48126232741617359</v>
      </c>
      <c r="G20" s="6">
        <f t="shared" si="2"/>
        <v>0.51873767258382641</v>
      </c>
    </row>
    <row r="21" spans="1:7" x14ac:dyDescent="0.25">
      <c r="A21" s="5" t="s">
        <v>15</v>
      </c>
      <c r="B21" s="5" t="s">
        <v>16</v>
      </c>
      <c r="C21" s="5">
        <v>457</v>
      </c>
      <c r="D21" s="5">
        <v>483</v>
      </c>
      <c r="E21" s="5">
        <f t="shared" si="0"/>
        <v>940</v>
      </c>
      <c r="F21" s="6">
        <f t="shared" si="1"/>
        <v>0.48617021276595745</v>
      </c>
      <c r="G21" s="6">
        <f t="shared" si="2"/>
        <v>0.5138297872340426</v>
      </c>
    </row>
    <row r="22" spans="1:7" x14ac:dyDescent="0.25">
      <c r="A22" s="5" t="s">
        <v>7</v>
      </c>
      <c r="B22" s="5" t="s">
        <v>8</v>
      </c>
      <c r="C22" s="5">
        <v>664</v>
      </c>
      <c r="D22" s="5">
        <v>434</v>
      </c>
      <c r="E22" s="5">
        <f t="shared" si="0"/>
        <v>1098</v>
      </c>
      <c r="F22" s="6">
        <f t="shared" si="1"/>
        <v>0.60473588342440798</v>
      </c>
      <c r="G22" s="6">
        <f t="shared" si="2"/>
        <v>0.39526411657559196</v>
      </c>
    </row>
    <row r="23" spans="1:7" x14ac:dyDescent="0.25">
      <c r="A23" s="5" t="s">
        <v>51</v>
      </c>
      <c r="B23" s="5" t="s">
        <v>52</v>
      </c>
      <c r="C23" s="5">
        <v>512</v>
      </c>
      <c r="D23" s="5">
        <v>465</v>
      </c>
      <c r="E23" s="5">
        <f t="shared" si="0"/>
        <v>977</v>
      </c>
      <c r="F23" s="6">
        <f t="shared" si="1"/>
        <v>0.52405322415557831</v>
      </c>
      <c r="G23" s="6">
        <f t="shared" si="2"/>
        <v>0.47594677584442169</v>
      </c>
    </row>
    <row r="24" spans="1:7" x14ac:dyDescent="0.25">
      <c r="A24" s="5" t="s">
        <v>17</v>
      </c>
      <c r="B24" s="5" t="s">
        <v>18</v>
      </c>
      <c r="C24" s="5">
        <v>377</v>
      </c>
      <c r="D24" s="5">
        <v>558</v>
      </c>
      <c r="E24" s="5">
        <f t="shared" si="0"/>
        <v>935</v>
      </c>
      <c r="F24" s="6">
        <f t="shared" si="1"/>
        <v>0.40320855614973261</v>
      </c>
      <c r="G24" s="6">
        <f t="shared" si="2"/>
        <v>0.59679144385026739</v>
      </c>
    </row>
    <row r="25" spans="1:7" x14ac:dyDescent="0.25">
      <c r="A25" s="5" t="s">
        <v>69</v>
      </c>
      <c r="B25" s="5" t="s">
        <v>70</v>
      </c>
      <c r="C25" s="5">
        <v>554</v>
      </c>
      <c r="D25" s="5">
        <v>538</v>
      </c>
      <c r="E25" s="5">
        <f t="shared" si="0"/>
        <v>1092</v>
      </c>
      <c r="F25" s="6">
        <f t="shared" si="1"/>
        <v>0.5073260073260073</v>
      </c>
      <c r="G25" s="6">
        <f t="shared" si="2"/>
        <v>0.4926739926739927</v>
      </c>
    </row>
    <row r="26" spans="1:7" x14ac:dyDescent="0.25">
      <c r="A26" s="5" t="s">
        <v>65</v>
      </c>
      <c r="B26" s="5" t="s">
        <v>66</v>
      </c>
      <c r="C26" s="5">
        <v>751</v>
      </c>
      <c r="D26" s="5">
        <v>386</v>
      </c>
      <c r="E26" s="5">
        <f t="shared" si="0"/>
        <v>1137</v>
      </c>
      <c r="F26" s="6">
        <f t="shared" si="1"/>
        <v>0.66051011433597184</v>
      </c>
      <c r="G26" s="6">
        <f t="shared" si="2"/>
        <v>0.33948988566402816</v>
      </c>
    </row>
    <row r="27" spans="1:7" x14ac:dyDescent="0.25">
      <c r="A27" s="5" t="s">
        <v>59</v>
      </c>
      <c r="B27" s="5" t="s">
        <v>60</v>
      </c>
      <c r="C27" s="5">
        <v>571</v>
      </c>
      <c r="D27" s="5">
        <v>500</v>
      </c>
      <c r="E27" s="5">
        <f t="shared" si="0"/>
        <v>1071</v>
      </c>
      <c r="F27" s="6">
        <f t="shared" si="1"/>
        <v>0.53314659197012138</v>
      </c>
      <c r="G27" s="6">
        <f t="shared" si="2"/>
        <v>0.46685340802987862</v>
      </c>
    </row>
    <row r="28" spans="1:7" x14ac:dyDescent="0.25">
      <c r="A28" s="5" t="s">
        <v>43</v>
      </c>
      <c r="B28" s="5" t="s">
        <v>44</v>
      </c>
      <c r="C28" s="5">
        <v>531</v>
      </c>
      <c r="D28" s="5">
        <v>411</v>
      </c>
      <c r="E28" s="5">
        <f t="shared" si="0"/>
        <v>942</v>
      </c>
      <c r="F28" s="6">
        <f t="shared" si="1"/>
        <v>0.56369426751592355</v>
      </c>
      <c r="G28" s="6">
        <f t="shared" si="2"/>
        <v>0.43630573248407645</v>
      </c>
    </row>
    <row r="29" spans="1:7" x14ac:dyDescent="0.25">
      <c r="A29" s="5" t="s">
        <v>67</v>
      </c>
      <c r="B29" s="5" t="s">
        <v>68</v>
      </c>
      <c r="C29" s="5">
        <v>456</v>
      </c>
      <c r="D29" s="5">
        <v>487</v>
      </c>
      <c r="E29" s="5">
        <f t="shared" si="0"/>
        <v>943</v>
      </c>
      <c r="F29" s="6">
        <f t="shared" si="1"/>
        <v>0.4835630965005302</v>
      </c>
      <c r="G29" s="6">
        <f t="shared" si="2"/>
        <v>0.5164369034994698</v>
      </c>
    </row>
    <row r="30" spans="1:7" x14ac:dyDescent="0.25">
      <c r="A30" s="5" t="s">
        <v>55</v>
      </c>
      <c r="B30" s="5" t="s">
        <v>56</v>
      </c>
      <c r="C30" s="5">
        <v>627</v>
      </c>
      <c r="D30" s="5">
        <v>405</v>
      </c>
      <c r="E30" s="5">
        <f t="shared" si="0"/>
        <v>1032</v>
      </c>
      <c r="F30" s="6">
        <f t="shared" si="1"/>
        <v>0.60755813953488369</v>
      </c>
      <c r="G30" s="6">
        <f t="shared" si="2"/>
        <v>0.39244186046511625</v>
      </c>
    </row>
    <row r="31" spans="1:7" x14ac:dyDescent="0.25">
      <c r="A31" s="5" t="s">
        <v>31</v>
      </c>
      <c r="B31" s="5" t="s">
        <v>32</v>
      </c>
      <c r="C31" s="5">
        <v>579</v>
      </c>
      <c r="D31" s="5">
        <v>398</v>
      </c>
      <c r="E31" s="5">
        <f t="shared" si="0"/>
        <v>977</v>
      </c>
      <c r="F31" s="6">
        <f t="shared" si="1"/>
        <v>0.59263050153531216</v>
      </c>
      <c r="G31" s="6">
        <f t="shared" si="2"/>
        <v>0.40736949846468784</v>
      </c>
    </row>
    <row r="32" spans="1:7" x14ac:dyDescent="0.25">
      <c r="A32" s="5" t="s">
        <v>33</v>
      </c>
      <c r="B32" s="5" t="s">
        <v>34</v>
      </c>
      <c r="C32" s="5">
        <v>604</v>
      </c>
      <c r="D32" s="5">
        <v>439</v>
      </c>
      <c r="E32" s="5">
        <f t="shared" si="0"/>
        <v>1043</v>
      </c>
      <c r="F32" s="6">
        <f t="shared" si="1"/>
        <v>0.57909875359539786</v>
      </c>
      <c r="G32" s="6">
        <f t="shared" si="2"/>
        <v>0.42090124640460214</v>
      </c>
    </row>
    <row r="33" spans="1:7" x14ac:dyDescent="0.25">
      <c r="A33" s="5" t="s">
        <v>25</v>
      </c>
      <c r="B33" s="5" t="s">
        <v>26</v>
      </c>
      <c r="C33" s="5">
        <v>571</v>
      </c>
      <c r="D33" s="5">
        <v>444</v>
      </c>
      <c r="E33" s="5">
        <f t="shared" si="0"/>
        <v>1015</v>
      </c>
      <c r="F33" s="6">
        <f t="shared" si="1"/>
        <v>0.56256157635467985</v>
      </c>
      <c r="G33" s="6">
        <f t="shared" si="2"/>
        <v>0.43743842364532021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BB0A-D125-47FB-9586-7B8FBBC0336B}">
  <dimension ref="A1:G33"/>
  <sheetViews>
    <sheetView workbookViewId="0">
      <selection sqref="A1:G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5" t="s">
        <v>23</v>
      </c>
      <c r="B2" s="5" t="s">
        <v>24</v>
      </c>
      <c r="C2" s="5">
        <v>647</v>
      </c>
      <c r="D2" s="5">
        <v>473</v>
      </c>
      <c r="E2" s="5">
        <f t="shared" ref="E2:E33" si="0">SUM(C2:D2)</f>
        <v>1120</v>
      </c>
      <c r="F2" s="6">
        <f t="shared" ref="F2:F33" si="1">C2/E2</f>
        <v>0.57767857142857137</v>
      </c>
      <c r="G2" s="6">
        <f t="shared" ref="G2:G33" si="2">D2/E2</f>
        <v>0.42232142857142857</v>
      </c>
    </row>
    <row r="3" spans="1:7" x14ac:dyDescent="0.25">
      <c r="A3" s="5" t="s">
        <v>65</v>
      </c>
      <c r="B3" s="5" t="s">
        <v>66</v>
      </c>
      <c r="C3" s="5">
        <v>731</v>
      </c>
      <c r="D3" s="5">
        <v>385</v>
      </c>
      <c r="E3" s="5">
        <f t="shared" si="0"/>
        <v>1116</v>
      </c>
      <c r="F3" s="6">
        <f t="shared" si="1"/>
        <v>0.65501792114695345</v>
      </c>
      <c r="G3" s="6">
        <f t="shared" si="2"/>
        <v>0.3449820788530466</v>
      </c>
    </row>
    <row r="4" spans="1:7" x14ac:dyDescent="0.25">
      <c r="A4" s="5" t="s">
        <v>13</v>
      </c>
      <c r="B4" s="5" t="s">
        <v>14</v>
      </c>
      <c r="C4" s="5">
        <v>655</v>
      </c>
      <c r="D4" s="5">
        <v>461</v>
      </c>
      <c r="E4" s="5">
        <f t="shared" si="0"/>
        <v>1116</v>
      </c>
      <c r="F4" s="6">
        <f t="shared" si="1"/>
        <v>0.5869175627240143</v>
      </c>
      <c r="G4" s="6">
        <f t="shared" si="2"/>
        <v>0.41308243727598565</v>
      </c>
    </row>
    <row r="5" spans="1:7" x14ac:dyDescent="0.25">
      <c r="A5" s="5" t="s">
        <v>37</v>
      </c>
      <c r="B5" s="5" t="s">
        <v>38</v>
      </c>
      <c r="C5" s="5">
        <v>675</v>
      </c>
      <c r="D5" s="5">
        <v>431</v>
      </c>
      <c r="E5" s="5">
        <f t="shared" si="0"/>
        <v>1106</v>
      </c>
      <c r="F5" s="6">
        <f t="shared" si="1"/>
        <v>0.61030741410488243</v>
      </c>
      <c r="G5" s="6">
        <f t="shared" si="2"/>
        <v>0.38969258589511752</v>
      </c>
    </row>
    <row r="6" spans="1:7" x14ac:dyDescent="0.25">
      <c r="A6" s="5" t="s">
        <v>41</v>
      </c>
      <c r="B6" s="5" t="s">
        <v>42</v>
      </c>
      <c r="C6" s="5">
        <v>674</v>
      </c>
      <c r="D6" s="5">
        <v>423</v>
      </c>
      <c r="E6" s="5">
        <f t="shared" si="0"/>
        <v>1097</v>
      </c>
      <c r="F6" s="6">
        <f t="shared" si="1"/>
        <v>0.61440291704649042</v>
      </c>
      <c r="G6" s="6">
        <f t="shared" si="2"/>
        <v>0.38559708295350958</v>
      </c>
    </row>
    <row r="7" spans="1:7" x14ac:dyDescent="0.25">
      <c r="A7" s="5" t="s">
        <v>49</v>
      </c>
      <c r="B7" s="5" t="s">
        <v>50</v>
      </c>
      <c r="C7" s="5">
        <v>535</v>
      </c>
      <c r="D7" s="5">
        <v>489</v>
      </c>
      <c r="E7" s="5">
        <f t="shared" si="0"/>
        <v>1024</v>
      </c>
      <c r="F7" s="6">
        <f t="shared" si="1"/>
        <v>0.5224609375</v>
      </c>
      <c r="G7" s="6">
        <f t="shared" si="2"/>
        <v>0.4775390625</v>
      </c>
    </row>
    <row r="8" spans="1:7" x14ac:dyDescent="0.25">
      <c r="A8" s="5" t="s">
        <v>19</v>
      </c>
      <c r="B8" s="5" t="s">
        <v>20</v>
      </c>
      <c r="C8" s="5">
        <v>555</v>
      </c>
      <c r="D8" s="5">
        <v>436</v>
      </c>
      <c r="E8" s="5">
        <f t="shared" si="0"/>
        <v>991</v>
      </c>
      <c r="F8" s="6">
        <f t="shared" si="1"/>
        <v>0.56004036326942486</v>
      </c>
      <c r="G8" s="6">
        <f t="shared" si="2"/>
        <v>0.4399596367305752</v>
      </c>
    </row>
    <row r="9" spans="1:7" x14ac:dyDescent="0.25">
      <c r="A9" s="5" t="s">
        <v>43</v>
      </c>
      <c r="B9" s="5" t="s">
        <v>44</v>
      </c>
      <c r="C9" s="5">
        <v>607</v>
      </c>
      <c r="D9" s="5">
        <v>420</v>
      </c>
      <c r="E9" s="5">
        <f t="shared" si="0"/>
        <v>1027</v>
      </c>
      <c r="F9" s="6">
        <f t="shared" si="1"/>
        <v>0.59104186952288218</v>
      </c>
      <c r="G9" s="6">
        <f t="shared" si="2"/>
        <v>0.40895813047711782</v>
      </c>
    </row>
    <row r="10" spans="1:7" x14ac:dyDescent="0.25">
      <c r="A10" s="5" t="s">
        <v>33</v>
      </c>
      <c r="B10" s="5" t="s">
        <v>34</v>
      </c>
      <c r="C10" s="5">
        <v>521</v>
      </c>
      <c r="D10" s="5">
        <v>499</v>
      </c>
      <c r="E10" s="5">
        <f t="shared" si="0"/>
        <v>1020</v>
      </c>
      <c r="F10" s="6">
        <f t="shared" si="1"/>
        <v>0.51078431372549016</v>
      </c>
      <c r="G10" s="6">
        <f t="shared" si="2"/>
        <v>0.48921568627450979</v>
      </c>
    </row>
    <row r="11" spans="1:7" x14ac:dyDescent="0.25">
      <c r="A11" s="5" t="s">
        <v>29</v>
      </c>
      <c r="B11" s="5" t="s">
        <v>30</v>
      </c>
      <c r="C11" s="5">
        <v>593</v>
      </c>
      <c r="D11" s="5">
        <v>446</v>
      </c>
      <c r="E11" s="5">
        <f t="shared" si="0"/>
        <v>1039</v>
      </c>
      <c r="F11" s="6">
        <f t="shared" si="1"/>
        <v>0.57074109720885469</v>
      </c>
      <c r="G11" s="6">
        <f t="shared" si="2"/>
        <v>0.42925890279114531</v>
      </c>
    </row>
    <row r="12" spans="1:7" x14ac:dyDescent="0.25">
      <c r="A12" s="5" t="s">
        <v>7</v>
      </c>
      <c r="B12" s="5" t="s">
        <v>8</v>
      </c>
      <c r="C12" s="5">
        <v>591</v>
      </c>
      <c r="D12" s="5">
        <v>496</v>
      </c>
      <c r="E12" s="5">
        <f t="shared" si="0"/>
        <v>1087</v>
      </c>
      <c r="F12" s="6">
        <f t="shared" si="1"/>
        <v>0.54369825206991718</v>
      </c>
      <c r="G12" s="6">
        <f t="shared" si="2"/>
        <v>0.45630174793008282</v>
      </c>
    </row>
    <row r="13" spans="1:7" x14ac:dyDescent="0.25">
      <c r="A13" s="5" t="s">
        <v>57</v>
      </c>
      <c r="B13" s="5" t="s">
        <v>58</v>
      </c>
      <c r="C13" s="5">
        <v>494</v>
      </c>
      <c r="D13" s="5">
        <v>550</v>
      </c>
      <c r="E13" s="5">
        <f t="shared" si="0"/>
        <v>1044</v>
      </c>
      <c r="F13" s="6">
        <f t="shared" si="1"/>
        <v>0.47318007662835249</v>
      </c>
      <c r="G13" s="6">
        <f t="shared" si="2"/>
        <v>0.52681992337164751</v>
      </c>
    </row>
    <row r="14" spans="1:7" x14ac:dyDescent="0.25">
      <c r="A14" s="5" t="s">
        <v>61</v>
      </c>
      <c r="B14" s="5" t="s">
        <v>62</v>
      </c>
      <c r="C14" s="5">
        <v>514</v>
      </c>
      <c r="D14" s="5">
        <v>499</v>
      </c>
      <c r="E14" s="5">
        <f t="shared" si="0"/>
        <v>1013</v>
      </c>
      <c r="F14" s="6">
        <f t="shared" si="1"/>
        <v>0.50740375123395853</v>
      </c>
      <c r="G14" s="6">
        <f t="shared" si="2"/>
        <v>0.49259624876604147</v>
      </c>
    </row>
    <row r="15" spans="1:7" x14ac:dyDescent="0.25">
      <c r="A15" s="5" t="s">
        <v>47</v>
      </c>
      <c r="B15" s="5" t="s">
        <v>48</v>
      </c>
      <c r="C15" s="5">
        <v>604</v>
      </c>
      <c r="D15" s="5">
        <v>449</v>
      </c>
      <c r="E15" s="5">
        <f t="shared" si="0"/>
        <v>1053</v>
      </c>
      <c r="F15" s="6">
        <f t="shared" si="1"/>
        <v>0.57359924026590692</v>
      </c>
      <c r="G15" s="6">
        <f t="shared" si="2"/>
        <v>0.42640075973409308</v>
      </c>
    </row>
    <row r="16" spans="1:7" x14ac:dyDescent="0.25">
      <c r="A16" s="5" t="s">
        <v>67</v>
      </c>
      <c r="B16" s="5" t="s">
        <v>68</v>
      </c>
      <c r="C16" s="5">
        <v>535</v>
      </c>
      <c r="D16" s="5">
        <v>551</v>
      </c>
      <c r="E16" s="5">
        <f t="shared" si="0"/>
        <v>1086</v>
      </c>
      <c r="F16" s="6">
        <f t="shared" si="1"/>
        <v>0.49263351749539597</v>
      </c>
      <c r="G16" s="6">
        <f t="shared" si="2"/>
        <v>0.50736648250460403</v>
      </c>
    </row>
    <row r="17" spans="1:7" x14ac:dyDescent="0.25">
      <c r="A17" s="5" t="s">
        <v>63</v>
      </c>
      <c r="B17" s="5" t="s">
        <v>64</v>
      </c>
      <c r="C17" s="5">
        <v>495</v>
      </c>
      <c r="D17" s="5">
        <v>413</v>
      </c>
      <c r="E17" s="5">
        <f t="shared" si="0"/>
        <v>908</v>
      </c>
      <c r="F17" s="6">
        <f t="shared" si="1"/>
        <v>0.54515418502202639</v>
      </c>
      <c r="G17" s="6">
        <f t="shared" si="2"/>
        <v>0.45484581497797355</v>
      </c>
    </row>
    <row r="18" spans="1:7" x14ac:dyDescent="0.25">
      <c r="A18" s="5" t="s">
        <v>11</v>
      </c>
      <c r="B18" s="5" t="s">
        <v>12</v>
      </c>
      <c r="C18" s="5">
        <v>611</v>
      </c>
      <c r="D18" s="5">
        <v>517</v>
      </c>
      <c r="E18" s="5">
        <f t="shared" si="0"/>
        <v>1128</v>
      </c>
      <c r="F18" s="6">
        <f t="shared" si="1"/>
        <v>0.54166666666666663</v>
      </c>
      <c r="G18" s="6">
        <f t="shared" si="2"/>
        <v>0.45833333333333331</v>
      </c>
    </row>
    <row r="19" spans="1:7" x14ac:dyDescent="0.25">
      <c r="A19" s="5" t="s">
        <v>39</v>
      </c>
      <c r="B19" s="5" t="s">
        <v>40</v>
      </c>
      <c r="C19" s="5">
        <v>628</v>
      </c>
      <c r="D19" s="5">
        <v>414</v>
      </c>
      <c r="E19" s="5">
        <f t="shared" si="0"/>
        <v>1042</v>
      </c>
      <c r="F19" s="6">
        <f t="shared" si="1"/>
        <v>0.60268714011516311</v>
      </c>
      <c r="G19" s="6">
        <f t="shared" si="2"/>
        <v>0.39731285988483683</v>
      </c>
    </row>
    <row r="20" spans="1:7" x14ac:dyDescent="0.25">
      <c r="A20" s="5" t="s">
        <v>51</v>
      </c>
      <c r="B20" s="5" t="s">
        <v>52</v>
      </c>
      <c r="C20" s="5">
        <v>504</v>
      </c>
      <c r="D20" s="5">
        <v>510</v>
      </c>
      <c r="E20" s="5">
        <f t="shared" si="0"/>
        <v>1014</v>
      </c>
      <c r="F20" s="6">
        <f t="shared" si="1"/>
        <v>0.49704142011834318</v>
      </c>
      <c r="G20" s="6">
        <f t="shared" si="2"/>
        <v>0.50295857988165682</v>
      </c>
    </row>
    <row r="21" spans="1:7" x14ac:dyDescent="0.25">
      <c r="A21" s="5" t="s">
        <v>21</v>
      </c>
      <c r="B21" s="5" t="s">
        <v>22</v>
      </c>
      <c r="C21" s="5">
        <v>520</v>
      </c>
      <c r="D21" s="5">
        <v>485</v>
      </c>
      <c r="E21" s="5">
        <f t="shared" si="0"/>
        <v>1005</v>
      </c>
      <c r="F21" s="6">
        <f t="shared" si="1"/>
        <v>0.51741293532338306</v>
      </c>
      <c r="G21" s="6">
        <f t="shared" si="2"/>
        <v>0.48258706467661694</v>
      </c>
    </row>
    <row r="22" spans="1:7" x14ac:dyDescent="0.25">
      <c r="A22" s="5" t="s">
        <v>59</v>
      </c>
      <c r="B22" s="5" t="s">
        <v>60</v>
      </c>
      <c r="C22" s="5">
        <v>664</v>
      </c>
      <c r="D22" s="5">
        <v>411</v>
      </c>
      <c r="E22" s="5">
        <f t="shared" si="0"/>
        <v>1075</v>
      </c>
      <c r="F22" s="6">
        <f t="shared" si="1"/>
        <v>0.61767441860465111</v>
      </c>
      <c r="G22" s="6">
        <f t="shared" si="2"/>
        <v>0.38232558139534883</v>
      </c>
    </row>
    <row r="23" spans="1:7" x14ac:dyDescent="0.25">
      <c r="A23" s="5" t="s">
        <v>45</v>
      </c>
      <c r="B23" s="5" t="s">
        <v>46</v>
      </c>
      <c r="C23" s="5">
        <v>615</v>
      </c>
      <c r="D23" s="5">
        <v>442</v>
      </c>
      <c r="E23" s="5">
        <f t="shared" si="0"/>
        <v>1057</v>
      </c>
      <c r="F23" s="6">
        <f t="shared" si="1"/>
        <v>0.58183538315988648</v>
      </c>
      <c r="G23" s="6">
        <f t="shared" si="2"/>
        <v>0.41816461684011352</v>
      </c>
    </row>
    <row r="24" spans="1:7" x14ac:dyDescent="0.25">
      <c r="A24" s="5" t="s">
        <v>25</v>
      </c>
      <c r="B24" s="5" t="s">
        <v>26</v>
      </c>
      <c r="C24" s="5">
        <v>541</v>
      </c>
      <c r="D24" s="5">
        <v>455</v>
      </c>
      <c r="E24" s="5">
        <f t="shared" si="0"/>
        <v>996</v>
      </c>
      <c r="F24" s="6">
        <f t="shared" si="1"/>
        <v>0.54317269076305219</v>
      </c>
      <c r="G24" s="6">
        <f t="shared" si="2"/>
        <v>0.45682730923694781</v>
      </c>
    </row>
    <row r="25" spans="1:7" x14ac:dyDescent="0.25">
      <c r="A25" s="5" t="s">
        <v>2363</v>
      </c>
      <c r="B25" s="5" t="s">
        <v>70</v>
      </c>
      <c r="C25" s="5">
        <v>550</v>
      </c>
      <c r="D25" s="5">
        <v>477</v>
      </c>
      <c r="E25" s="5">
        <f t="shared" si="0"/>
        <v>1027</v>
      </c>
      <c r="F25" s="6">
        <f t="shared" si="1"/>
        <v>0.53554040895813049</v>
      </c>
      <c r="G25" s="6">
        <f t="shared" si="2"/>
        <v>0.46445959104186951</v>
      </c>
    </row>
    <row r="26" spans="1:7" x14ac:dyDescent="0.25">
      <c r="A26" s="5" t="s">
        <v>27</v>
      </c>
      <c r="B26" s="5" t="s">
        <v>28</v>
      </c>
      <c r="C26" s="5">
        <v>593</v>
      </c>
      <c r="D26" s="5">
        <v>427</v>
      </c>
      <c r="E26" s="5">
        <f t="shared" si="0"/>
        <v>1020</v>
      </c>
      <c r="F26" s="6">
        <f t="shared" si="1"/>
        <v>0.58137254901960789</v>
      </c>
      <c r="G26" s="6">
        <f t="shared" si="2"/>
        <v>0.41862745098039217</v>
      </c>
    </row>
    <row r="27" spans="1:7" x14ac:dyDescent="0.25">
      <c r="A27" s="5" t="s">
        <v>9</v>
      </c>
      <c r="B27" s="5" t="s">
        <v>10</v>
      </c>
      <c r="C27" s="5">
        <v>573</v>
      </c>
      <c r="D27" s="5">
        <v>393</v>
      </c>
      <c r="E27" s="5">
        <f t="shared" si="0"/>
        <v>966</v>
      </c>
      <c r="F27" s="6">
        <f t="shared" si="1"/>
        <v>0.59316770186335399</v>
      </c>
      <c r="G27" s="6">
        <f t="shared" si="2"/>
        <v>0.40683229813664595</v>
      </c>
    </row>
    <row r="28" spans="1:7" x14ac:dyDescent="0.25">
      <c r="A28" s="5" t="s">
        <v>17</v>
      </c>
      <c r="B28" s="5" t="s">
        <v>18</v>
      </c>
      <c r="C28" s="5">
        <v>542</v>
      </c>
      <c r="D28" s="5">
        <v>475</v>
      </c>
      <c r="E28" s="5">
        <f t="shared" si="0"/>
        <v>1017</v>
      </c>
      <c r="F28" s="6">
        <f t="shared" si="1"/>
        <v>0.53294001966568338</v>
      </c>
      <c r="G28" s="6">
        <f t="shared" si="2"/>
        <v>0.46705998033431662</v>
      </c>
    </row>
    <row r="29" spans="1:7" x14ac:dyDescent="0.25">
      <c r="A29" s="5" t="s">
        <v>55</v>
      </c>
      <c r="B29" s="5" t="s">
        <v>56</v>
      </c>
      <c r="C29" s="5">
        <v>603</v>
      </c>
      <c r="D29" s="5">
        <v>380</v>
      </c>
      <c r="E29" s="5">
        <f t="shared" si="0"/>
        <v>983</v>
      </c>
      <c r="F29" s="6">
        <f t="shared" si="1"/>
        <v>0.61342828077314349</v>
      </c>
      <c r="G29" s="6">
        <f t="shared" si="2"/>
        <v>0.38657171922685657</v>
      </c>
    </row>
    <row r="30" spans="1:7" x14ac:dyDescent="0.25">
      <c r="A30" s="5" t="s">
        <v>15</v>
      </c>
      <c r="B30" s="5" t="s">
        <v>16</v>
      </c>
      <c r="C30" s="5">
        <v>599</v>
      </c>
      <c r="D30" s="5">
        <v>455</v>
      </c>
      <c r="E30" s="5">
        <f t="shared" si="0"/>
        <v>1054</v>
      </c>
      <c r="F30" s="6">
        <f t="shared" si="1"/>
        <v>0.56831119544592035</v>
      </c>
      <c r="G30" s="6">
        <f t="shared" si="2"/>
        <v>0.43168880455407971</v>
      </c>
    </row>
    <row r="31" spans="1:7" x14ac:dyDescent="0.25">
      <c r="A31" s="5" t="s">
        <v>31</v>
      </c>
      <c r="B31" s="5" t="s">
        <v>32</v>
      </c>
      <c r="C31" s="5">
        <v>546</v>
      </c>
      <c r="D31" s="5">
        <v>420</v>
      </c>
      <c r="E31" s="5">
        <f t="shared" si="0"/>
        <v>966</v>
      </c>
      <c r="F31" s="6">
        <f t="shared" si="1"/>
        <v>0.56521739130434778</v>
      </c>
      <c r="G31" s="6">
        <f t="shared" si="2"/>
        <v>0.43478260869565216</v>
      </c>
    </row>
    <row r="32" spans="1:7" x14ac:dyDescent="0.25">
      <c r="A32" s="5" t="s">
        <v>53</v>
      </c>
      <c r="B32" s="5" t="s">
        <v>54</v>
      </c>
      <c r="C32" s="5">
        <v>593</v>
      </c>
      <c r="D32" s="5">
        <v>419</v>
      </c>
      <c r="E32" s="5">
        <f t="shared" si="0"/>
        <v>1012</v>
      </c>
      <c r="F32" s="6">
        <f t="shared" si="1"/>
        <v>0.58596837944664026</v>
      </c>
      <c r="G32" s="6">
        <f t="shared" si="2"/>
        <v>0.41403162055335968</v>
      </c>
    </row>
    <row r="33" spans="1:7" x14ac:dyDescent="0.25">
      <c r="A33" s="5" t="s">
        <v>35</v>
      </c>
      <c r="B33" s="5" t="s">
        <v>36</v>
      </c>
      <c r="C33" s="5">
        <v>604</v>
      </c>
      <c r="D33" s="5">
        <v>392</v>
      </c>
      <c r="E33" s="5">
        <f t="shared" si="0"/>
        <v>996</v>
      </c>
      <c r="F33" s="6">
        <f t="shared" si="1"/>
        <v>0.60642570281124497</v>
      </c>
      <c r="G33" s="6">
        <f t="shared" si="2"/>
        <v>0.39357429718875503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workbookViewId="0"/>
  </sheetViews>
  <sheetFormatPr defaultRowHeight="15" x14ac:dyDescent="0.25"/>
  <cols>
    <col min="1" max="1" width="19" customWidth="1"/>
    <col min="11" max="11" width="15.42578125" customWidth="1"/>
  </cols>
  <sheetData>
    <row r="1" spans="1:11" x14ac:dyDescent="0.25">
      <c r="A1" t="s">
        <v>71</v>
      </c>
      <c r="B1" t="s">
        <v>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t="s">
        <v>81</v>
      </c>
      <c r="B2" t="s">
        <v>26</v>
      </c>
      <c r="C2" t="s">
        <v>82</v>
      </c>
      <c r="D2">
        <v>388</v>
      </c>
      <c r="E2">
        <v>612</v>
      </c>
      <c r="F2">
        <v>63.4</v>
      </c>
      <c r="G2">
        <v>3931</v>
      </c>
      <c r="H2">
        <v>4.0999999999999996</v>
      </c>
      <c r="I2">
        <v>1.8</v>
      </c>
      <c r="J2">
        <v>6.4</v>
      </c>
      <c r="K2" s="3">
        <f>E2/(VLOOKUP(B2,'2025 Team'!$B$2:$G$33,2,FALSE))</f>
        <v>0.99836867862969003</v>
      </c>
    </row>
    <row r="3" spans="1:11" x14ac:dyDescent="0.25">
      <c r="A3" t="s">
        <v>83</v>
      </c>
      <c r="B3" t="s">
        <v>24</v>
      </c>
      <c r="C3" t="s">
        <v>82</v>
      </c>
      <c r="D3">
        <v>404</v>
      </c>
      <c r="E3">
        <v>600</v>
      </c>
      <c r="F3">
        <v>67.3</v>
      </c>
      <c r="G3">
        <v>4552</v>
      </c>
      <c r="H3">
        <v>5</v>
      </c>
      <c r="I3">
        <v>1.7</v>
      </c>
      <c r="J3">
        <v>7.6</v>
      </c>
      <c r="K3" s="3">
        <f>E3/(VLOOKUP(B3,'2025 Team'!$B$2:$G$33,2,FALSE))</f>
        <v>0.96153846153846156</v>
      </c>
    </row>
    <row r="4" spans="1:11" x14ac:dyDescent="0.25">
      <c r="A4" t="s">
        <v>84</v>
      </c>
      <c r="B4" t="s">
        <v>44</v>
      </c>
      <c r="C4" t="s">
        <v>82</v>
      </c>
      <c r="D4">
        <v>388</v>
      </c>
      <c r="E4">
        <v>597</v>
      </c>
      <c r="F4">
        <v>65</v>
      </c>
      <c r="G4">
        <v>4707</v>
      </c>
      <c r="H4">
        <v>7.7</v>
      </c>
      <c r="I4">
        <v>1.3</v>
      </c>
      <c r="J4">
        <v>7.9</v>
      </c>
      <c r="K4" s="3">
        <f>E4/(VLOOKUP(B4,'2025 Team'!$B$2:$G$33,2,FALSE))</f>
        <v>0.99832775919732442</v>
      </c>
    </row>
    <row r="5" spans="1:11" x14ac:dyDescent="0.25">
      <c r="A5" t="s">
        <v>85</v>
      </c>
      <c r="B5" t="s">
        <v>28</v>
      </c>
      <c r="C5" t="s">
        <v>82</v>
      </c>
      <c r="D5">
        <v>393</v>
      </c>
      <c r="E5">
        <v>578</v>
      </c>
      <c r="F5">
        <v>68</v>
      </c>
      <c r="G5">
        <v>4564</v>
      </c>
      <c r="H5">
        <v>5.9</v>
      </c>
      <c r="I5">
        <v>1.4</v>
      </c>
      <c r="J5">
        <v>7.9</v>
      </c>
      <c r="K5" s="3">
        <f>E5/(VLOOKUP(B5,'2025 Team'!$B$2:$G$33,2,FALSE))</f>
        <v>0.99312714776632305</v>
      </c>
    </row>
    <row r="6" spans="1:11" x14ac:dyDescent="0.25">
      <c r="A6" t="s">
        <v>86</v>
      </c>
      <c r="B6" t="s">
        <v>18</v>
      </c>
      <c r="C6" t="s">
        <v>82</v>
      </c>
      <c r="D6">
        <v>330</v>
      </c>
      <c r="E6">
        <v>568</v>
      </c>
      <c r="F6">
        <v>58.1</v>
      </c>
      <c r="G6">
        <v>3942</v>
      </c>
      <c r="H6">
        <v>4.8</v>
      </c>
      <c r="I6">
        <v>1.2</v>
      </c>
      <c r="J6">
        <v>6.9</v>
      </c>
      <c r="K6" s="3">
        <f>E6/(VLOOKUP(B6,'2025 Team'!$B$2:$G$33,2,FALSE))</f>
        <v>0.98954703832752611</v>
      </c>
    </row>
    <row r="7" spans="1:11" x14ac:dyDescent="0.25">
      <c r="A7" t="s">
        <v>87</v>
      </c>
      <c r="B7" t="s">
        <v>36</v>
      </c>
      <c r="C7" t="s">
        <v>82</v>
      </c>
      <c r="D7">
        <v>341</v>
      </c>
      <c r="E7">
        <v>560</v>
      </c>
      <c r="F7">
        <v>60.9</v>
      </c>
      <c r="G7">
        <v>4007</v>
      </c>
      <c r="H7">
        <v>5.2</v>
      </c>
      <c r="I7">
        <v>2.1</v>
      </c>
      <c r="J7">
        <v>7.2</v>
      </c>
      <c r="K7" s="3">
        <f>E7/(VLOOKUP(B7,'2025 Team'!$B$2:$G$33,2,FALSE))</f>
        <v>0.99467140319715808</v>
      </c>
    </row>
    <row r="8" spans="1:11" x14ac:dyDescent="0.25">
      <c r="A8" t="s">
        <v>88</v>
      </c>
      <c r="B8" t="s">
        <v>66</v>
      </c>
      <c r="C8" t="s">
        <v>82</v>
      </c>
      <c r="D8">
        <v>343</v>
      </c>
      <c r="E8">
        <v>543</v>
      </c>
      <c r="F8">
        <v>63.2</v>
      </c>
      <c r="G8">
        <v>3693</v>
      </c>
      <c r="H8">
        <v>4.8</v>
      </c>
      <c r="I8">
        <v>2</v>
      </c>
      <c r="J8">
        <v>6.8</v>
      </c>
      <c r="K8" s="3">
        <f>E8/(VLOOKUP(B8,'2025 Team'!$B$2:$G$33,2,FALSE))</f>
        <v>0.9731182795698925</v>
      </c>
    </row>
    <row r="9" spans="1:11" x14ac:dyDescent="0.25">
      <c r="A9" t="s">
        <v>89</v>
      </c>
      <c r="B9" t="s">
        <v>68</v>
      </c>
      <c r="C9" t="s">
        <v>82</v>
      </c>
      <c r="D9">
        <v>323</v>
      </c>
      <c r="E9">
        <v>540</v>
      </c>
      <c r="F9">
        <v>59.8</v>
      </c>
      <c r="G9">
        <v>3169</v>
      </c>
      <c r="H9">
        <v>2.8</v>
      </c>
      <c r="I9">
        <v>1.3</v>
      </c>
      <c r="J9">
        <v>5.9</v>
      </c>
      <c r="K9" s="3">
        <f>E9/(VLOOKUP(B9,'2025 Team'!$B$2:$G$33,2,FALSE))</f>
        <v>0.94736842105263153</v>
      </c>
    </row>
    <row r="10" spans="1:11" x14ac:dyDescent="0.25">
      <c r="A10" t="s">
        <v>90</v>
      </c>
      <c r="B10" t="s">
        <v>42</v>
      </c>
      <c r="C10" t="s">
        <v>82</v>
      </c>
      <c r="D10">
        <v>340</v>
      </c>
      <c r="E10">
        <v>512</v>
      </c>
      <c r="F10">
        <v>66.400000000000006</v>
      </c>
      <c r="G10">
        <v>3727</v>
      </c>
      <c r="H10">
        <v>5.0999999999999996</v>
      </c>
      <c r="I10">
        <v>2.5</v>
      </c>
      <c r="J10">
        <v>7.3</v>
      </c>
      <c r="K10" s="3">
        <f>E10/(VLOOKUP(B10,'2025 Team'!$B$2:$G$33,2,FALSE))</f>
        <v>0.89982425307557112</v>
      </c>
    </row>
    <row r="11" spans="1:11" x14ac:dyDescent="0.25">
      <c r="A11" t="s">
        <v>91</v>
      </c>
      <c r="B11" t="s">
        <v>38</v>
      </c>
      <c r="C11" t="s">
        <v>82</v>
      </c>
      <c r="D11">
        <v>315</v>
      </c>
      <c r="E11">
        <v>502</v>
      </c>
      <c r="F11">
        <v>62.7</v>
      </c>
      <c r="G11">
        <v>3587</v>
      </c>
      <c r="H11">
        <v>4.4000000000000004</v>
      </c>
      <c r="I11">
        <v>2.2000000000000002</v>
      </c>
      <c r="J11">
        <v>7.1</v>
      </c>
      <c r="K11" s="3">
        <f>E11/(VLOOKUP(B11,'2025 Team'!$B$2:$G$33,2,FALSE))</f>
        <v>0.8595890410958904</v>
      </c>
    </row>
    <row r="12" spans="1:11" x14ac:dyDescent="0.25">
      <c r="A12" t="s">
        <v>92</v>
      </c>
      <c r="B12" t="s">
        <v>60</v>
      </c>
      <c r="C12" t="s">
        <v>82</v>
      </c>
      <c r="D12">
        <v>327</v>
      </c>
      <c r="E12">
        <v>498</v>
      </c>
      <c r="F12">
        <v>65.7</v>
      </c>
      <c r="G12">
        <v>3322</v>
      </c>
      <c r="H12">
        <v>4.8</v>
      </c>
      <c r="I12">
        <v>1.4</v>
      </c>
      <c r="J12">
        <v>6.7</v>
      </c>
      <c r="K12" s="3">
        <f>E12/(VLOOKUP(B12,'2025 Team'!$B$2:$G$33,2,FALSE))</f>
        <v>0.9054545454545454</v>
      </c>
    </row>
    <row r="13" spans="1:11" x14ac:dyDescent="0.25">
      <c r="A13" t="s">
        <v>93</v>
      </c>
      <c r="B13" t="s">
        <v>50</v>
      </c>
      <c r="C13" t="s">
        <v>82</v>
      </c>
      <c r="D13">
        <v>354</v>
      </c>
      <c r="E13">
        <v>492</v>
      </c>
      <c r="F13">
        <v>72</v>
      </c>
      <c r="G13">
        <v>4394</v>
      </c>
      <c r="H13">
        <v>6.3</v>
      </c>
      <c r="I13">
        <v>1.6</v>
      </c>
      <c r="J13">
        <v>8.9</v>
      </c>
      <c r="K13" s="3">
        <f>E13/(VLOOKUP(B13,'2025 Team'!$B$2:$G$33,2,FALSE))</f>
        <v>0.98007968127490042</v>
      </c>
    </row>
    <row r="14" spans="1:11" x14ac:dyDescent="0.25">
      <c r="A14" t="s">
        <v>94</v>
      </c>
      <c r="B14" t="s">
        <v>8</v>
      </c>
      <c r="C14" t="s">
        <v>82</v>
      </c>
      <c r="D14">
        <v>315</v>
      </c>
      <c r="E14">
        <v>485</v>
      </c>
      <c r="F14">
        <v>64.900000000000006</v>
      </c>
      <c r="G14">
        <v>3366</v>
      </c>
      <c r="H14">
        <v>4.7</v>
      </c>
      <c r="I14">
        <v>1.6</v>
      </c>
      <c r="J14">
        <v>6.9</v>
      </c>
      <c r="K14" s="3">
        <f>E14/(VLOOKUP(B14,'2025 Team'!$B$2:$G$33,2,FALSE))</f>
        <v>0.74730354391371345</v>
      </c>
    </row>
    <row r="15" spans="1:11" x14ac:dyDescent="0.25">
      <c r="A15" t="s">
        <v>95</v>
      </c>
      <c r="B15" t="s">
        <v>16</v>
      </c>
      <c r="C15" t="s">
        <v>82</v>
      </c>
      <c r="D15">
        <v>304</v>
      </c>
      <c r="E15">
        <v>478</v>
      </c>
      <c r="F15">
        <v>63.6</v>
      </c>
      <c r="G15">
        <v>3011</v>
      </c>
      <c r="H15">
        <v>4.8</v>
      </c>
      <c r="I15">
        <v>2.2999999999999998</v>
      </c>
      <c r="J15">
        <v>6.3</v>
      </c>
      <c r="K15" s="3">
        <f>E15/(VLOOKUP(B15,'2025 Team'!$B$2:$G$33,2,FALSE))</f>
        <v>0.92815533980582521</v>
      </c>
    </row>
    <row r="16" spans="1:11" x14ac:dyDescent="0.25">
      <c r="A16" t="s">
        <v>96</v>
      </c>
      <c r="B16" t="s">
        <v>64</v>
      </c>
      <c r="C16" t="s">
        <v>82</v>
      </c>
      <c r="D16">
        <v>323</v>
      </c>
      <c r="E16">
        <v>477</v>
      </c>
      <c r="F16">
        <v>67.7</v>
      </c>
      <c r="G16">
        <v>4048</v>
      </c>
      <c r="H16">
        <v>5.2</v>
      </c>
      <c r="I16">
        <v>2.9</v>
      </c>
      <c r="J16">
        <v>8.5</v>
      </c>
      <c r="K16" s="3">
        <f>E16/(VLOOKUP(B16,'2025 Team'!$B$2:$G$33,2,FALSE))</f>
        <v>0.99168399168399168</v>
      </c>
    </row>
    <row r="17" spans="1:11" x14ac:dyDescent="0.25">
      <c r="A17" t="s">
        <v>97</v>
      </c>
      <c r="B17" t="s">
        <v>14</v>
      </c>
      <c r="C17" t="s">
        <v>82</v>
      </c>
      <c r="D17">
        <v>319</v>
      </c>
      <c r="E17">
        <v>460</v>
      </c>
      <c r="F17">
        <v>69.3</v>
      </c>
      <c r="G17">
        <v>3668</v>
      </c>
      <c r="H17">
        <v>5.4</v>
      </c>
      <c r="I17">
        <v>2.2000000000000002</v>
      </c>
      <c r="J17">
        <v>8</v>
      </c>
      <c r="K17" s="3">
        <f>E17/(VLOOKUP(B17,'2025 Team'!$B$2:$G$33,2,FALSE))</f>
        <v>0.92929292929292928</v>
      </c>
    </row>
    <row r="18" spans="1:11" x14ac:dyDescent="0.25">
      <c r="A18" t="s">
        <v>98</v>
      </c>
      <c r="B18" t="s">
        <v>58</v>
      </c>
      <c r="C18" t="s">
        <v>82</v>
      </c>
      <c r="D18">
        <v>294</v>
      </c>
      <c r="E18">
        <v>454</v>
      </c>
      <c r="F18">
        <v>64.8</v>
      </c>
      <c r="G18">
        <v>3224</v>
      </c>
      <c r="H18">
        <v>5.5</v>
      </c>
      <c r="I18">
        <v>1.3</v>
      </c>
      <c r="J18">
        <v>7.1</v>
      </c>
      <c r="K18" s="3">
        <f>E18/(VLOOKUP(B18,'2025 Team'!$B$2:$G$33,2,FALSE))</f>
        <v>0.91348088531187122</v>
      </c>
    </row>
    <row r="19" spans="1:11" x14ac:dyDescent="0.25">
      <c r="A19" t="s">
        <v>99</v>
      </c>
      <c r="B19" t="s">
        <v>40</v>
      </c>
      <c r="C19" t="s">
        <v>82</v>
      </c>
      <c r="D19">
        <v>302</v>
      </c>
      <c r="E19">
        <v>448</v>
      </c>
      <c r="F19">
        <v>67.400000000000006</v>
      </c>
      <c r="G19">
        <v>3025</v>
      </c>
      <c r="H19">
        <v>4.2</v>
      </c>
      <c r="I19">
        <v>3.8</v>
      </c>
      <c r="J19">
        <v>6.8</v>
      </c>
      <c r="K19" s="3">
        <f>E19/(VLOOKUP(B19,'2025 Team'!$B$2:$G$33,2,FALSE))</f>
        <v>0.86990291262135921</v>
      </c>
    </row>
    <row r="20" spans="1:11" x14ac:dyDescent="0.25">
      <c r="A20" t="s">
        <v>100</v>
      </c>
      <c r="B20" t="s">
        <v>30</v>
      </c>
      <c r="C20" t="s">
        <v>82</v>
      </c>
      <c r="D20">
        <v>291</v>
      </c>
      <c r="E20">
        <v>439</v>
      </c>
      <c r="F20">
        <v>66.3</v>
      </c>
      <c r="G20">
        <v>3381</v>
      </c>
      <c r="H20">
        <v>5.2</v>
      </c>
      <c r="I20">
        <v>1.4</v>
      </c>
      <c r="J20">
        <v>7.7</v>
      </c>
      <c r="K20" s="3">
        <f>E20/(VLOOKUP(B20,'2025 Team'!$B$2:$G$33,2,FALSE))</f>
        <v>0.89775051124744376</v>
      </c>
    </row>
    <row r="21" spans="1:11" x14ac:dyDescent="0.25">
      <c r="A21" t="s">
        <v>101</v>
      </c>
      <c r="B21" t="s">
        <v>32</v>
      </c>
      <c r="C21" t="s">
        <v>82</v>
      </c>
      <c r="D21">
        <v>273</v>
      </c>
      <c r="E21">
        <v>423</v>
      </c>
      <c r="F21">
        <v>64.5</v>
      </c>
      <c r="G21">
        <v>3041</v>
      </c>
      <c r="H21">
        <v>4.5</v>
      </c>
      <c r="I21">
        <v>1.9</v>
      </c>
      <c r="J21">
        <v>7.2</v>
      </c>
      <c r="K21" s="3">
        <f>E21/(VLOOKUP(B21,'2025 Team'!$B$2:$G$33,2,FALSE))</f>
        <v>0.72680412371134018</v>
      </c>
    </row>
    <row r="22" spans="1:11" x14ac:dyDescent="0.25">
      <c r="A22" t="s">
        <v>102</v>
      </c>
      <c r="B22" t="s">
        <v>34</v>
      </c>
      <c r="C22" t="s">
        <v>82</v>
      </c>
      <c r="D22">
        <v>261</v>
      </c>
      <c r="E22">
        <v>384</v>
      </c>
      <c r="F22">
        <v>68</v>
      </c>
      <c r="G22">
        <v>3101</v>
      </c>
      <c r="H22">
        <v>4.9000000000000004</v>
      </c>
      <c r="I22">
        <v>2.1</v>
      </c>
      <c r="J22">
        <v>8.1</v>
      </c>
      <c r="K22" s="3">
        <f>E22/(VLOOKUP(B22,'2025 Team'!$B$2:$G$33,2,FALSE))</f>
        <v>0.70201096892138937</v>
      </c>
    </row>
    <row r="23" spans="1:11" x14ac:dyDescent="0.25">
      <c r="A23" t="s">
        <v>103</v>
      </c>
      <c r="B23" t="s">
        <v>46</v>
      </c>
      <c r="C23" t="s">
        <v>82</v>
      </c>
      <c r="D23">
        <v>260</v>
      </c>
      <c r="E23">
        <v>384</v>
      </c>
      <c r="F23">
        <v>67.7</v>
      </c>
      <c r="G23">
        <v>2660</v>
      </c>
      <c r="H23">
        <v>5.2</v>
      </c>
      <c r="I23">
        <v>3.9</v>
      </c>
      <c r="J23">
        <v>6.9</v>
      </c>
      <c r="K23" s="3">
        <f>E23/(VLOOKUP(B23,'2025 Team'!$B$2:$G$33,2,FALSE))</f>
        <v>0.80167014613778709</v>
      </c>
    </row>
    <row r="24" spans="1:11" x14ac:dyDescent="0.25">
      <c r="A24" t="s">
        <v>104</v>
      </c>
      <c r="B24" t="s">
        <v>54</v>
      </c>
      <c r="C24" t="s">
        <v>82</v>
      </c>
      <c r="D24">
        <v>216</v>
      </c>
      <c r="E24">
        <v>339</v>
      </c>
      <c r="F24">
        <v>63.7</v>
      </c>
      <c r="G24">
        <v>2272</v>
      </c>
      <c r="H24">
        <v>4.4000000000000004</v>
      </c>
      <c r="I24">
        <v>1.5</v>
      </c>
      <c r="J24">
        <v>6.7</v>
      </c>
      <c r="K24" s="3">
        <f>E24/(VLOOKUP(B24,'2025 Team'!$B$2:$G$33,2,FALSE))</f>
        <v>0.64448669201520914</v>
      </c>
    </row>
    <row r="25" spans="1:11" x14ac:dyDescent="0.25">
      <c r="A25" t="s">
        <v>105</v>
      </c>
      <c r="B25" t="s">
        <v>52</v>
      </c>
      <c r="C25" t="s">
        <v>82</v>
      </c>
      <c r="D25">
        <v>221</v>
      </c>
      <c r="E25">
        <v>327</v>
      </c>
      <c r="F25">
        <v>67.599999999999994</v>
      </c>
      <c r="G25">
        <v>2384</v>
      </c>
      <c r="H25">
        <v>3.1</v>
      </c>
      <c r="I25">
        <v>1.8</v>
      </c>
      <c r="J25">
        <v>7.3</v>
      </c>
      <c r="K25" s="3">
        <f>E25/(VLOOKUP(B25,'2025 Team'!$B$2:$G$33,2,FALSE))</f>
        <v>0.5532994923857868</v>
      </c>
    </row>
    <row r="26" spans="1:11" x14ac:dyDescent="0.25">
      <c r="A26" t="s">
        <v>106</v>
      </c>
      <c r="B26" t="s">
        <v>12</v>
      </c>
      <c r="C26" t="s">
        <v>82</v>
      </c>
      <c r="D26">
        <v>192</v>
      </c>
      <c r="E26">
        <v>302</v>
      </c>
      <c r="F26">
        <v>63.6</v>
      </c>
      <c r="G26">
        <v>2549</v>
      </c>
      <c r="H26">
        <v>7</v>
      </c>
      <c r="I26">
        <v>2.2999999999999998</v>
      </c>
      <c r="J26">
        <v>8.4</v>
      </c>
      <c r="K26" s="3">
        <f>E26/(VLOOKUP(B26,'2025 Team'!$B$2:$G$33,2,FALSE))</f>
        <v>0.71563981042654023</v>
      </c>
    </row>
    <row r="27" spans="1:11" x14ac:dyDescent="0.25">
      <c r="A27" t="s">
        <v>107</v>
      </c>
      <c r="B27" t="s">
        <v>62</v>
      </c>
      <c r="C27" t="s">
        <v>82</v>
      </c>
      <c r="D27">
        <v>201</v>
      </c>
      <c r="E27">
        <v>289</v>
      </c>
      <c r="F27">
        <v>69.599999999999994</v>
      </c>
      <c r="G27">
        <v>2151</v>
      </c>
      <c r="H27">
        <v>4.5</v>
      </c>
      <c r="I27">
        <v>2.1</v>
      </c>
      <c r="J27">
        <v>7.4</v>
      </c>
      <c r="K27" s="3">
        <f>E27/(VLOOKUP(B27,'2025 Team'!$B$2:$G$33,2,FALSE))</f>
        <v>0.50348432055749126</v>
      </c>
    </row>
    <row r="28" spans="1:11" x14ac:dyDescent="0.25">
      <c r="A28" t="s">
        <v>108</v>
      </c>
      <c r="B28" t="s">
        <v>62</v>
      </c>
      <c r="C28" t="s">
        <v>82</v>
      </c>
      <c r="D28">
        <v>197</v>
      </c>
      <c r="E28">
        <v>284</v>
      </c>
      <c r="F28">
        <v>69.400000000000006</v>
      </c>
      <c r="G28">
        <v>2167</v>
      </c>
      <c r="H28">
        <v>7</v>
      </c>
      <c r="I28">
        <v>3.5</v>
      </c>
      <c r="J28">
        <v>7.6</v>
      </c>
      <c r="K28" s="3">
        <f>E28/(VLOOKUP(B28,'2025 Team'!$B$2:$G$33,2,FALSE))</f>
        <v>0.49477351916376305</v>
      </c>
    </row>
    <row r="29" spans="1:11" x14ac:dyDescent="0.25">
      <c r="A29" t="s">
        <v>109</v>
      </c>
      <c r="B29" t="s">
        <v>10</v>
      </c>
      <c r="C29" t="s">
        <v>82</v>
      </c>
      <c r="D29">
        <v>166</v>
      </c>
      <c r="E29">
        <v>276</v>
      </c>
      <c r="F29">
        <v>60.1</v>
      </c>
      <c r="G29">
        <v>1982</v>
      </c>
      <c r="H29">
        <v>3.3</v>
      </c>
      <c r="I29">
        <v>1.1000000000000001</v>
      </c>
      <c r="J29">
        <v>7.2</v>
      </c>
      <c r="K29" s="3">
        <f>E29/(VLOOKUP(B29,'2025 Team'!$B$2:$G$33,2,FALSE))</f>
        <v>0.50642201834862388</v>
      </c>
    </row>
    <row r="30" spans="1:11" x14ac:dyDescent="0.25">
      <c r="A30" t="s">
        <v>110</v>
      </c>
      <c r="B30" t="s">
        <v>10</v>
      </c>
      <c r="C30" t="s">
        <v>82</v>
      </c>
      <c r="D30">
        <v>166</v>
      </c>
      <c r="E30">
        <v>269</v>
      </c>
      <c r="F30">
        <v>61.7</v>
      </c>
      <c r="G30">
        <v>1721</v>
      </c>
      <c r="H30">
        <v>3.7</v>
      </c>
      <c r="I30">
        <v>1.9</v>
      </c>
      <c r="J30">
        <v>6.4</v>
      </c>
      <c r="K30" s="3">
        <f>E30/(VLOOKUP(B30,'2025 Team'!$B$2:$G$33,2,FALSE))</f>
        <v>0.49357798165137617</v>
      </c>
    </row>
    <row r="31" spans="1:11" x14ac:dyDescent="0.25">
      <c r="A31" t="s">
        <v>111</v>
      </c>
      <c r="B31" t="s">
        <v>20</v>
      </c>
      <c r="C31" t="s">
        <v>82</v>
      </c>
      <c r="D31">
        <v>173</v>
      </c>
      <c r="E31">
        <v>259</v>
      </c>
      <c r="F31">
        <v>66.8</v>
      </c>
      <c r="G31">
        <v>1809</v>
      </c>
      <c r="H31">
        <v>6.6</v>
      </c>
      <c r="I31">
        <v>1.9</v>
      </c>
      <c r="J31">
        <v>7</v>
      </c>
      <c r="K31" s="3">
        <f>E31/(VLOOKUP(B31,'2025 Team'!$B$2:$G$33,2,FALSE))</f>
        <v>0.40468749999999998</v>
      </c>
    </row>
    <row r="32" spans="1:11" x14ac:dyDescent="0.25">
      <c r="A32" t="s">
        <v>112</v>
      </c>
      <c r="B32" t="s">
        <v>52</v>
      </c>
      <c r="C32" t="s">
        <v>82</v>
      </c>
      <c r="D32">
        <v>174</v>
      </c>
      <c r="E32">
        <v>257</v>
      </c>
      <c r="F32">
        <v>67.7</v>
      </c>
      <c r="G32">
        <v>1586</v>
      </c>
      <c r="H32">
        <v>3.1</v>
      </c>
      <c r="I32">
        <v>1.9</v>
      </c>
      <c r="J32">
        <v>6.2</v>
      </c>
      <c r="K32" s="3">
        <f>E32/(VLOOKUP(B32,'2025 Team'!$B$2:$G$33,2,FALSE))</f>
        <v>0.43485617597292725</v>
      </c>
    </row>
    <row r="33" spans="1:11" x14ac:dyDescent="0.25">
      <c r="A33" t="s">
        <v>113</v>
      </c>
      <c r="B33" t="s">
        <v>20</v>
      </c>
      <c r="C33" t="s">
        <v>82</v>
      </c>
      <c r="D33">
        <v>158</v>
      </c>
      <c r="E33">
        <v>256</v>
      </c>
      <c r="F33">
        <v>61.7</v>
      </c>
      <c r="G33">
        <v>1664</v>
      </c>
      <c r="H33">
        <v>5.0999999999999996</v>
      </c>
      <c r="I33">
        <v>1.6</v>
      </c>
      <c r="J33">
        <v>6.5</v>
      </c>
      <c r="K33" s="3">
        <f>E33/(VLOOKUP(B33,'2025 Team'!$B$2:$G$33,2,FALSE))</f>
        <v>0.4</v>
      </c>
    </row>
    <row r="34" spans="1:11" x14ac:dyDescent="0.25">
      <c r="A34" t="s">
        <v>114</v>
      </c>
      <c r="B34" t="s">
        <v>48</v>
      </c>
      <c r="C34" t="s">
        <v>82</v>
      </c>
      <c r="D34">
        <v>140</v>
      </c>
      <c r="E34">
        <v>243</v>
      </c>
      <c r="F34">
        <v>57.6</v>
      </c>
      <c r="G34">
        <v>1632</v>
      </c>
      <c r="H34">
        <v>4.5</v>
      </c>
      <c r="I34">
        <v>4.9000000000000004</v>
      </c>
      <c r="J34">
        <v>6.7</v>
      </c>
      <c r="K34" s="3">
        <f>E34/(VLOOKUP(B34,'2025 Team'!$B$2:$G$33,2,FALSE))</f>
        <v>0.50206611570247939</v>
      </c>
    </row>
    <row r="35" spans="1:11" x14ac:dyDescent="0.25">
      <c r="A35" t="s">
        <v>115</v>
      </c>
      <c r="B35" t="s">
        <v>70</v>
      </c>
      <c r="C35" t="s">
        <v>82</v>
      </c>
      <c r="D35">
        <v>139</v>
      </c>
      <c r="E35">
        <v>227</v>
      </c>
      <c r="F35">
        <v>61.2</v>
      </c>
      <c r="G35">
        <v>1695</v>
      </c>
      <c r="H35">
        <v>4.4000000000000004</v>
      </c>
      <c r="I35">
        <v>3.1</v>
      </c>
      <c r="J35">
        <v>7.5</v>
      </c>
      <c r="K35" s="3">
        <f>E35/(VLOOKUP(B35,'2025 Team'!$B$2:$G$33,2,FALSE))</f>
        <v>0.48400852878464817</v>
      </c>
    </row>
    <row r="36" spans="1:11" x14ac:dyDescent="0.25">
      <c r="A36" t="s">
        <v>116</v>
      </c>
      <c r="B36" t="s">
        <v>22</v>
      </c>
      <c r="C36" t="s">
        <v>82</v>
      </c>
      <c r="D36">
        <v>120</v>
      </c>
      <c r="E36">
        <v>212</v>
      </c>
      <c r="F36">
        <v>56.6</v>
      </c>
      <c r="G36">
        <v>1400</v>
      </c>
      <c r="H36">
        <v>3.3</v>
      </c>
      <c r="I36">
        <v>4.7</v>
      </c>
      <c r="J36">
        <v>6.6</v>
      </c>
      <c r="K36" s="3">
        <f>E36/(VLOOKUP(B36,'2025 Team'!$B$2:$G$33,2,FALSE))</f>
        <v>0.37992831541218636</v>
      </c>
    </row>
    <row r="37" spans="1:11" x14ac:dyDescent="0.25">
      <c r="A37" t="s">
        <v>117</v>
      </c>
      <c r="B37" t="s">
        <v>56</v>
      </c>
      <c r="C37" t="s">
        <v>82</v>
      </c>
      <c r="D37">
        <v>128</v>
      </c>
      <c r="E37">
        <v>204</v>
      </c>
      <c r="F37">
        <v>62.7</v>
      </c>
      <c r="G37">
        <v>1259</v>
      </c>
      <c r="H37">
        <v>3.4</v>
      </c>
      <c r="I37">
        <v>0.5</v>
      </c>
      <c r="J37">
        <v>6.2</v>
      </c>
      <c r="K37" s="3">
        <f>E37/(VLOOKUP(B37,'2025 Team'!$B$2:$G$33,2,FALSE))</f>
        <v>0.41295546558704455</v>
      </c>
    </row>
    <row r="38" spans="1:11" x14ac:dyDescent="0.25">
      <c r="A38" t="s">
        <v>118</v>
      </c>
      <c r="B38" t="s">
        <v>70</v>
      </c>
      <c r="C38" t="s">
        <v>82</v>
      </c>
      <c r="D38">
        <v>114</v>
      </c>
      <c r="E38">
        <v>188</v>
      </c>
      <c r="F38">
        <v>60.6</v>
      </c>
      <c r="G38">
        <v>1262</v>
      </c>
      <c r="H38">
        <v>4.3</v>
      </c>
      <c r="I38">
        <v>1.6</v>
      </c>
      <c r="J38">
        <v>6.7</v>
      </c>
      <c r="K38" s="3">
        <f>E38/(VLOOKUP(B38,'2025 Team'!$B$2:$G$33,2,FALSE))</f>
        <v>0.40085287846481876</v>
      </c>
    </row>
    <row r="39" spans="1:11" x14ac:dyDescent="0.25">
      <c r="A39" t="s">
        <v>119</v>
      </c>
      <c r="B39" t="s">
        <v>22</v>
      </c>
      <c r="C39" t="s">
        <v>82</v>
      </c>
      <c r="D39">
        <v>110</v>
      </c>
      <c r="E39">
        <v>185</v>
      </c>
      <c r="F39">
        <v>59.5</v>
      </c>
      <c r="G39">
        <v>937</v>
      </c>
      <c r="H39">
        <v>3.8</v>
      </c>
      <c r="I39">
        <v>1.1000000000000001</v>
      </c>
      <c r="J39">
        <v>5.0999999999999996</v>
      </c>
      <c r="K39" s="3">
        <f>E39/(VLOOKUP(B39,'2025 Team'!$B$2:$G$33,2,FALSE))</f>
        <v>0.33154121863799285</v>
      </c>
    </row>
    <row r="40" spans="1:11" x14ac:dyDescent="0.25">
      <c r="A40" t="s">
        <v>120</v>
      </c>
      <c r="B40" t="s">
        <v>48</v>
      </c>
      <c r="C40" t="s">
        <v>82</v>
      </c>
      <c r="D40">
        <v>110</v>
      </c>
      <c r="E40">
        <v>169</v>
      </c>
      <c r="F40">
        <v>65.099999999999994</v>
      </c>
      <c r="G40">
        <v>1216</v>
      </c>
      <c r="H40">
        <v>3.6</v>
      </c>
      <c r="I40">
        <v>3</v>
      </c>
      <c r="J40">
        <v>7.2</v>
      </c>
      <c r="K40" s="3">
        <f>E40/(VLOOKUP(B40,'2025 Team'!$B$2:$G$33,2,FALSE))</f>
        <v>0.34917355371900827</v>
      </c>
    </row>
    <row r="41" spans="1:11" x14ac:dyDescent="0.25">
      <c r="A41" t="s">
        <v>121</v>
      </c>
      <c r="B41" t="s">
        <v>8</v>
      </c>
      <c r="C41" t="s">
        <v>82</v>
      </c>
      <c r="D41">
        <v>110</v>
      </c>
      <c r="E41">
        <v>161</v>
      </c>
      <c r="F41">
        <v>68.3</v>
      </c>
      <c r="G41">
        <v>962</v>
      </c>
      <c r="H41">
        <v>3.7</v>
      </c>
      <c r="I41">
        <v>1.9</v>
      </c>
      <c r="J41">
        <v>6</v>
      </c>
      <c r="K41" s="3">
        <f>E41/(VLOOKUP(B41,'2025 Team'!$B$2:$G$33,2,FALSE))</f>
        <v>0.24807395993836673</v>
      </c>
    </row>
    <row r="42" spans="1:11" x14ac:dyDescent="0.25">
      <c r="A42" t="s">
        <v>113</v>
      </c>
      <c r="B42" t="s">
        <v>22</v>
      </c>
      <c r="C42" t="s">
        <v>82</v>
      </c>
      <c r="D42">
        <v>93</v>
      </c>
      <c r="E42">
        <v>160</v>
      </c>
      <c r="F42">
        <v>58.1</v>
      </c>
      <c r="G42">
        <v>815</v>
      </c>
      <c r="H42">
        <v>1.3</v>
      </c>
      <c r="I42">
        <v>3.8</v>
      </c>
      <c r="J42">
        <v>5.0999999999999996</v>
      </c>
      <c r="K42" s="3">
        <f>E42/(VLOOKUP(B42,'2025 Team'!$B$2:$G$33,2,FALSE))</f>
        <v>0.28673835125448027</v>
      </c>
    </row>
    <row r="43" spans="1:11" x14ac:dyDescent="0.25">
      <c r="A43" t="s">
        <v>122</v>
      </c>
      <c r="B43" t="s">
        <v>32</v>
      </c>
      <c r="C43" t="s">
        <v>82</v>
      </c>
      <c r="D43">
        <v>91</v>
      </c>
      <c r="E43">
        <v>159</v>
      </c>
      <c r="F43">
        <v>57.2</v>
      </c>
      <c r="G43">
        <v>915</v>
      </c>
      <c r="H43">
        <v>3.1</v>
      </c>
      <c r="I43">
        <v>0.6</v>
      </c>
      <c r="J43">
        <v>5.8</v>
      </c>
      <c r="K43" s="3">
        <f>E43/(VLOOKUP(B43,'2025 Team'!$B$2:$G$33,2,FALSE))</f>
        <v>0.27319587628865977</v>
      </c>
    </row>
    <row r="44" spans="1:11" x14ac:dyDescent="0.25">
      <c r="A44" t="s">
        <v>123</v>
      </c>
      <c r="B44" t="s">
        <v>56</v>
      </c>
      <c r="C44" t="s">
        <v>82</v>
      </c>
      <c r="D44">
        <v>88</v>
      </c>
      <c r="E44">
        <v>153</v>
      </c>
      <c r="F44">
        <v>57.5</v>
      </c>
      <c r="G44">
        <v>739</v>
      </c>
      <c r="H44">
        <v>1.3</v>
      </c>
      <c r="I44">
        <v>4.5999999999999996</v>
      </c>
      <c r="J44">
        <v>4.8</v>
      </c>
      <c r="K44" s="3">
        <f>E44/(VLOOKUP(B44,'2025 Team'!$B$2:$G$33,2,FALSE))</f>
        <v>0.30971659919028338</v>
      </c>
    </row>
    <row r="45" spans="1:11" x14ac:dyDescent="0.25">
      <c r="A45" t="s">
        <v>124</v>
      </c>
      <c r="B45" t="s">
        <v>56</v>
      </c>
      <c r="C45" t="s">
        <v>82</v>
      </c>
      <c r="D45">
        <v>80</v>
      </c>
      <c r="E45">
        <v>134</v>
      </c>
      <c r="F45">
        <v>59.7</v>
      </c>
      <c r="G45">
        <v>779</v>
      </c>
      <c r="H45">
        <v>3.7</v>
      </c>
      <c r="I45">
        <v>3.7</v>
      </c>
      <c r="J45">
        <v>5.8</v>
      </c>
      <c r="K45" s="3">
        <f>E45/(VLOOKUP(B45,'2025 Team'!$B$2:$G$33,2,FALSE))</f>
        <v>0.27125506072874495</v>
      </c>
    </row>
    <row r="46" spans="1:11" x14ac:dyDescent="0.25">
      <c r="A46" t="s">
        <v>125</v>
      </c>
      <c r="B46" t="s">
        <v>20</v>
      </c>
      <c r="C46" t="s">
        <v>82</v>
      </c>
      <c r="D46">
        <v>81</v>
      </c>
      <c r="E46">
        <v>125</v>
      </c>
      <c r="F46">
        <v>64.8</v>
      </c>
      <c r="G46">
        <v>771</v>
      </c>
      <c r="H46">
        <v>4.8</v>
      </c>
      <c r="I46">
        <v>6.4</v>
      </c>
      <c r="J46">
        <v>6.2</v>
      </c>
      <c r="K46" s="3">
        <f>E46/(VLOOKUP(B46,'2025 Team'!$B$2:$G$33,2,FALSE))</f>
        <v>0.1953125</v>
      </c>
    </row>
    <row r="47" spans="1:11" x14ac:dyDescent="0.25">
      <c r="A47" t="s">
        <v>126</v>
      </c>
      <c r="B47" t="s">
        <v>54</v>
      </c>
      <c r="C47" t="s">
        <v>82</v>
      </c>
      <c r="D47">
        <v>69</v>
      </c>
      <c r="E47">
        <v>119</v>
      </c>
      <c r="F47">
        <v>58</v>
      </c>
      <c r="G47">
        <v>831</v>
      </c>
      <c r="H47">
        <v>2.5</v>
      </c>
      <c r="I47">
        <v>2.5</v>
      </c>
      <c r="J47">
        <v>7</v>
      </c>
      <c r="K47" s="3">
        <f>E47/(VLOOKUP(B47,'2025 Team'!$B$2:$G$33,2,FALSE))</f>
        <v>0.22623574144486691</v>
      </c>
    </row>
    <row r="48" spans="1:11" x14ac:dyDescent="0.25">
      <c r="A48" t="s">
        <v>127</v>
      </c>
      <c r="B48" t="s">
        <v>34</v>
      </c>
      <c r="C48" t="s">
        <v>82</v>
      </c>
      <c r="D48">
        <v>58</v>
      </c>
      <c r="E48">
        <v>92</v>
      </c>
      <c r="F48">
        <v>63</v>
      </c>
      <c r="G48">
        <v>544</v>
      </c>
      <c r="H48">
        <v>4.3</v>
      </c>
      <c r="I48">
        <v>3.3</v>
      </c>
      <c r="J48">
        <v>5.9</v>
      </c>
      <c r="K48" s="3">
        <f>E48/(VLOOKUP(B48,'2025 Team'!$B$2:$G$33,2,FALSE))</f>
        <v>0.16819012797074953</v>
      </c>
    </row>
    <row r="49" spans="1:11" x14ac:dyDescent="0.25">
      <c r="A49" t="s">
        <v>128</v>
      </c>
      <c r="B49" t="s">
        <v>46</v>
      </c>
      <c r="C49" t="s">
        <v>82</v>
      </c>
      <c r="D49">
        <v>55</v>
      </c>
      <c r="E49">
        <v>83</v>
      </c>
      <c r="F49">
        <v>66.3</v>
      </c>
      <c r="G49">
        <v>622</v>
      </c>
      <c r="H49">
        <v>3.6</v>
      </c>
      <c r="I49">
        <v>3.6</v>
      </c>
      <c r="J49">
        <v>7.5</v>
      </c>
      <c r="K49" s="3">
        <f>E49/(VLOOKUP(B49,'2025 Team'!$B$2:$G$33,2,FALSE))</f>
        <v>0.1732776617954071</v>
      </c>
    </row>
    <row r="50" spans="1:11" x14ac:dyDescent="0.25">
      <c r="A50" t="s">
        <v>129</v>
      </c>
      <c r="B50" t="s">
        <v>48</v>
      </c>
      <c r="C50" t="s">
        <v>82</v>
      </c>
      <c r="D50">
        <v>47</v>
      </c>
      <c r="E50">
        <v>71</v>
      </c>
      <c r="F50">
        <v>66.2</v>
      </c>
      <c r="G50">
        <v>328</v>
      </c>
      <c r="H50">
        <v>0</v>
      </c>
      <c r="I50">
        <v>5.6</v>
      </c>
      <c r="J50">
        <v>4.5999999999999996</v>
      </c>
      <c r="K50" s="3">
        <f>E50/(VLOOKUP(B50,'2025 Team'!$B$2:$G$33,2,FALSE))</f>
        <v>0.14669421487603307</v>
      </c>
    </row>
    <row r="51" spans="1:11" x14ac:dyDescent="0.25">
      <c r="A51" t="s">
        <v>130</v>
      </c>
      <c r="B51" t="s">
        <v>12</v>
      </c>
      <c r="C51" t="s">
        <v>82</v>
      </c>
      <c r="D51">
        <v>52</v>
      </c>
      <c r="E51">
        <v>67</v>
      </c>
      <c r="F51">
        <v>77.599999999999994</v>
      </c>
      <c r="G51">
        <v>426</v>
      </c>
      <c r="H51">
        <v>3</v>
      </c>
      <c r="I51">
        <v>0</v>
      </c>
      <c r="J51">
        <v>6.4</v>
      </c>
      <c r="K51" s="3">
        <f>E51/(VLOOKUP(B51,'2025 Team'!$B$2:$G$33,2,FALSE))</f>
        <v>0.15876777251184834</v>
      </c>
    </row>
    <row r="52" spans="1:11" x14ac:dyDescent="0.25">
      <c r="A52" t="s">
        <v>131</v>
      </c>
      <c r="B52" t="s">
        <v>34</v>
      </c>
      <c r="C52" t="s">
        <v>82</v>
      </c>
      <c r="D52">
        <v>39</v>
      </c>
      <c r="E52">
        <v>67</v>
      </c>
      <c r="F52">
        <v>58.2</v>
      </c>
      <c r="G52">
        <v>415</v>
      </c>
      <c r="H52">
        <v>3</v>
      </c>
      <c r="I52">
        <v>4.5</v>
      </c>
      <c r="J52">
        <v>6.2</v>
      </c>
      <c r="K52" s="3">
        <f>E52/(VLOOKUP(B52,'2025 Team'!$B$2:$G$33,2,FALSE))</f>
        <v>0.12248628884826325</v>
      </c>
    </row>
    <row r="53" spans="1:11" x14ac:dyDescent="0.25">
      <c r="A53" t="s">
        <v>132</v>
      </c>
      <c r="B53" t="s">
        <v>54</v>
      </c>
      <c r="C53" t="s">
        <v>82</v>
      </c>
      <c r="D53">
        <v>37</v>
      </c>
      <c r="E53">
        <v>66</v>
      </c>
      <c r="F53">
        <v>56.1</v>
      </c>
      <c r="G53">
        <v>567</v>
      </c>
      <c r="H53">
        <v>3</v>
      </c>
      <c r="I53">
        <v>3</v>
      </c>
      <c r="J53">
        <v>8.6</v>
      </c>
      <c r="K53" s="3">
        <f>E53/(VLOOKUP(B53,'2025 Team'!$B$2:$G$33,2,FALSE))</f>
        <v>0.12547528517110265</v>
      </c>
    </row>
    <row r="54" spans="1:11" x14ac:dyDescent="0.25">
      <c r="A54" t="s">
        <v>133</v>
      </c>
      <c r="B54" t="s">
        <v>42</v>
      </c>
      <c r="C54" t="s">
        <v>82</v>
      </c>
      <c r="D54">
        <v>27</v>
      </c>
      <c r="E54">
        <v>57</v>
      </c>
      <c r="F54">
        <v>47.4</v>
      </c>
      <c r="G54">
        <v>226</v>
      </c>
      <c r="H54">
        <v>0</v>
      </c>
      <c r="I54">
        <v>1.8</v>
      </c>
      <c r="J54">
        <v>4</v>
      </c>
      <c r="K54" s="3">
        <f>E54/(VLOOKUP(B54,'2025 Team'!$B$2:$G$33,2,FALSE))</f>
        <v>0.10017574692442882</v>
      </c>
    </row>
    <row r="55" spans="1:11" x14ac:dyDescent="0.25">
      <c r="A55" t="s">
        <v>134</v>
      </c>
      <c r="B55" t="s">
        <v>38</v>
      </c>
      <c r="C55" t="s">
        <v>82</v>
      </c>
      <c r="D55">
        <v>35</v>
      </c>
      <c r="E55">
        <v>55</v>
      </c>
      <c r="F55">
        <v>63.6</v>
      </c>
      <c r="G55">
        <v>235</v>
      </c>
      <c r="H55">
        <v>1.8</v>
      </c>
      <c r="I55">
        <v>0</v>
      </c>
      <c r="J55">
        <v>4.3</v>
      </c>
      <c r="K55" s="3">
        <f>E55/(VLOOKUP(B55,'2025 Team'!$B$2:$G$33,2,FALSE))</f>
        <v>9.4178082191780824E-2</v>
      </c>
    </row>
    <row r="56" spans="1:11" x14ac:dyDescent="0.25">
      <c r="A56" t="s">
        <v>135</v>
      </c>
      <c r="B56" t="s">
        <v>70</v>
      </c>
      <c r="C56" t="s">
        <v>82</v>
      </c>
      <c r="D56">
        <v>34</v>
      </c>
      <c r="E56">
        <v>54</v>
      </c>
      <c r="F56">
        <v>63</v>
      </c>
      <c r="G56">
        <v>372</v>
      </c>
      <c r="H56">
        <v>1.9</v>
      </c>
      <c r="I56">
        <v>3.7</v>
      </c>
      <c r="J56">
        <v>6.9</v>
      </c>
      <c r="K56" s="3">
        <f>E56/(VLOOKUP(B56,'2025 Team'!$B$2:$G$33,2,FALSE))</f>
        <v>0.11513859275053305</v>
      </c>
    </row>
    <row r="57" spans="1:11" x14ac:dyDescent="0.25">
      <c r="A57" t="s">
        <v>136</v>
      </c>
      <c r="B57" t="s">
        <v>12</v>
      </c>
      <c r="C57" t="s">
        <v>82</v>
      </c>
      <c r="D57">
        <v>34</v>
      </c>
      <c r="E57">
        <v>52</v>
      </c>
      <c r="F57">
        <v>65.400000000000006</v>
      </c>
      <c r="G57">
        <v>303</v>
      </c>
      <c r="H57">
        <v>0</v>
      </c>
      <c r="I57">
        <v>7.7</v>
      </c>
      <c r="J57">
        <v>5.8</v>
      </c>
      <c r="K57" s="3">
        <f>E57/(VLOOKUP(B57,'2025 Team'!$B$2:$G$33,2,FALSE))</f>
        <v>0.12322274881516587</v>
      </c>
    </row>
    <row r="58" spans="1:11" x14ac:dyDescent="0.25">
      <c r="A58" t="s">
        <v>137</v>
      </c>
      <c r="B58" t="s">
        <v>60</v>
      </c>
      <c r="C58" t="s">
        <v>82</v>
      </c>
      <c r="D58">
        <v>38</v>
      </c>
      <c r="E58">
        <v>52</v>
      </c>
      <c r="F58">
        <v>73.099999999999994</v>
      </c>
      <c r="G58">
        <v>310</v>
      </c>
      <c r="H58">
        <v>3.8</v>
      </c>
      <c r="I58">
        <v>3.8</v>
      </c>
      <c r="J58">
        <v>6</v>
      </c>
      <c r="K58" s="3">
        <f>E58/(VLOOKUP(B58,'2025 Team'!$B$2:$G$33,2,FALSE))</f>
        <v>9.4545454545454544E-2</v>
      </c>
    </row>
    <row r="59" spans="1:11" x14ac:dyDescent="0.25">
      <c r="A59" t="s">
        <v>138</v>
      </c>
      <c r="B59" t="s">
        <v>40</v>
      </c>
      <c r="C59" t="s">
        <v>82</v>
      </c>
      <c r="D59">
        <v>28</v>
      </c>
      <c r="E59">
        <v>45</v>
      </c>
      <c r="F59">
        <v>62.2</v>
      </c>
      <c r="G59">
        <v>188</v>
      </c>
      <c r="H59">
        <v>2.2000000000000002</v>
      </c>
      <c r="I59">
        <v>4.4000000000000004</v>
      </c>
      <c r="J59">
        <v>4.2</v>
      </c>
      <c r="K59" s="3">
        <f>E59/(VLOOKUP(B59,'2025 Team'!$B$2:$G$33,2,FALSE))</f>
        <v>8.7378640776699032E-2</v>
      </c>
    </row>
    <row r="60" spans="1:11" x14ac:dyDescent="0.25">
      <c r="A60" t="s">
        <v>139</v>
      </c>
      <c r="B60" t="s">
        <v>58</v>
      </c>
      <c r="C60" t="s">
        <v>82</v>
      </c>
      <c r="D60">
        <v>24</v>
      </c>
      <c r="E60">
        <v>43</v>
      </c>
      <c r="F60">
        <v>55.8</v>
      </c>
      <c r="G60">
        <v>274</v>
      </c>
      <c r="H60">
        <v>2.2999999999999998</v>
      </c>
      <c r="I60">
        <v>2.2999999999999998</v>
      </c>
      <c r="J60">
        <v>6.4</v>
      </c>
      <c r="K60" s="3">
        <f>E60/(VLOOKUP(B60,'2025 Team'!$B$2:$G$33,2,FALSE))</f>
        <v>8.651911468812877E-2</v>
      </c>
    </row>
    <row r="61" spans="1:11" x14ac:dyDescent="0.25">
      <c r="A61" t="s">
        <v>140</v>
      </c>
      <c r="B61" t="s">
        <v>16</v>
      </c>
      <c r="C61" t="s">
        <v>82</v>
      </c>
      <c r="D61">
        <v>25</v>
      </c>
      <c r="E61">
        <v>37</v>
      </c>
      <c r="F61">
        <v>67.599999999999994</v>
      </c>
      <c r="G61">
        <v>293</v>
      </c>
      <c r="H61">
        <v>2.7</v>
      </c>
      <c r="I61">
        <v>2.7</v>
      </c>
      <c r="J61">
        <v>7.9</v>
      </c>
      <c r="K61" s="3">
        <f>E61/(VLOOKUP(B61,'2025 Team'!$B$2:$G$33,2,FALSE))</f>
        <v>7.184466019417475E-2</v>
      </c>
    </row>
    <row r="62" spans="1:11" x14ac:dyDescent="0.25">
      <c r="A62" t="s">
        <v>141</v>
      </c>
      <c r="B62" t="s">
        <v>14</v>
      </c>
      <c r="C62" t="s">
        <v>82</v>
      </c>
      <c r="D62">
        <v>25</v>
      </c>
      <c r="E62">
        <v>35</v>
      </c>
      <c r="F62">
        <v>71.400000000000006</v>
      </c>
      <c r="G62">
        <v>313</v>
      </c>
      <c r="H62">
        <v>11.4</v>
      </c>
      <c r="I62">
        <v>0</v>
      </c>
      <c r="J62">
        <v>8.9</v>
      </c>
      <c r="K62" s="3">
        <f>E62/(VLOOKUP(B62,'2025 Team'!$B$2:$G$33,2,FALSE))</f>
        <v>7.0707070707070704E-2</v>
      </c>
    </row>
    <row r="63" spans="1:11" x14ac:dyDescent="0.25">
      <c r="A63" t="s">
        <v>142</v>
      </c>
      <c r="B63" t="s">
        <v>30</v>
      </c>
      <c r="C63" t="s">
        <v>82</v>
      </c>
      <c r="D63">
        <v>30</v>
      </c>
      <c r="E63">
        <v>35</v>
      </c>
      <c r="F63">
        <v>85.7</v>
      </c>
      <c r="G63">
        <v>422</v>
      </c>
      <c r="H63">
        <v>8.6</v>
      </c>
      <c r="I63">
        <v>0</v>
      </c>
      <c r="J63">
        <v>12.1</v>
      </c>
      <c r="K63" s="3">
        <f>E63/(VLOOKUP(B63,'2025 Team'!$B$2:$G$33,2,FALSE))</f>
        <v>7.1574642126789365E-2</v>
      </c>
    </row>
    <row r="64" spans="1:11" x14ac:dyDescent="0.25">
      <c r="A64" t="s">
        <v>143</v>
      </c>
      <c r="B64" t="s">
        <v>68</v>
      </c>
      <c r="C64" t="s">
        <v>82</v>
      </c>
      <c r="D64">
        <v>17</v>
      </c>
      <c r="E64">
        <v>30</v>
      </c>
      <c r="F64">
        <v>56.7</v>
      </c>
      <c r="G64">
        <v>72</v>
      </c>
      <c r="H64">
        <v>0</v>
      </c>
      <c r="I64">
        <v>3.3</v>
      </c>
      <c r="J64">
        <v>2.4</v>
      </c>
      <c r="K64" s="3">
        <f>E64/(VLOOKUP(B64,'2025 Team'!$B$2:$G$33,2,FALSE))</f>
        <v>5.2631578947368418E-2</v>
      </c>
    </row>
    <row r="65" spans="1:11" x14ac:dyDescent="0.25">
      <c r="A65" t="s">
        <v>144</v>
      </c>
      <c r="B65" t="s">
        <v>24</v>
      </c>
      <c r="C65" t="s">
        <v>82</v>
      </c>
      <c r="D65">
        <v>15</v>
      </c>
      <c r="E65">
        <v>24</v>
      </c>
      <c r="F65">
        <v>62.5</v>
      </c>
      <c r="G65">
        <v>183</v>
      </c>
      <c r="H65">
        <v>4.2</v>
      </c>
      <c r="I65">
        <v>8.3000000000000007</v>
      </c>
      <c r="J65">
        <v>7.6</v>
      </c>
      <c r="K65" s="3">
        <f>E65/(VLOOKUP(B65,'2025 Team'!$B$2:$G$33,2,FALSE))</f>
        <v>3.8461538461538464E-2</v>
      </c>
    </row>
    <row r="66" spans="1:11" x14ac:dyDescent="0.25">
      <c r="A66" t="s">
        <v>145</v>
      </c>
      <c r="B66" t="s">
        <v>40</v>
      </c>
      <c r="C66" t="s">
        <v>82</v>
      </c>
      <c r="D66">
        <v>10</v>
      </c>
      <c r="E66">
        <v>22</v>
      </c>
      <c r="F66">
        <v>45.5</v>
      </c>
      <c r="G66">
        <v>102</v>
      </c>
      <c r="H66">
        <v>0</v>
      </c>
      <c r="I66">
        <v>0</v>
      </c>
      <c r="J66">
        <v>4.5999999999999996</v>
      </c>
      <c r="K66" s="3">
        <f>E66/(VLOOKUP(B66,'2025 Team'!$B$2:$G$33,2,FALSE))</f>
        <v>4.2718446601941747E-2</v>
      </c>
    </row>
    <row r="67" spans="1:11" x14ac:dyDescent="0.25">
      <c r="A67" t="s">
        <v>146</v>
      </c>
      <c r="B67" t="s">
        <v>30</v>
      </c>
      <c r="C67" t="s">
        <v>82</v>
      </c>
      <c r="D67">
        <v>7</v>
      </c>
      <c r="E67">
        <v>15</v>
      </c>
      <c r="F67">
        <v>46.7</v>
      </c>
      <c r="G67">
        <v>42</v>
      </c>
      <c r="H67">
        <v>0</v>
      </c>
      <c r="I67">
        <v>6.7</v>
      </c>
      <c r="J67">
        <v>2.8</v>
      </c>
      <c r="K67" s="3">
        <f>E67/(VLOOKUP(B67,'2025 Team'!$B$2:$G$33,2,FALSE))</f>
        <v>3.0674846625766871E-2</v>
      </c>
    </row>
    <row r="68" spans="1:11" x14ac:dyDescent="0.25">
      <c r="A68" t="s">
        <v>147</v>
      </c>
      <c r="B68" t="s">
        <v>66</v>
      </c>
      <c r="C68" t="s">
        <v>82</v>
      </c>
      <c r="D68">
        <v>8</v>
      </c>
      <c r="E68">
        <v>15</v>
      </c>
      <c r="F68">
        <v>53.3</v>
      </c>
      <c r="G68">
        <v>62</v>
      </c>
      <c r="H68">
        <v>0</v>
      </c>
      <c r="I68">
        <v>0</v>
      </c>
      <c r="J68">
        <v>4.0999999999999996</v>
      </c>
      <c r="K68" s="3">
        <f>E68/(VLOOKUP(B68,'2025 Team'!$B$2:$G$33,2,FALSE))</f>
        <v>2.6881720430107527E-2</v>
      </c>
    </row>
    <row r="69" spans="1:11" x14ac:dyDescent="0.25">
      <c r="A69" t="s">
        <v>148</v>
      </c>
      <c r="B69" t="s">
        <v>38</v>
      </c>
      <c r="C69" t="s">
        <v>82</v>
      </c>
      <c r="D69">
        <v>7</v>
      </c>
      <c r="E69">
        <v>14</v>
      </c>
      <c r="F69">
        <v>50</v>
      </c>
      <c r="G69">
        <v>88</v>
      </c>
      <c r="H69">
        <v>0</v>
      </c>
      <c r="I69">
        <v>0</v>
      </c>
      <c r="J69">
        <v>6.3</v>
      </c>
      <c r="K69" s="3">
        <f>E69/(VLOOKUP(B69,'2025 Team'!$B$2:$G$33,2,FALSE))</f>
        <v>2.3972602739726026E-2</v>
      </c>
    </row>
    <row r="70" spans="1:11" x14ac:dyDescent="0.25">
      <c r="A70" t="s">
        <v>149</v>
      </c>
      <c r="B70" t="s">
        <v>38</v>
      </c>
      <c r="C70" t="s">
        <v>82</v>
      </c>
      <c r="D70">
        <v>6</v>
      </c>
      <c r="E70">
        <v>13</v>
      </c>
      <c r="F70">
        <v>46.2</v>
      </c>
      <c r="G70">
        <v>37</v>
      </c>
      <c r="H70">
        <v>0</v>
      </c>
      <c r="I70">
        <v>7.7</v>
      </c>
      <c r="J70">
        <v>2.8</v>
      </c>
      <c r="K70" s="3">
        <f>E70/(VLOOKUP(B70,'2025 Team'!$B$2:$G$33,2,FALSE))</f>
        <v>2.2260273972602738E-2</v>
      </c>
    </row>
    <row r="71" spans="1:11" x14ac:dyDescent="0.25">
      <c r="A71" t="s">
        <v>150</v>
      </c>
      <c r="B71" t="s">
        <v>46</v>
      </c>
      <c r="C71" t="s">
        <v>82</v>
      </c>
      <c r="D71">
        <v>6</v>
      </c>
      <c r="E71">
        <v>11</v>
      </c>
      <c r="F71">
        <v>54.5</v>
      </c>
      <c r="G71">
        <v>32</v>
      </c>
      <c r="H71">
        <v>0</v>
      </c>
      <c r="I71">
        <v>0</v>
      </c>
      <c r="J71">
        <v>2.9</v>
      </c>
      <c r="K71" s="3">
        <f>E71/(VLOOKUP(B71,'2025 Team'!$B$2:$G$33,2,FALSE))</f>
        <v>2.2964509394572025E-2</v>
      </c>
    </row>
    <row r="72" spans="1:11" x14ac:dyDescent="0.25">
      <c r="A72" t="s">
        <v>151</v>
      </c>
      <c r="B72" t="s">
        <v>50</v>
      </c>
      <c r="C72" t="s">
        <v>82</v>
      </c>
      <c r="D72">
        <v>7</v>
      </c>
      <c r="E72">
        <v>10</v>
      </c>
      <c r="F72">
        <v>70</v>
      </c>
      <c r="G72">
        <v>65</v>
      </c>
      <c r="H72">
        <v>0</v>
      </c>
      <c r="I72">
        <v>0</v>
      </c>
      <c r="J72">
        <v>6.5</v>
      </c>
      <c r="K72" s="3">
        <f>E72/(VLOOKUP(B72,'2025 Team'!$B$2:$G$33,2,FALSE))</f>
        <v>1.9920318725099601E-2</v>
      </c>
    </row>
    <row r="73" spans="1:11" x14ac:dyDescent="0.25">
      <c r="A73" t="s">
        <v>152</v>
      </c>
      <c r="B73" t="s">
        <v>52</v>
      </c>
      <c r="C73" t="s">
        <v>153</v>
      </c>
      <c r="D73">
        <v>2</v>
      </c>
      <c r="E73">
        <v>6</v>
      </c>
      <c r="F73">
        <v>33.299999999999997</v>
      </c>
      <c r="G73">
        <v>57</v>
      </c>
      <c r="H73">
        <v>16.7</v>
      </c>
      <c r="I73">
        <v>0</v>
      </c>
      <c r="J73">
        <v>9.5</v>
      </c>
      <c r="K73" s="3">
        <f>E73/(VLOOKUP(B73,'2025 Team'!$B$2:$G$33,2,FALSE))</f>
        <v>1.015228426395939E-2</v>
      </c>
    </row>
    <row r="74" spans="1:11" x14ac:dyDescent="0.25">
      <c r="A74" t="s">
        <v>154</v>
      </c>
      <c r="B74" t="s">
        <v>18</v>
      </c>
      <c r="C74" t="s">
        <v>82</v>
      </c>
      <c r="D74">
        <v>3</v>
      </c>
      <c r="E74">
        <v>4</v>
      </c>
      <c r="F74">
        <v>75</v>
      </c>
      <c r="G74">
        <v>47</v>
      </c>
      <c r="H74">
        <v>0</v>
      </c>
      <c r="I74">
        <v>0</v>
      </c>
      <c r="J74">
        <v>11.8</v>
      </c>
      <c r="K74" s="3">
        <f>E74/(VLOOKUP(B74,'2025 Team'!$B$2:$G$33,2,FALSE))</f>
        <v>6.9686411149825784E-3</v>
      </c>
    </row>
    <row r="75" spans="1:11" x14ac:dyDescent="0.25">
      <c r="A75" t="s">
        <v>155</v>
      </c>
      <c r="B75" t="s">
        <v>36</v>
      </c>
      <c r="C75" t="s">
        <v>82</v>
      </c>
      <c r="D75">
        <v>3</v>
      </c>
      <c r="E75">
        <v>3</v>
      </c>
      <c r="F75">
        <v>100</v>
      </c>
      <c r="G75">
        <v>19</v>
      </c>
      <c r="H75">
        <v>0</v>
      </c>
      <c r="I75">
        <v>0</v>
      </c>
      <c r="J75">
        <v>6.3</v>
      </c>
      <c r="K75" s="3">
        <f>E75/(VLOOKUP(B75,'2025 Team'!$B$2:$G$33,2,FALSE))</f>
        <v>5.3285968028419185E-3</v>
      </c>
    </row>
    <row r="76" spans="1:11" x14ac:dyDescent="0.25">
      <c r="A76" t="s">
        <v>156</v>
      </c>
      <c r="B76" t="s">
        <v>64</v>
      </c>
      <c r="C76" t="s">
        <v>82</v>
      </c>
      <c r="D76">
        <v>2</v>
      </c>
      <c r="E76">
        <v>3</v>
      </c>
      <c r="F76">
        <v>66.7</v>
      </c>
      <c r="G76">
        <v>15</v>
      </c>
      <c r="H76">
        <v>0</v>
      </c>
      <c r="I76">
        <v>0</v>
      </c>
      <c r="J76">
        <v>5</v>
      </c>
      <c r="K76" s="3">
        <f>E76/(VLOOKUP(B76,'2025 Team'!$B$2:$G$33,2,FALSE))</f>
        <v>6.2370062370062374E-3</v>
      </c>
    </row>
    <row r="77" spans="1:11" x14ac:dyDescent="0.25">
      <c r="A77" t="s">
        <v>157</v>
      </c>
      <c r="B77" t="s">
        <v>8</v>
      </c>
      <c r="C77" t="s">
        <v>82</v>
      </c>
      <c r="D77">
        <v>1</v>
      </c>
      <c r="E77">
        <v>2</v>
      </c>
      <c r="F77">
        <v>50</v>
      </c>
      <c r="G77">
        <v>-2</v>
      </c>
      <c r="H77">
        <v>0</v>
      </c>
      <c r="I77">
        <v>0</v>
      </c>
      <c r="J77">
        <v>-1</v>
      </c>
      <c r="K77" s="3">
        <f>E77/(VLOOKUP(B77,'2025 Team'!$B$2:$G$33,2,FALSE))</f>
        <v>3.0816640986132513E-3</v>
      </c>
    </row>
    <row r="78" spans="1:11" x14ac:dyDescent="0.25">
      <c r="A78" t="s">
        <v>158</v>
      </c>
      <c r="B78" t="s">
        <v>28</v>
      </c>
      <c r="C78" t="s">
        <v>159</v>
      </c>
      <c r="D78">
        <v>1</v>
      </c>
      <c r="E78">
        <v>2</v>
      </c>
      <c r="F78">
        <v>50</v>
      </c>
      <c r="G78">
        <v>3</v>
      </c>
      <c r="H78">
        <v>50</v>
      </c>
      <c r="I78">
        <v>0</v>
      </c>
      <c r="J78">
        <v>1.5</v>
      </c>
      <c r="K78" s="3">
        <f>E78/(VLOOKUP(B78,'2025 Team'!$B$2:$G$33,2,FALSE))</f>
        <v>3.4364261168384879E-3</v>
      </c>
    </row>
    <row r="79" spans="1:11" x14ac:dyDescent="0.25">
      <c r="A79" t="s">
        <v>160</v>
      </c>
      <c r="B79" t="s">
        <v>28</v>
      </c>
      <c r="C79" t="s">
        <v>82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 s="3">
        <f>E79/(VLOOKUP(B79,'2025 Team'!$B$2:$G$33,2,FALSE))</f>
        <v>3.4364261168384879E-3</v>
      </c>
    </row>
    <row r="80" spans="1:11" x14ac:dyDescent="0.25">
      <c r="A80" t="s">
        <v>161</v>
      </c>
      <c r="B80" t="s">
        <v>34</v>
      </c>
      <c r="C80" t="s">
        <v>82</v>
      </c>
      <c r="D80">
        <v>1</v>
      </c>
      <c r="E80">
        <v>2</v>
      </c>
      <c r="F80">
        <v>50</v>
      </c>
      <c r="G80">
        <v>9</v>
      </c>
      <c r="H80">
        <v>0</v>
      </c>
      <c r="I80">
        <v>0</v>
      </c>
      <c r="J80">
        <v>4.5</v>
      </c>
      <c r="K80" s="3">
        <f>E80/(VLOOKUP(B80,'2025 Team'!$B$2:$G$33,2,FALSE))</f>
        <v>3.6563071297989031E-3</v>
      </c>
    </row>
    <row r="81" spans="1:11" x14ac:dyDescent="0.25">
      <c r="A81" t="s">
        <v>162</v>
      </c>
      <c r="B81" t="s">
        <v>54</v>
      </c>
      <c r="C81" t="s">
        <v>163</v>
      </c>
      <c r="D81">
        <v>1</v>
      </c>
      <c r="E81">
        <v>2</v>
      </c>
      <c r="F81">
        <v>50</v>
      </c>
      <c r="G81">
        <v>33</v>
      </c>
      <c r="H81">
        <v>50</v>
      </c>
      <c r="I81">
        <v>0</v>
      </c>
      <c r="J81">
        <v>16.5</v>
      </c>
      <c r="K81" s="3">
        <f>E81/(VLOOKUP(B81,'2025 Team'!$B$2:$G$33,2,FALSE))</f>
        <v>3.8022813688212928E-3</v>
      </c>
    </row>
    <row r="82" spans="1:11" x14ac:dyDescent="0.25">
      <c r="A82" t="s">
        <v>164</v>
      </c>
      <c r="B82" t="s">
        <v>8</v>
      </c>
      <c r="C82" t="s">
        <v>165</v>
      </c>
      <c r="D82">
        <v>1</v>
      </c>
      <c r="E82">
        <v>1</v>
      </c>
      <c r="F82">
        <v>100</v>
      </c>
      <c r="G82">
        <v>28</v>
      </c>
      <c r="H82">
        <v>0</v>
      </c>
      <c r="I82">
        <v>0</v>
      </c>
      <c r="J82">
        <v>28</v>
      </c>
      <c r="K82" s="3">
        <f>E82/(VLOOKUP(B82,'2025 Team'!$B$2:$G$33,2,FALSE))</f>
        <v>1.5408320493066256E-3</v>
      </c>
    </row>
    <row r="83" spans="1:11" x14ac:dyDescent="0.25">
      <c r="A83" t="s">
        <v>166</v>
      </c>
      <c r="B83" t="s">
        <v>12</v>
      </c>
      <c r="C83" t="s">
        <v>159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 s="3">
        <f>E83/(VLOOKUP(B83,'2025 Team'!$B$2:$G$33,2,FALSE))</f>
        <v>2.3696682464454978E-3</v>
      </c>
    </row>
    <row r="84" spans="1:11" x14ac:dyDescent="0.25">
      <c r="A84" t="s">
        <v>167</v>
      </c>
      <c r="B84" t="s">
        <v>18</v>
      </c>
      <c r="C84" t="s">
        <v>163</v>
      </c>
      <c r="D84">
        <v>1</v>
      </c>
      <c r="E84">
        <v>1</v>
      </c>
      <c r="F84">
        <v>100</v>
      </c>
      <c r="G84">
        <v>2</v>
      </c>
      <c r="H84">
        <v>100</v>
      </c>
      <c r="I84">
        <v>0</v>
      </c>
      <c r="J84">
        <v>2</v>
      </c>
      <c r="K84" s="3">
        <f>E84/(VLOOKUP(B84,'2025 Team'!$B$2:$G$33,2,FALSE))</f>
        <v>1.7421602787456446E-3</v>
      </c>
    </row>
    <row r="85" spans="1:11" x14ac:dyDescent="0.25">
      <c r="A85" t="s">
        <v>168</v>
      </c>
      <c r="B85" t="s">
        <v>18</v>
      </c>
      <c r="C85" t="s">
        <v>153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 s="3">
        <f>E85/(VLOOKUP(B85,'2025 Team'!$B$2:$G$33,2,FALSE))</f>
        <v>1.7421602787456446E-3</v>
      </c>
    </row>
    <row r="86" spans="1:11" x14ac:dyDescent="0.25">
      <c r="A86" t="s">
        <v>169</v>
      </c>
      <c r="B86" t="s">
        <v>22</v>
      </c>
      <c r="C86" t="s">
        <v>165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 s="3">
        <f>E86/(VLOOKUP(B86,'2025 Team'!$B$2:$G$33,2,FALSE))</f>
        <v>1.7921146953405018E-3</v>
      </c>
    </row>
    <row r="87" spans="1:11" x14ac:dyDescent="0.25">
      <c r="A87" t="s">
        <v>170</v>
      </c>
      <c r="B87" t="s">
        <v>26</v>
      </c>
      <c r="C87" t="s">
        <v>159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 s="3">
        <f>E87/(VLOOKUP(B87,'2025 Team'!$B$2:$G$33,2,FALSE))</f>
        <v>1.6313213703099511E-3</v>
      </c>
    </row>
    <row r="88" spans="1:11" x14ac:dyDescent="0.25">
      <c r="A88" t="s">
        <v>171</v>
      </c>
      <c r="B88" t="s">
        <v>34</v>
      </c>
      <c r="C88" t="s">
        <v>165</v>
      </c>
      <c r="D88">
        <v>1</v>
      </c>
      <c r="E88">
        <v>1</v>
      </c>
      <c r="F88">
        <v>100</v>
      </c>
      <c r="G88">
        <v>16</v>
      </c>
      <c r="H88">
        <v>0</v>
      </c>
      <c r="I88">
        <v>0</v>
      </c>
      <c r="J88">
        <v>16</v>
      </c>
      <c r="K88" s="3">
        <f>E88/(VLOOKUP(B88,'2025 Team'!$B$2:$G$33,2,FALSE))</f>
        <v>1.8281535648994515E-3</v>
      </c>
    </row>
    <row r="89" spans="1:11" x14ac:dyDescent="0.25">
      <c r="A89" t="s">
        <v>172</v>
      </c>
      <c r="B89" t="s">
        <v>34</v>
      </c>
      <c r="C89" t="s">
        <v>153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 s="3">
        <f>E89/(VLOOKUP(B89,'2025 Team'!$B$2:$G$33,2,FALSE))</f>
        <v>1.8281535648994515E-3</v>
      </c>
    </row>
    <row r="90" spans="1:11" x14ac:dyDescent="0.25">
      <c r="A90" t="s">
        <v>173</v>
      </c>
      <c r="B90" t="s">
        <v>44</v>
      </c>
      <c r="C90" t="s">
        <v>174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 s="3">
        <f>E90/(VLOOKUP(B90,'2025 Team'!$B$2:$G$33,2,FALSE))</f>
        <v>1.6722408026755853E-3</v>
      </c>
    </row>
    <row r="91" spans="1:11" x14ac:dyDescent="0.25">
      <c r="A91" t="s">
        <v>175</v>
      </c>
      <c r="B91" t="s">
        <v>46</v>
      </c>
      <c r="C91" t="s">
        <v>163</v>
      </c>
      <c r="D91">
        <v>1</v>
      </c>
      <c r="E91">
        <v>1</v>
      </c>
      <c r="F91">
        <v>100</v>
      </c>
      <c r="G91">
        <v>8</v>
      </c>
      <c r="H91">
        <v>0</v>
      </c>
      <c r="I91">
        <v>0</v>
      </c>
      <c r="J91">
        <v>8</v>
      </c>
      <c r="K91" s="3">
        <f>E91/(VLOOKUP(B91,'2025 Team'!$B$2:$G$33,2,FALSE))</f>
        <v>2.0876826722338203E-3</v>
      </c>
    </row>
    <row r="92" spans="1:11" x14ac:dyDescent="0.25">
      <c r="A92" t="s">
        <v>176</v>
      </c>
      <c r="B92" t="s">
        <v>48</v>
      </c>
      <c r="C92" t="s">
        <v>159</v>
      </c>
      <c r="D92">
        <v>1</v>
      </c>
      <c r="E92">
        <v>1</v>
      </c>
      <c r="F92">
        <v>100</v>
      </c>
      <c r="G92">
        <v>32</v>
      </c>
      <c r="H92">
        <v>100</v>
      </c>
      <c r="I92">
        <v>0</v>
      </c>
      <c r="J92">
        <v>32</v>
      </c>
      <c r="K92" s="3">
        <f>E92/(VLOOKUP(B92,'2025 Team'!$B$2:$G$33,2,FALSE))</f>
        <v>2.0661157024793389E-3</v>
      </c>
    </row>
    <row r="93" spans="1:11" x14ac:dyDescent="0.25">
      <c r="A93" t="s">
        <v>177</v>
      </c>
      <c r="B93" t="s">
        <v>52</v>
      </c>
      <c r="C93" t="s">
        <v>163</v>
      </c>
      <c r="D93">
        <v>0</v>
      </c>
      <c r="E93">
        <v>1</v>
      </c>
      <c r="F93">
        <v>0</v>
      </c>
      <c r="G93">
        <v>0</v>
      </c>
      <c r="H93">
        <v>0</v>
      </c>
      <c r="I93">
        <v>100</v>
      </c>
      <c r="J93">
        <v>0</v>
      </c>
      <c r="K93" s="3">
        <f>E93/(VLOOKUP(B93,'2025 Team'!$B$2:$G$33,2,FALSE))</f>
        <v>1.6920473773265651E-3</v>
      </c>
    </row>
    <row r="94" spans="1:11" x14ac:dyDescent="0.25">
      <c r="A94" t="s">
        <v>178</v>
      </c>
      <c r="B94" t="s">
        <v>56</v>
      </c>
      <c r="C94" t="s">
        <v>159</v>
      </c>
      <c r="D94">
        <v>1</v>
      </c>
      <c r="E94">
        <v>1</v>
      </c>
      <c r="F94">
        <v>100</v>
      </c>
      <c r="G94">
        <v>4</v>
      </c>
      <c r="H94">
        <v>100</v>
      </c>
      <c r="I94">
        <v>0</v>
      </c>
      <c r="J94">
        <v>4</v>
      </c>
      <c r="K94" s="3">
        <f>E94/(VLOOKUP(B94,'2025 Team'!$B$2:$G$33,2,FALSE))</f>
        <v>2.0242914979757085E-3</v>
      </c>
    </row>
    <row r="95" spans="1:11" x14ac:dyDescent="0.25">
      <c r="A95" t="s">
        <v>179</v>
      </c>
      <c r="B95" t="s">
        <v>56</v>
      </c>
      <c r="C95" t="s">
        <v>165</v>
      </c>
      <c r="D95">
        <v>1</v>
      </c>
      <c r="E95">
        <v>1</v>
      </c>
      <c r="F95">
        <v>100</v>
      </c>
      <c r="G95">
        <v>3</v>
      </c>
      <c r="H95">
        <v>0</v>
      </c>
      <c r="I95">
        <v>0</v>
      </c>
      <c r="J95">
        <v>3</v>
      </c>
      <c r="K95" s="3">
        <f>E95/(VLOOKUP(B95,'2025 Team'!$B$2:$G$33,2,FALSE))</f>
        <v>2.0242914979757085E-3</v>
      </c>
    </row>
    <row r="96" spans="1:11" x14ac:dyDescent="0.25">
      <c r="A96" t="s">
        <v>180</v>
      </c>
      <c r="B96" t="s">
        <v>56</v>
      </c>
      <c r="C96" t="s">
        <v>163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 s="3">
        <f>E96/(VLOOKUP(B96,'2025 Team'!$B$2:$G$33,2,FALSE))</f>
        <v>2.0242914979757085E-3</v>
      </c>
    </row>
    <row r="97" spans="1:11" x14ac:dyDescent="0.25">
      <c r="A97" t="s">
        <v>181</v>
      </c>
      <c r="B97" t="s">
        <v>64</v>
      </c>
      <c r="C97" t="s">
        <v>163</v>
      </c>
      <c r="D97">
        <v>0</v>
      </c>
      <c r="E97">
        <v>1</v>
      </c>
      <c r="F97">
        <v>0</v>
      </c>
      <c r="G97">
        <v>0</v>
      </c>
      <c r="H97">
        <v>0</v>
      </c>
      <c r="I97">
        <v>100</v>
      </c>
      <c r="J97">
        <v>0</v>
      </c>
      <c r="K97" s="3">
        <f>E97/(VLOOKUP(B97,'2025 Team'!$B$2:$G$33,2,FALSE))</f>
        <v>2.0790020790020791E-3</v>
      </c>
    </row>
    <row r="98" spans="1:11" x14ac:dyDescent="0.25">
      <c r="A98" t="s">
        <v>182</v>
      </c>
      <c r="B98" t="s">
        <v>62</v>
      </c>
      <c r="C98" t="s">
        <v>159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 s="3">
        <f>E98/(VLOOKUP(B98,'2025 Team'!$B$2:$G$33,2,FALSE))</f>
        <v>1.7421602787456446E-3</v>
      </c>
    </row>
    <row r="99" spans="1:11" x14ac:dyDescent="0.25">
      <c r="A99" t="s">
        <v>183</v>
      </c>
      <c r="B99" t="s">
        <v>20</v>
      </c>
      <c r="C99" t="s">
        <v>82</v>
      </c>
      <c r="D99">
        <v>0</v>
      </c>
      <c r="E99">
        <v>0</v>
      </c>
      <c r="G99">
        <v>0</v>
      </c>
      <c r="K99" s="3">
        <f>E99/(VLOOKUP(B99,'2025 Team'!$B$2:$G$33,2,FALSE))</f>
        <v>0</v>
      </c>
    </row>
    <row r="100" spans="1:11" x14ac:dyDescent="0.25">
      <c r="A100" t="s">
        <v>184</v>
      </c>
      <c r="B100" t="s">
        <v>26</v>
      </c>
      <c r="C100" t="s">
        <v>163</v>
      </c>
      <c r="D100">
        <v>0</v>
      </c>
      <c r="E100">
        <v>0</v>
      </c>
      <c r="G100">
        <v>0</v>
      </c>
      <c r="K100" s="3">
        <f>E100/(VLOOKUP(B100,'2025 Team'!$B$2:$G$33,2,FALSE))</f>
        <v>0</v>
      </c>
    </row>
    <row r="101" spans="1:11" x14ac:dyDescent="0.25">
      <c r="A101" t="s">
        <v>185</v>
      </c>
      <c r="B101" t="s">
        <v>50</v>
      </c>
      <c r="C101" t="s">
        <v>186</v>
      </c>
      <c r="D101">
        <v>0</v>
      </c>
      <c r="E101">
        <v>0</v>
      </c>
      <c r="G101">
        <v>0</v>
      </c>
      <c r="K101" s="3">
        <f>E101/(VLOOKUP(B101,'2025 Team'!$B$2:$G$33,2,FALSE))</f>
        <v>0</v>
      </c>
    </row>
    <row r="102" spans="1:11" x14ac:dyDescent="0.25">
      <c r="A102" t="s">
        <v>187</v>
      </c>
      <c r="B102" t="s">
        <v>70</v>
      </c>
      <c r="C102" t="s">
        <v>163</v>
      </c>
      <c r="D102">
        <v>0</v>
      </c>
      <c r="E102">
        <v>0</v>
      </c>
      <c r="G102">
        <v>0</v>
      </c>
      <c r="K102" s="3">
        <f>E102/(VLOOKUP(B102,'2025 Team'!$B$2:$G$33,2,FALSE))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2"/>
  <sheetViews>
    <sheetView workbookViewId="0">
      <selection activeCell="C10" sqref="C10"/>
    </sheetView>
  </sheetViews>
  <sheetFormatPr defaultRowHeight="15" x14ac:dyDescent="0.25"/>
  <cols>
    <col min="1" max="1" width="19" customWidth="1"/>
    <col min="11" max="11" width="15.42578125" customWidth="1"/>
  </cols>
  <sheetData>
    <row r="1" spans="1:11" x14ac:dyDescent="0.25">
      <c r="A1" t="s">
        <v>71</v>
      </c>
      <c r="B1" t="s">
        <v>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t="s">
        <v>111</v>
      </c>
      <c r="B2" t="s">
        <v>20</v>
      </c>
      <c r="C2" t="s">
        <v>82</v>
      </c>
      <c r="D2">
        <v>460</v>
      </c>
      <c r="E2">
        <v>652</v>
      </c>
      <c r="F2">
        <v>70.599999999999994</v>
      </c>
      <c r="G2">
        <v>4918</v>
      </c>
      <c r="H2">
        <v>6.6</v>
      </c>
      <c r="I2">
        <v>1.4</v>
      </c>
      <c r="J2">
        <v>7.5</v>
      </c>
      <c r="K2" s="3">
        <f>E2/(VLOOKUP(B2,'2024 Team'!$B$2:$G$33,2,FALSE))</f>
        <v>1</v>
      </c>
    </row>
    <row r="3" spans="1:11" x14ac:dyDescent="0.25">
      <c r="A3" t="s">
        <v>85</v>
      </c>
      <c r="B3" t="s">
        <v>28</v>
      </c>
      <c r="C3" t="s">
        <v>82</v>
      </c>
      <c r="D3">
        <v>390</v>
      </c>
      <c r="E3">
        <v>539</v>
      </c>
      <c r="F3">
        <v>72.400000000000006</v>
      </c>
      <c r="G3">
        <v>4629</v>
      </c>
      <c r="H3">
        <v>6.9</v>
      </c>
      <c r="I3">
        <v>2.2000000000000002</v>
      </c>
      <c r="J3">
        <v>8.6</v>
      </c>
      <c r="K3" s="3">
        <f>E3/(VLOOKUP(B3,'2024 Team'!$B$2:$G$33,2,FALSE))</f>
        <v>0.97822141560798548</v>
      </c>
    </row>
    <row r="4" spans="1:11" x14ac:dyDescent="0.25">
      <c r="A4" t="s">
        <v>88</v>
      </c>
      <c r="B4" t="s">
        <v>66</v>
      </c>
      <c r="C4" t="s">
        <v>82</v>
      </c>
      <c r="D4">
        <v>407</v>
      </c>
      <c r="E4">
        <v>570</v>
      </c>
      <c r="F4">
        <v>71.400000000000006</v>
      </c>
      <c r="G4">
        <v>4500</v>
      </c>
      <c r="H4">
        <v>7.2</v>
      </c>
      <c r="I4">
        <v>2.8</v>
      </c>
      <c r="J4">
        <v>7.9</v>
      </c>
      <c r="K4" s="3">
        <f>E4/(VLOOKUP(B4,'2024 Team'!$B$2:$G$33,2,FALSE))</f>
        <v>0.99824868651488619</v>
      </c>
    </row>
    <row r="5" spans="1:11" x14ac:dyDescent="0.25">
      <c r="A5" t="s">
        <v>99</v>
      </c>
      <c r="B5" t="s">
        <v>64</v>
      </c>
      <c r="C5" t="s">
        <v>82</v>
      </c>
      <c r="D5">
        <v>407</v>
      </c>
      <c r="E5">
        <v>578</v>
      </c>
      <c r="F5">
        <v>70.400000000000006</v>
      </c>
      <c r="G5">
        <v>4320</v>
      </c>
      <c r="H5">
        <v>3.6</v>
      </c>
      <c r="I5">
        <v>2.6</v>
      </c>
      <c r="J5">
        <v>7.5</v>
      </c>
      <c r="K5" s="3">
        <f>E5/(VLOOKUP(B5,'2024 Team'!$B$2:$G$33,2,FALSE))</f>
        <v>0.97470489038785835</v>
      </c>
    </row>
    <row r="6" spans="1:11" x14ac:dyDescent="0.25">
      <c r="A6" t="s">
        <v>96</v>
      </c>
      <c r="B6" t="s">
        <v>48</v>
      </c>
      <c r="C6" t="s">
        <v>82</v>
      </c>
      <c r="D6">
        <v>361</v>
      </c>
      <c r="E6">
        <v>545</v>
      </c>
      <c r="F6">
        <v>66.2</v>
      </c>
      <c r="G6">
        <v>4319</v>
      </c>
      <c r="H6">
        <v>6.4</v>
      </c>
      <c r="I6">
        <v>2.2000000000000002</v>
      </c>
      <c r="J6">
        <v>7.9</v>
      </c>
      <c r="K6" s="3">
        <f>E6/(VLOOKUP(B6,'2024 Team'!$B$2:$G$33,2,FALSE))</f>
        <v>0.99452554744525545</v>
      </c>
    </row>
    <row r="7" spans="1:11" x14ac:dyDescent="0.25">
      <c r="A7" t="s">
        <v>106</v>
      </c>
      <c r="B7" t="s">
        <v>12</v>
      </c>
      <c r="C7" t="s">
        <v>82</v>
      </c>
      <c r="D7">
        <v>316</v>
      </c>
      <c r="E7">
        <v>474</v>
      </c>
      <c r="F7">
        <v>66.7</v>
      </c>
      <c r="G7">
        <v>4172</v>
      </c>
      <c r="H7">
        <v>8.6</v>
      </c>
      <c r="I7">
        <v>0.8</v>
      </c>
      <c r="J7">
        <v>8.8000000000000007</v>
      </c>
      <c r="K7" s="3">
        <f>E7/(VLOOKUP(B7,'2024 Team'!$B$2:$G$33,2,FALSE))</f>
        <v>0.99371069182389937</v>
      </c>
    </row>
    <row r="8" spans="1:11" x14ac:dyDescent="0.25">
      <c r="A8" t="s">
        <v>91</v>
      </c>
      <c r="B8" t="s">
        <v>38</v>
      </c>
      <c r="C8" t="s">
        <v>82</v>
      </c>
      <c r="D8">
        <v>392</v>
      </c>
      <c r="E8">
        <v>581</v>
      </c>
      <c r="F8">
        <v>67.5</v>
      </c>
      <c r="G8">
        <v>3928</v>
      </c>
      <c r="H8">
        <v>4.5</v>
      </c>
      <c r="I8">
        <v>1.9</v>
      </c>
      <c r="J8">
        <v>6.8</v>
      </c>
      <c r="K8" s="3">
        <f>E8/(VLOOKUP(B8,'2024 Team'!$B$2:$G$33,2,FALSE))</f>
        <v>0.96833333333333338</v>
      </c>
    </row>
    <row r="9" spans="1:11" x14ac:dyDescent="0.25">
      <c r="A9" t="s">
        <v>92</v>
      </c>
      <c r="B9" t="s">
        <v>56</v>
      </c>
      <c r="C9" t="s">
        <v>82</v>
      </c>
      <c r="D9">
        <v>368</v>
      </c>
      <c r="E9">
        <v>584</v>
      </c>
      <c r="F9">
        <v>63</v>
      </c>
      <c r="G9">
        <v>3897</v>
      </c>
      <c r="H9">
        <v>4.8</v>
      </c>
      <c r="I9">
        <v>1.9</v>
      </c>
      <c r="J9">
        <v>6.7</v>
      </c>
      <c r="K9" s="3">
        <f>E9/(VLOOKUP(B9,'2024 Team'!$B$2:$G$33,2,FALSE))</f>
        <v>0.96210873146622733</v>
      </c>
    </row>
    <row r="10" spans="1:11" x14ac:dyDescent="0.25">
      <c r="A10" t="s">
        <v>90</v>
      </c>
      <c r="B10" t="s">
        <v>42</v>
      </c>
      <c r="C10" t="s">
        <v>82</v>
      </c>
      <c r="D10">
        <v>332</v>
      </c>
      <c r="E10">
        <v>504</v>
      </c>
      <c r="F10">
        <v>65.900000000000006</v>
      </c>
      <c r="G10">
        <v>3870</v>
      </c>
      <c r="H10">
        <v>4.5999999999999996</v>
      </c>
      <c r="I10">
        <v>0.6</v>
      </c>
      <c r="J10">
        <v>7.7</v>
      </c>
      <c r="K10" s="3">
        <f>E10/(VLOOKUP(B10,'2024 Team'!$B$2:$G$33,2,FALSE))</f>
        <v>0.9882352941176471</v>
      </c>
    </row>
    <row r="11" spans="1:11" x14ac:dyDescent="0.25">
      <c r="A11" t="s">
        <v>108</v>
      </c>
      <c r="B11" t="s">
        <v>62</v>
      </c>
      <c r="C11" t="s">
        <v>82</v>
      </c>
      <c r="D11">
        <v>300</v>
      </c>
      <c r="E11">
        <v>455</v>
      </c>
      <c r="F11">
        <v>65.900000000000006</v>
      </c>
      <c r="G11">
        <v>3864</v>
      </c>
      <c r="H11">
        <v>4.4000000000000004</v>
      </c>
      <c r="I11">
        <v>2.6</v>
      </c>
      <c r="J11">
        <v>8.5</v>
      </c>
      <c r="K11" s="3">
        <f>E11/(VLOOKUP(B11,'2024 Team'!$B$2:$G$33,2,FALSE))</f>
        <v>0.85365853658536583</v>
      </c>
    </row>
    <row r="12" spans="1:11" x14ac:dyDescent="0.25">
      <c r="A12" t="s">
        <v>121</v>
      </c>
      <c r="B12" t="s">
        <v>8</v>
      </c>
      <c r="C12" t="s">
        <v>82</v>
      </c>
      <c r="D12">
        <v>372</v>
      </c>
      <c r="E12">
        <v>541</v>
      </c>
      <c r="F12">
        <v>68.8</v>
      </c>
      <c r="G12">
        <v>3851</v>
      </c>
      <c r="H12">
        <v>3.9</v>
      </c>
      <c r="I12">
        <v>2</v>
      </c>
      <c r="J12">
        <v>7.1</v>
      </c>
      <c r="K12" s="3">
        <f>E12/(VLOOKUP(B12,'2024 Team'!$B$2:$G$33,2,FALSE))</f>
        <v>0.99631675874769798</v>
      </c>
    </row>
    <row r="13" spans="1:11" x14ac:dyDescent="0.25">
      <c r="A13" t="s">
        <v>81</v>
      </c>
      <c r="B13" t="s">
        <v>26</v>
      </c>
      <c r="C13" t="s">
        <v>82</v>
      </c>
      <c r="D13">
        <v>376</v>
      </c>
      <c r="E13">
        <v>567</v>
      </c>
      <c r="F13">
        <v>66.3</v>
      </c>
      <c r="G13">
        <v>3775</v>
      </c>
      <c r="H13">
        <v>5.0999999999999996</v>
      </c>
      <c r="I13">
        <v>2.1</v>
      </c>
      <c r="J13">
        <v>6.7</v>
      </c>
      <c r="K13" s="3">
        <f>E13/(VLOOKUP(B13,'2024 Team'!$B$2:$G$33,2,FALSE))</f>
        <v>0.99473684210526314</v>
      </c>
    </row>
    <row r="14" spans="1:11" x14ac:dyDescent="0.25">
      <c r="A14" t="s">
        <v>84</v>
      </c>
      <c r="B14" t="s">
        <v>44</v>
      </c>
      <c r="C14" t="s">
        <v>82</v>
      </c>
      <c r="D14">
        <v>340</v>
      </c>
      <c r="E14">
        <v>517</v>
      </c>
      <c r="F14">
        <v>65.8</v>
      </c>
      <c r="G14">
        <v>3762</v>
      </c>
      <c r="H14">
        <v>3.9</v>
      </c>
      <c r="I14">
        <v>1.5</v>
      </c>
      <c r="J14">
        <v>7.3</v>
      </c>
      <c r="K14" s="3">
        <f>E14/(VLOOKUP(B14,'2024 Team'!$B$2:$G$33,2,FALSE))</f>
        <v>0.92486583184257598</v>
      </c>
    </row>
    <row r="15" spans="1:11" x14ac:dyDescent="0.25">
      <c r="A15" t="s">
        <v>97</v>
      </c>
      <c r="B15" t="s">
        <v>14</v>
      </c>
      <c r="C15" t="s">
        <v>82</v>
      </c>
      <c r="D15">
        <v>307</v>
      </c>
      <c r="E15">
        <v>483</v>
      </c>
      <c r="F15">
        <v>63.6</v>
      </c>
      <c r="G15">
        <v>3731</v>
      </c>
      <c r="H15">
        <v>5.8</v>
      </c>
      <c r="I15">
        <v>1.2</v>
      </c>
      <c r="J15">
        <v>7.7</v>
      </c>
      <c r="K15" s="3">
        <f>E15/(VLOOKUP(B15,'2024 Team'!$B$2:$G$33,2,FALSE))</f>
        <v>0.92884615384615388</v>
      </c>
    </row>
    <row r="16" spans="1:11" x14ac:dyDescent="0.25">
      <c r="A16" t="s">
        <v>101</v>
      </c>
      <c r="B16" t="s">
        <v>32</v>
      </c>
      <c r="C16" t="s">
        <v>82</v>
      </c>
      <c r="D16">
        <v>336</v>
      </c>
      <c r="E16">
        <v>532</v>
      </c>
      <c r="F16">
        <v>63.2</v>
      </c>
      <c r="G16">
        <v>3727</v>
      </c>
      <c r="H16">
        <v>3.8</v>
      </c>
      <c r="I16">
        <v>2.2999999999999998</v>
      </c>
      <c r="J16">
        <v>7</v>
      </c>
      <c r="K16" s="3">
        <f>E16/(VLOOKUP(B16,'2024 Team'!$B$2:$G$33,2,FALSE))</f>
        <v>0.93333333333333335</v>
      </c>
    </row>
    <row r="17" spans="1:11" x14ac:dyDescent="0.25">
      <c r="A17" t="s">
        <v>118</v>
      </c>
      <c r="B17" t="s">
        <v>70</v>
      </c>
      <c r="C17" t="s">
        <v>82</v>
      </c>
      <c r="D17">
        <v>331</v>
      </c>
      <c r="E17">
        <v>480</v>
      </c>
      <c r="F17">
        <v>69</v>
      </c>
      <c r="G17">
        <v>3568</v>
      </c>
      <c r="H17">
        <v>5.2</v>
      </c>
      <c r="I17">
        <v>1.9</v>
      </c>
      <c r="J17">
        <v>7.4</v>
      </c>
      <c r="K17" s="3">
        <f>E17/(VLOOKUP(B17,'2024 Team'!$B$2:$G$33,2,FALSE))</f>
        <v>0.91428571428571426</v>
      </c>
    </row>
    <row r="18" spans="1:11" x14ac:dyDescent="0.25">
      <c r="A18" t="s">
        <v>86</v>
      </c>
      <c r="B18" t="s">
        <v>18</v>
      </c>
      <c r="C18" t="s">
        <v>82</v>
      </c>
      <c r="D18">
        <v>351</v>
      </c>
      <c r="E18">
        <v>562</v>
      </c>
      <c r="F18">
        <v>62.5</v>
      </c>
      <c r="G18">
        <v>3541</v>
      </c>
      <c r="H18">
        <v>3.6</v>
      </c>
      <c r="I18">
        <v>1.1000000000000001</v>
      </c>
      <c r="J18">
        <v>6.3</v>
      </c>
      <c r="K18" s="3">
        <f>E18/(VLOOKUP(B18,'2024 Team'!$B$2:$G$33,2,FALSE))</f>
        <v>0.99293286219081267</v>
      </c>
    </row>
    <row r="19" spans="1:11" x14ac:dyDescent="0.25">
      <c r="A19" t="s">
        <v>110</v>
      </c>
      <c r="B19" t="s">
        <v>10</v>
      </c>
      <c r="C19" t="s">
        <v>82</v>
      </c>
      <c r="D19">
        <v>303</v>
      </c>
      <c r="E19">
        <v>453</v>
      </c>
      <c r="F19">
        <v>66.900000000000006</v>
      </c>
      <c r="G19">
        <v>3508</v>
      </c>
      <c r="H19">
        <v>4</v>
      </c>
      <c r="I19">
        <v>3.5</v>
      </c>
      <c r="J19">
        <v>7.7</v>
      </c>
      <c r="K19" s="3">
        <f>E19/(VLOOKUP(B19,'2024 Team'!$B$2:$G$33,2,FALSE))</f>
        <v>0.8103756708407871</v>
      </c>
    </row>
    <row r="20" spans="1:11" x14ac:dyDescent="0.25">
      <c r="A20" t="s">
        <v>100</v>
      </c>
      <c r="B20" t="s">
        <v>30</v>
      </c>
      <c r="C20" t="s">
        <v>82</v>
      </c>
      <c r="D20">
        <v>268</v>
      </c>
      <c r="E20">
        <v>425</v>
      </c>
      <c r="F20">
        <v>63.1</v>
      </c>
      <c r="G20">
        <v>3389</v>
      </c>
      <c r="H20">
        <v>5.9</v>
      </c>
      <c r="I20">
        <v>2.6</v>
      </c>
      <c r="J20">
        <v>8</v>
      </c>
      <c r="K20" s="3">
        <f>E20/(VLOOKUP(B20,'2024 Team'!$B$2:$G$33,2,FALSE))</f>
        <v>0.88726513569937371</v>
      </c>
    </row>
    <row r="21" spans="1:11" x14ac:dyDescent="0.25">
      <c r="A21" t="s">
        <v>98</v>
      </c>
      <c r="B21" t="s">
        <v>58</v>
      </c>
      <c r="C21" t="s">
        <v>82</v>
      </c>
      <c r="D21">
        <v>248</v>
      </c>
      <c r="E21">
        <v>361</v>
      </c>
      <c r="F21">
        <v>68.7</v>
      </c>
      <c r="G21">
        <v>2903</v>
      </c>
      <c r="H21">
        <v>5</v>
      </c>
      <c r="I21">
        <v>1.4</v>
      </c>
      <c r="J21">
        <v>8</v>
      </c>
      <c r="K21" s="3">
        <f>E21/(VLOOKUP(B21,'2024 Team'!$B$2:$G$33,2,FALSE))</f>
        <v>0.8058035714285714</v>
      </c>
    </row>
    <row r="22" spans="1:11" x14ac:dyDescent="0.25">
      <c r="A22" t="s">
        <v>103</v>
      </c>
      <c r="B22" t="s">
        <v>46</v>
      </c>
      <c r="C22" t="s">
        <v>82</v>
      </c>
      <c r="D22">
        <v>291</v>
      </c>
      <c r="E22">
        <v>399</v>
      </c>
      <c r="F22">
        <v>72.900000000000006</v>
      </c>
      <c r="G22">
        <v>2867</v>
      </c>
      <c r="H22">
        <v>4.8</v>
      </c>
      <c r="I22">
        <v>1.8</v>
      </c>
      <c r="J22">
        <v>7.2</v>
      </c>
      <c r="K22" s="3">
        <f>E22/(VLOOKUP(B22,'2024 Team'!$B$2:$G$33,2,FALSE))</f>
        <v>0.67512690355329952</v>
      </c>
    </row>
    <row r="23" spans="1:11" x14ac:dyDescent="0.25">
      <c r="A23" t="s">
        <v>126</v>
      </c>
      <c r="B23" t="s">
        <v>60</v>
      </c>
      <c r="C23" t="s">
        <v>82</v>
      </c>
      <c r="D23">
        <v>214</v>
      </c>
      <c r="E23">
        <v>336</v>
      </c>
      <c r="F23">
        <v>63.7</v>
      </c>
      <c r="G23">
        <v>2482</v>
      </c>
      <c r="H23">
        <v>4.8</v>
      </c>
      <c r="I23">
        <v>1.5</v>
      </c>
      <c r="J23">
        <v>7.4</v>
      </c>
      <c r="K23" s="3">
        <f>E23/(VLOOKUP(B23,'2024 Team'!$B$2:$G$33,2,FALSE))</f>
        <v>0.67334669338677355</v>
      </c>
    </row>
    <row r="24" spans="1:11" x14ac:dyDescent="0.25">
      <c r="A24" t="s">
        <v>95</v>
      </c>
      <c r="B24" t="s">
        <v>16</v>
      </c>
      <c r="C24" t="s">
        <v>82</v>
      </c>
      <c r="D24">
        <v>234</v>
      </c>
      <c r="E24">
        <v>384</v>
      </c>
      <c r="F24">
        <v>60.9</v>
      </c>
      <c r="G24">
        <v>2403</v>
      </c>
      <c r="H24">
        <v>3.9</v>
      </c>
      <c r="I24">
        <v>2.2999999999999998</v>
      </c>
      <c r="J24">
        <v>6.3</v>
      </c>
      <c r="K24" s="3">
        <f>E24/(VLOOKUP(B24,'2024 Team'!$B$2:$G$33,2,FALSE))</f>
        <v>0.70201096892138937</v>
      </c>
    </row>
    <row r="25" spans="1:11" x14ac:dyDescent="0.25">
      <c r="A25" t="s">
        <v>93</v>
      </c>
      <c r="B25" t="s">
        <v>50</v>
      </c>
      <c r="C25" t="s">
        <v>82</v>
      </c>
      <c r="D25">
        <v>225</v>
      </c>
      <c r="E25">
        <v>338</v>
      </c>
      <c r="F25">
        <v>66.599999999999994</v>
      </c>
      <c r="G25">
        <v>2276</v>
      </c>
      <c r="H25">
        <v>4.4000000000000004</v>
      </c>
      <c r="I25">
        <v>3</v>
      </c>
      <c r="J25">
        <v>6.7</v>
      </c>
      <c r="K25" s="3">
        <f>E25/(VLOOKUP(B25,'2024 Team'!$B$2:$G$33,2,FALSE))</f>
        <v>0.63894139886578449</v>
      </c>
    </row>
    <row r="26" spans="1:11" x14ac:dyDescent="0.25">
      <c r="A26" t="s">
        <v>1552</v>
      </c>
      <c r="B26" t="s">
        <v>52</v>
      </c>
      <c r="C26" t="s">
        <v>82</v>
      </c>
      <c r="D26">
        <v>189</v>
      </c>
      <c r="E26">
        <v>279</v>
      </c>
      <c r="F26">
        <v>67.7</v>
      </c>
      <c r="G26">
        <v>2145</v>
      </c>
      <c r="H26">
        <v>5.4</v>
      </c>
      <c r="I26">
        <v>1.8</v>
      </c>
      <c r="J26">
        <v>7.7</v>
      </c>
      <c r="K26" s="3">
        <f>E26/(VLOOKUP(B26,'2024 Team'!$B$2:$G$33,2,FALSE))</f>
        <v>0.50635208711433755</v>
      </c>
    </row>
    <row r="27" spans="1:11" x14ac:dyDescent="0.25">
      <c r="A27" t="s">
        <v>132</v>
      </c>
      <c r="B27" t="s">
        <v>22</v>
      </c>
      <c r="C27" t="s">
        <v>82</v>
      </c>
      <c r="D27">
        <v>181</v>
      </c>
      <c r="E27">
        <v>296</v>
      </c>
      <c r="F27">
        <v>61.1</v>
      </c>
      <c r="G27">
        <v>2121</v>
      </c>
      <c r="H27">
        <v>4.4000000000000004</v>
      </c>
      <c r="I27">
        <v>4.0999999999999996</v>
      </c>
      <c r="J27">
        <v>7.2</v>
      </c>
      <c r="K27" s="3">
        <f>E27/(VLOOKUP(B27,'2024 Team'!$B$2:$G$33,2,FALSE))</f>
        <v>0.44780635400907715</v>
      </c>
    </row>
    <row r="28" spans="1:11" x14ac:dyDescent="0.25">
      <c r="A28" t="s">
        <v>1554</v>
      </c>
      <c r="B28" t="s">
        <v>68</v>
      </c>
      <c r="C28" t="s">
        <v>82</v>
      </c>
      <c r="D28">
        <v>190</v>
      </c>
      <c r="E28">
        <v>301</v>
      </c>
      <c r="F28">
        <v>63.1</v>
      </c>
      <c r="G28">
        <v>2091</v>
      </c>
      <c r="H28">
        <v>4.3</v>
      </c>
      <c r="I28">
        <v>4</v>
      </c>
      <c r="J28">
        <v>6.9</v>
      </c>
      <c r="K28" s="3">
        <f>E28/(VLOOKUP(B28,'2024 Team'!$B$2:$G$33,2,FALSE))</f>
        <v>0.56792452830188678</v>
      </c>
    </row>
    <row r="29" spans="1:11" x14ac:dyDescent="0.25">
      <c r="A29" t="s">
        <v>102</v>
      </c>
      <c r="B29" t="s">
        <v>54</v>
      </c>
      <c r="C29" t="s">
        <v>82</v>
      </c>
      <c r="D29">
        <v>216</v>
      </c>
      <c r="E29">
        <v>341</v>
      </c>
      <c r="F29">
        <v>63.3</v>
      </c>
      <c r="G29">
        <v>2070</v>
      </c>
      <c r="H29">
        <v>2.2999999999999998</v>
      </c>
      <c r="I29">
        <v>2.1</v>
      </c>
      <c r="J29">
        <v>6.1</v>
      </c>
      <c r="K29" s="3">
        <f>E29/(VLOOKUP(B29,'2024 Team'!$B$2:$G$33,2,FALSE))</f>
        <v>0.5769881556683587</v>
      </c>
    </row>
    <row r="30" spans="1:11" x14ac:dyDescent="0.25">
      <c r="A30" t="s">
        <v>87</v>
      </c>
      <c r="B30" t="s">
        <v>36</v>
      </c>
      <c r="C30" t="s">
        <v>82</v>
      </c>
      <c r="D30">
        <v>172</v>
      </c>
      <c r="E30">
        <v>284</v>
      </c>
      <c r="F30">
        <v>60.6</v>
      </c>
      <c r="G30">
        <v>2045</v>
      </c>
      <c r="H30">
        <v>3.9</v>
      </c>
      <c r="I30">
        <v>2.5</v>
      </c>
      <c r="J30">
        <v>7.2</v>
      </c>
      <c r="K30" s="3">
        <f>E30/(VLOOKUP(B30,'2024 Team'!$B$2:$G$33,2,FALSE))</f>
        <v>0.52014652014652019</v>
      </c>
    </row>
    <row r="31" spans="1:11" x14ac:dyDescent="0.25">
      <c r="A31" t="s">
        <v>149</v>
      </c>
      <c r="B31" t="s">
        <v>40</v>
      </c>
      <c r="C31" t="s">
        <v>82</v>
      </c>
      <c r="D31">
        <v>203</v>
      </c>
      <c r="E31">
        <v>306</v>
      </c>
      <c r="F31">
        <v>66.3</v>
      </c>
      <c r="G31">
        <v>2013</v>
      </c>
      <c r="H31">
        <v>2.9</v>
      </c>
      <c r="I31">
        <v>3.3</v>
      </c>
      <c r="J31">
        <v>6.6</v>
      </c>
      <c r="K31" s="3">
        <f>E31/(VLOOKUP(B31,'2024 Team'!$B$2:$G$33,2,FALSE))</f>
        <v>0.48188976377952758</v>
      </c>
    </row>
    <row r="32" spans="1:11" x14ac:dyDescent="0.25">
      <c r="A32" t="s">
        <v>83</v>
      </c>
      <c r="B32" t="s">
        <v>24</v>
      </c>
      <c r="C32" t="s">
        <v>82</v>
      </c>
      <c r="D32">
        <v>185</v>
      </c>
      <c r="E32">
        <v>286</v>
      </c>
      <c r="F32">
        <v>64.7</v>
      </c>
      <c r="G32">
        <v>1978</v>
      </c>
      <c r="H32">
        <v>3.8</v>
      </c>
      <c r="I32">
        <v>2.8</v>
      </c>
      <c r="J32">
        <v>6.9</v>
      </c>
      <c r="K32" s="3">
        <f>E32/(VLOOKUP(B32,'2024 Team'!$B$2:$G$33,2,FALSE))</f>
        <v>0.44897959183673469</v>
      </c>
    </row>
    <row r="33" spans="1:11" x14ac:dyDescent="0.25">
      <c r="A33" t="s">
        <v>136</v>
      </c>
      <c r="B33" t="s">
        <v>24</v>
      </c>
      <c r="C33" t="s">
        <v>82</v>
      </c>
      <c r="D33">
        <v>187</v>
      </c>
      <c r="E33">
        <v>308</v>
      </c>
      <c r="F33">
        <v>60.7</v>
      </c>
      <c r="G33">
        <v>1844</v>
      </c>
      <c r="H33">
        <v>3.9</v>
      </c>
      <c r="I33">
        <v>1.6</v>
      </c>
      <c r="J33">
        <v>6</v>
      </c>
      <c r="K33" s="3">
        <f>E33/(VLOOKUP(B33,'2024 Team'!$B$2:$G$33,2,FALSE))</f>
        <v>0.48351648351648352</v>
      </c>
    </row>
    <row r="34" spans="1:11" x14ac:dyDescent="0.25">
      <c r="A34" t="s">
        <v>161</v>
      </c>
      <c r="B34" t="s">
        <v>34</v>
      </c>
      <c r="C34" t="s">
        <v>82</v>
      </c>
      <c r="D34">
        <v>126</v>
      </c>
      <c r="E34">
        <v>264</v>
      </c>
      <c r="F34">
        <v>47.7</v>
      </c>
      <c r="G34">
        <v>1814</v>
      </c>
      <c r="H34">
        <v>3</v>
      </c>
      <c r="I34">
        <v>4.5</v>
      </c>
      <c r="J34">
        <v>6.9</v>
      </c>
      <c r="K34" s="3">
        <f>E34/(VLOOKUP(B34,'2024 Team'!$B$2:$G$33,2,FALSE))</f>
        <v>0.51461988304093564</v>
      </c>
    </row>
    <row r="35" spans="1:11" x14ac:dyDescent="0.25">
      <c r="A35" t="s">
        <v>113</v>
      </c>
      <c r="B35" t="s">
        <v>34</v>
      </c>
      <c r="C35" t="s">
        <v>82</v>
      </c>
      <c r="D35">
        <v>162</v>
      </c>
      <c r="E35">
        <v>248</v>
      </c>
      <c r="F35">
        <v>65.3</v>
      </c>
      <c r="G35">
        <v>1761</v>
      </c>
      <c r="H35">
        <v>4.8</v>
      </c>
      <c r="I35">
        <v>2.8</v>
      </c>
      <c r="J35">
        <v>7.1</v>
      </c>
      <c r="K35" s="3">
        <f>E35/(VLOOKUP(B35,'2024 Team'!$B$2:$G$33,2,FALSE))</f>
        <v>0.48343079922027288</v>
      </c>
    </row>
    <row r="36" spans="1:11" x14ac:dyDescent="0.25">
      <c r="A36" t="s">
        <v>107</v>
      </c>
      <c r="B36" t="s">
        <v>36</v>
      </c>
      <c r="C36" t="s">
        <v>82</v>
      </c>
      <c r="D36">
        <v>171</v>
      </c>
      <c r="E36">
        <v>262</v>
      </c>
      <c r="F36">
        <v>65.3</v>
      </c>
      <c r="G36">
        <v>1672</v>
      </c>
      <c r="H36">
        <v>3.1</v>
      </c>
      <c r="I36">
        <v>3.1</v>
      </c>
      <c r="J36">
        <v>6.4</v>
      </c>
      <c r="K36" s="3">
        <f>E36/(VLOOKUP(B36,'2024 Team'!$B$2:$G$33,2,FALSE))</f>
        <v>0.47985347985347987</v>
      </c>
    </row>
    <row r="37" spans="1:11" x14ac:dyDescent="0.25">
      <c r="A37" t="s">
        <v>145</v>
      </c>
      <c r="B37" t="s">
        <v>40</v>
      </c>
      <c r="C37" t="s">
        <v>82</v>
      </c>
      <c r="D37">
        <v>154</v>
      </c>
      <c r="E37">
        <v>243</v>
      </c>
      <c r="F37">
        <v>63.4</v>
      </c>
      <c r="G37">
        <v>1612</v>
      </c>
      <c r="H37">
        <v>3.3</v>
      </c>
      <c r="I37">
        <v>1.6</v>
      </c>
      <c r="J37">
        <v>6.6</v>
      </c>
      <c r="K37" s="3">
        <f>E37/(VLOOKUP(B37,'2024 Team'!$B$2:$G$33,2,FALSE))</f>
        <v>0.38267716535433072</v>
      </c>
    </row>
    <row r="38" spans="1:11" x14ac:dyDescent="0.25">
      <c r="A38" t="s">
        <v>137</v>
      </c>
      <c r="B38" t="s">
        <v>68</v>
      </c>
      <c r="C38" t="s">
        <v>82</v>
      </c>
      <c r="D38">
        <v>146</v>
      </c>
      <c r="E38">
        <v>228</v>
      </c>
      <c r="F38">
        <v>64</v>
      </c>
      <c r="G38">
        <v>1530</v>
      </c>
      <c r="H38">
        <v>3.9</v>
      </c>
      <c r="I38">
        <v>3.9</v>
      </c>
      <c r="J38">
        <v>6.7</v>
      </c>
      <c r="K38" s="3">
        <f>E38/(VLOOKUP(B38,'2024 Team'!$B$2:$G$33,2,FALSE))</f>
        <v>0.43018867924528303</v>
      </c>
    </row>
    <row r="39" spans="1:11" x14ac:dyDescent="0.25">
      <c r="A39" t="s">
        <v>112</v>
      </c>
      <c r="B39" t="s">
        <v>52</v>
      </c>
      <c r="C39" t="s">
        <v>82</v>
      </c>
      <c r="D39">
        <v>130</v>
      </c>
      <c r="E39">
        <v>228</v>
      </c>
      <c r="F39">
        <v>57</v>
      </c>
      <c r="G39">
        <v>1317</v>
      </c>
      <c r="H39">
        <v>1.8</v>
      </c>
      <c r="I39">
        <v>2.2000000000000002</v>
      </c>
      <c r="J39">
        <v>5.8</v>
      </c>
      <c r="K39" s="3">
        <f>E39/(VLOOKUP(B39,'2024 Team'!$B$2:$G$33,2,FALSE))</f>
        <v>0.41379310344827586</v>
      </c>
    </row>
    <row r="40" spans="1:11" x14ac:dyDescent="0.25">
      <c r="A40" t="s">
        <v>1558</v>
      </c>
      <c r="B40" t="s">
        <v>22</v>
      </c>
      <c r="C40" t="s">
        <v>82</v>
      </c>
      <c r="D40">
        <v>137</v>
      </c>
      <c r="E40">
        <v>216</v>
      </c>
      <c r="F40">
        <v>63.4</v>
      </c>
      <c r="G40">
        <v>1148</v>
      </c>
      <c r="H40">
        <v>2.2999999999999998</v>
      </c>
      <c r="I40">
        <v>1.4</v>
      </c>
      <c r="J40">
        <v>5.3</v>
      </c>
      <c r="K40" s="3">
        <f>E40/(VLOOKUP(B40,'2024 Team'!$B$2:$G$33,2,FALSE))</f>
        <v>0.32677760968229952</v>
      </c>
    </row>
    <row r="41" spans="1:11" x14ac:dyDescent="0.25">
      <c r="A41" t="s">
        <v>117</v>
      </c>
      <c r="B41" t="s">
        <v>60</v>
      </c>
      <c r="C41" t="s">
        <v>82</v>
      </c>
      <c r="D41">
        <v>106</v>
      </c>
      <c r="E41">
        <v>161</v>
      </c>
      <c r="F41">
        <v>65.8</v>
      </c>
      <c r="G41">
        <v>1106</v>
      </c>
      <c r="H41">
        <v>3.1</v>
      </c>
      <c r="I41">
        <v>0.6</v>
      </c>
      <c r="J41">
        <v>6.9</v>
      </c>
      <c r="K41" s="3">
        <f>E41/(VLOOKUP(B41,'2024 Team'!$B$2:$G$33,2,FALSE))</f>
        <v>0.32264529058116231</v>
      </c>
    </row>
    <row r="42" spans="1:11" x14ac:dyDescent="0.25">
      <c r="A42" t="s">
        <v>156</v>
      </c>
      <c r="B42" t="s">
        <v>54</v>
      </c>
      <c r="C42" t="s">
        <v>82</v>
      </c>
      <c r="D42">
        <v>107</v>
      </c>
      <c r="E42">
        <v>181</v>
      </c>
      <c r="F42">
        <v>59.1</v>
      </c>
      <c r="G42">
        <v>1071</v>
      </c>
      <c r="H42">
        <v>3.3</v>
      </c>
      <c r="I42">
        <v>2.8</v>
      </c>
      <c r="J42">
        <v>5.9</v>
      </c>
      <c r="K42" s="3">
        <f>E42/(VLOOKUP(B42,'2024 Team'!$B$2:$G$33,2,FALSE))</f>
        <v>0.30626057529610828</v>
      </c>
    </row>
    <row r="43" spans="1:11" x14ac:dyDescent="0.25">
      <c r="A43" t="s">
        <v>140</v>
      </c>
      <c r="B43" t="s">
        <v>16</v>
      </c>
      <c r="C43" t="s">
        <v>82</v>
      </c>
      <c r="D43">
        <v>106</v>
      </c>
      <c r="E43">
        <v>160</v>
      </c>
      <c r="F43">
        <v>66.3</v>
      </c>
      <c r="G43">
        <v>989</v>
      </c>
      <c r="H43">
        <v>4.4000000000000004</v>
      </c>
      <c r="I43">
        <v>3.8</v>
      </c>
      <c r="J43">
        <v>6.2</v>
      </c>
      <c r="K43" s="3">
        <f>E43/(VLOOKUP(B43,'2024 Team'!$B$2:$G$33,2,FALSE))</f>
        <v>0.29250457038391225</v>
      </c>
    </row>
    <row r="44" spans="1:11" x14ac:dyDescent="0.25">
      <c r="A44" t="s">
        <v>130</v>
      </c>
      <c r="B44" t="s">
        <v>46</v>
      </c>
      <c r="C44" t="s">
        <v>82</v>
      </c>
      <c r="D44">
        <v>86</v>
      </c>
      <c r="E44">
        <v>133</v>
      </c>
      <c r="F44">
        <v>64.7</v>
      </c>
      <c r="G44">
        <v>829</v>
      </c>
      <c r="H44">
        <v>2.2999999999999998</v>
      </c>
      <c r="I44">
        <v>2.2999999999999998</v>
      </c>
      <c r="J44">
        <v>6.2</v>
      </c>
      <c r="K44" s="3">
        <f>E44/(VLOOKUP(B44,'2024 Team'!$B$2:$G$33,2,FALSE))</f>
        <v>0.22504230118443316</v>
      </c>
    </row>
    <row r="45" spans="1:11" x14ac:dyDescent="0.25">
      <c r="A45" t="s">
        <v>94</v>
      </c>
      <c r="B45" t="s">
        <v>50</v>
      </c>
      <c r="C45" t="s">
        <v>82</v>
      </c>
      <c r="D45">
        <v>95</v>
      </c>
      <c r="E45">
        <v>161</v>
      </c>
      <c r="F45">
        <v>59</v>
      </c>
      <c r="G45">
        <v>826</v>
      </c>
      <c r="H45">
        <v>1.2</v>
      </c>
      <c r="I45">
        <v>0.6</v>
      </c>
      <c r="J45">
        <v>5.0999999999999996</v>
      </c>
      <c r="K45" s="3">
        <f>E45/(VLOOKUP(B45,'2024 Team'!$B$2:$G$33,2,FALSE))</f>
        <v>0.30434782608695654</v>
      </c>
    </row>
    <row r="46" spans="1:11" x14ac:dyDescent="0.25">
      <c r="A46" t="s">
        <v>109</v>
      </c>
      <c r="B46" t="s">
        <v>10</v>
      </c>
      <c r="C46" t="s">
        <v>82</v>
      </c>
      <c r="D46">
        <v>61</v>
      </c>
      <c r="E46">
        <v>105</v>
      </c>
      <c r="F46">
        <v>58.1</v>
      </c>
      <c r="G46">
        <v>775</v>
      </c>
      <c r="H46">
        <v>2.9</v>
      </c>
      <c r="I46">
        <v>2.9</v>
      </c>
      <c r="J46">
        <v>7.4</v>
      </c>
      <c r="K46" s="3">
        <f>E46/(VLOOKUP(B46,'2024 Team'!$B$2:$G$33,2,FALSE))</f>
        <v>0.18783542039355994</v>
      </c>
    </row>
    <row r="47" spans="1:11" x14ac:dyDescent="0.25">
      <c r="A47" t="s">
        <v>142</v>
      </c>
      <c r="B47" t="s">
        <v>30</v>
      </c>
      <c r="C47" t="s">
        <v>82</v>
      </c>
      <c r="D47">
        <v>40</v>
      </c>
      <c r="E47">
        <v>54</v>
      </c>
      <c r="F47">
        <v>74.099999999999994</v>
      </c>
      <c r="G47">
        <v>550</v>
      </c>
      <c r="H47">
        <v>5.6</v>
      </c>
      <c r="I47">
        <v>0</v>
      </c>
      <c r="J47">
        <v>10.199999999999999</v>
      </c>
      <c r="K47" s="3">
        <f>E47/(VLOOKUP(B47,'2024 Team'!$B$2:$G$33,2,FALSE))</f>
        <v>0.11273486430062631</v>
      </c>
    </row>
    <row r="48" spans="1:11" x14ac:dyDescent="0.25">
      <c r="A48" t="s">
        <v>1553</v>
      </c>
      <c r="B48" t="s">
        <v>40</v>
      </c>
      <c r="C48" t="s">
        <v>82</v>
      </c>
      <c r="D48">
        <v>52</v>
      </c>
      <c r="E48">
        <v>85</v>
      </c>
      <c r="F48">
        <v>61.2</v>
      </c>
      <c r="G48">
        <v>458</v>
      </c>
      <c r="H48">
        <v>2.4</v>
      </c>
      <c r="I48">
        <v>2.4</v>
      </c>
      <c r="J48">
        <v>5.4</v>
      </c>
      <c r="K48" s="3">
        <f>E48/(VLOOKUP(B48,'2024 Team'!$B$2:$G$33,2,FALSE))</f>
        <v>0.13385826771653545</v>
      </c>
    </row>
    <row r="49" spans="1:11" x14ac:dyDescent="0.25">
      <c r="A49" t="s">
        <v>1563</v>
      </c>
      <c r="B49" t="s">
        <v>22</v>
      </c>
      <c r="C49" t="s">
        <v>82</v>
      </c>
      <c r="D49">
        <v>61</v>
      </c>
      <c r="E49">
        <v>118</v>
      </c>
      <c r="F49">
        <v>51.7</v>
      </c>
      <c r="G49">
        <v>440</v>
      </c>
      <c r="H49">
        <v>0</v>
      </c>
      <c r="I49">
        <v>5.0999999999999996</v>
      </c>
      <c r="J49">
        <v>3.7</v>
      </c>
      <c r="K49" s="3">
        <f>E49/(VLOOKUP(B49,'2024 Team'!$B$2:$G$33,2,FALSE))</f>
        <v>0.17851739788199697</v>
      </c>
    </row>
    <row r="50" spans="1:11" x14ac:dyDescent="0.25">
      <c r="A50" t="s">
        <v>115</v>
      </c>
      <c r="B50" t="s">
        <v>70</v>
      </c>
      <c r="C50" t="s">
        <v>82</v>
      </c>
      <c r="D50">
        <v>34</v>
      </c>
      <c r="E50">
        <v>44</v>
      </c>
      <c r="F50">
        <v>77.3</v>
      </c>
      <c r="G50">
        <v>364</v>
      </c>
      <c r="H50">
        <v>9.1</v>
      </c>
      <c r="I50">
        <v>0</v>
      </c>
      <c r="J50">
        <v>8.3000000000000007</v>
      </c>
      <c r="K50" s="3">
        <f>E50/(VLOOKUP(B50,'2024 Team'!$B$2:$G$33,2,FALSE))</f>
        <v>8.3809523809523806E-2</v>
      </c>
    </row>
    <row r="51" spans="1:11" x14ac:dyDescent="0.25">
      <c r="A51" t="s">
        <v>151</v>
      </c>
      <c r="B51" t="s">
        <v>62</v>
      </c>
      <c r="C51" t="s">
        <v>82</v>
      </c>
      <c r="D51">
        <v>32</v>
      </c>
      <c r="E51">
        <v>47</v>
      </c>
      <c r="F51">
        <v>68.099999999999994</v>
      </c>
      <c r="G51">
        <v>361</v>
      </c>
      <c r="H51">
        <v>4.3</v>
      </c>
      <c r="I51">
        <v>4.3</v>
      </c>
      <c r="J51">
        <v>7.7</v>
      </c>
      <c r="K51" s="3">
        <f>E51/(VLOOKUP(B51,'2024 Team'!$B$2:$G$33,2,FALSE))</f>
        <v>8.8180112570356475E-2</v>
      </c>
    </row>
    <row r="52" spans="1:11" x14ac:dyDescent="0.25">
      <c r="A52" t="s">
        <v>617</v>
      </c>
      <c r="B52" t="s">
        <v>44</v>
      </c>
      <c r="C52" t="s">
        <v>82</v>
      </c>
      <c r="D52">
        <v>27</v>
      </c>
      <c r="E52">
        <v>41</v>
      </c>
      <c r="F52">
        <v>65.900000000000006</v>
      </c>
      <c r="G52">
        <v>334</v>
      </c>
      <c r="H52">
        <v>4.9000000000000004</v>
      </c>
      <c r="I52">
        <v>2.4</v>
      </c>
      <c r="J52">
        <v>8.1</v>
      </c>
      <c r="K52" s="3">
        <f>E52/(VLOOKUP(B52,'2024 Team'!$B$2:$G$33,2,FALSE))</f>
        <v>7.3345259391771014E-2</v>
      </c>
    </row>
    <row r="53" spans="1:11" x14ac:dyDescent="0.25">
      <c r="A53" t="s">
        <v>139</v>
      </c>
      <c r="B53" t="s">
        <v>58</v>
      </c>
      <c r="C53" t="s">
        <v>82</v>
      </c>
      <c r="D53">
        <v>30</v>
      </c>
      <c r="E53">
        <v>45</v>
      </c>
      <c r="F53">
        <v>66.7</v>
      </c>
      <c r="G53">
        <v>323</v>
      </c>
      <c r="H53">
        <v>8.9</v>
      </c>
      <c r="I53">
        <v>0</v>
      </c>
      <c r="J53">
        <v>7.2</v>
      </c>
      <c r="K53" s="3">
        <f>E53/(VLOOKUP(B53,'2024 Team'!$B$2:$G$33,2,FALSE))</f>
        <v>0.10044642857142858</v>
      </c>
    </row>
    <row r="54" spans="1:11" x14ac:dyDescent="0.25">
      <c r="A54" t="s">
        <v>138</v>
      </c>
      <c r="B54" t="s">
        <v>58</v>
      </c>
      <c r="C54" t="s">
        <v>82</v>
      </c>
      <c r="D54">
        <v>25</v>
      </c>
      <c r="E54">
        <v>42</v>
      </c>
      <c r="F54">
        <v>59.5</v>
      </c>
      <c r="G54">
        <v>291</v>
      </c>
      <c r="H54">
        <v>4.8</v>
      </c>
      <c r="I54">
        <v>2.4</v>
      </c>
      <c r="J54">
        <v>6.9</v>
      </c>
      <c r="K54" s="3">
        <f>E54/(VLOOKUP(B54,'2024 Team'!$B$2:$G$33,2,FALSE))</f>
        <v>9.375E-2</v>
      </c>
    </row>
    <row r="55" spans="1:11" x14ac:dyDescent="0.25">
      <c r="A55" t="s">
        <v>1564</v>
      </c>
      <c r="B55" t="s">
        <v>46</v>
      </c>
      <c r="C55" t="s">
        <v>82</v>
      </c>
      <c r="D55">
        <v>15</v>
      </c>
      <c r="E55">
        <v>26</v>
      </c>
      <c r="F55">
        <v>57.7</v>
      </c>
      <c r="G55">
        <v>153</v>
      </c>
      <c r="H55">
        <v>0</v>
      </c>
      <c r="I55">
        <v>0</v>
      </c>
      <c r="J55">
        <v>5.9</v>
      </c>
      <c r="K55" s="3">
        <f>E55/(VLOOKUP(B55,'2024 Team'!$B$2:$G$33,2,FALSE))</f>
        <v>4.3993231810490696E-2</v>
      </c>
    </row>
    <row r="56" spans="1:11" x14ac:dyDescent="0.25">
      <c r="A56" t="s">
        <v>1564</v>
      </c>
      <c r="B56" t="s">
        <v>54</v>
      </c>
      <c r="C56" t="s">
        <v>82</v>
      </c>
      <c r="D56">
        <v>12</v>
      </c>
      <c r="E56">
        <v>24</v>
      </c>
      <c r="F56">
        <v>50</v>
      </c>
      <c r="G56">
        <v>123</v>
      </c>
      <c r="H56">
        <v>4.2</v>
      </c>
      <c r="I56">
        <v>4.2</v>
      </c>
      <c r="J56">
        <v>5.0999999999999996</v>
      </c>
      <c r="K56" s="3">
        <f>E56/(VLOOKUP(B56,'2024 Team'!$B$2:$G$33,2,FALSE))</f>
        <v>4.060913705583756E-2</v>
      </c>
    </row>
    <row r="57" spans="1:11" x14ac:dyDescent="0.25">
      <c r="A57" t="s">
        <v>133</v>
      </c>
      <c r="B57" t="s">
        <v>24</v>
      </c>
      <c r="C57" t="s">
        <v>82</v>
      </c>
      <c r="D57">
        <v>25</v>
      </c>
      <c r="E57">
        <v>41</v>
      </c>
      <c r="F57">
        <v>61</v>
      </c>
      <c r="G57">
        <v>266</v>
      </c>
      <c r="H57">
        <v>0</v>
      </c>
      <c r="I57">
        <v>2.4</v>
      </c>
      <c r="J57">
        <v>6.5</v>
      </c>
      <c r="K57" s="3">
        <f>E57/(VLOOKUP(B57,'2024 Team'!$B$2:$G$33,2,FALSE))</f>
        <v>6.4364207221350084E-2</v>
      </c>
    </row>
    <row r="58" spans="1:11" x14ac:dyDescent="0.25">
      <c r="A58" t="s">
        <v>1559</v>
      </c>
      <c r="B58" t="s">
        <v>54</v>
      </c>
      <c r="C58" t="s">
        <v>82</v>
      </c>
      <c r="D58">
        <v>31</v>
      </c>
      <c r="E58">
        <v>44</v>
      </c>
      <c r="F58">
        <v>70.5</v>
      </c>
      <c r="G58">
        <v>257</v>
      </c>
      <c r="H58">
        <v>0</v>
      </c>
      <c r="I58">
        <v>0</v>
      </c>
      <c r="J58">
        <v>5.8</v>
      </c>
      <c r="K58" s="3">
        <f>E58/(VLOOKUP(B58,'2024 Team'!$B$2:$G$33,2,FALSE))</f>
        <v>7.4450084602368863E-2</v>
      </c>
    </row>
    <row r="59" spans="1:11" x14ac:dyDescent="0.25">
      <c r="A59" t="s">
        <v>144</v>
      </c>
      <c r="B59" t="s">
        <v>50</v>
      </c>
      <c r="C59" t="s">
        <v>82</v>
      </c>
      <c r="D59">
        <v>22</v>
      </c>
      <c r="E59">
        <v>29</v>
      </c>
      <c r="F59">
        <v>75.900000000000006</v>
      </c>
      <c r="G59">
        <v>241</v>
      </c>
      <c r="H59">
        <v>3.4</v>
      </c>
      <c r="I59">
        <v>0</v>
      </c>
      <c r="J59">
        <v>8.3000000000000007</v>
      </c>
      <c r="K59" s="3">
        <f>E59/(VLOOKUP(B59,'2024 Team'!$B$2:$G$33,2,FALSE))</f>
        <v>5.4820415879017016E-2</v>
      </c>
    </row>
    <row r="60" spans="1:11" x14ac:dyDescent="0.25">
      <c r="A60" t="s">
        <v>2077</v>
      </c>
      <c r="B60" t="s">
        <v>52</v>
      </c>
      <c r="C60" t="s">
        <v>82</v>
      </c>
      <c r="D60">
        <v>18</v>
      </c>
      <c r="E60">
        <v>39</v>
      </c>
      <c r="F60">
        <v>46.2</v>
      </c>
      <c r="G60">
        <v>226</v>
      </c>
      <c r="H60">
        <v>2.6</v>
      </c>
      <c r="I60">
        <v>2.6</v>
      </c>
      <c r="J60">
        <v>5.8</v>
      </c>
      <c r="K60" s="3">
        <f>E60/(VLOOKUP(B60,'2024 Team'!$B$2:$G$33,2,FALSE))</f>
        <v>7.0780399274047182E-2</v>
      </c>
    </row>
    <row r="61" spans="1:11" x14ac:dyDescent="0.25">
      <c r="A61" t="s">
        <v>122</v>
      </c>
      <c r="B61" t="s">
        <v>32</v>
      </c>
      <c r="C61" t="s">
        <v>82</v>
      </c>
      <c r="D61">
        <v>20</v>
      </c>
      <c r="E61">
        <v>36</v>
      </c>
      <c r="F61">
        <v>55.6</v>
      </c>
      <c r="G61">
        <v>212</v>
      </c>
      <c r="H61">
        <v>0</v>
      </c>
      <c r="I61">
        <v>0</v>
      </c>
      <c r="J61">
        <v>5.9</v>
      </c>
      <c r="K61" s="3">
        <f>E61/(VLOOKUP(B61,'2024 Team'!$B$2:$G$33,2,FALSE))</f>
        <v>6.3157894736842107E-2</v>
      </c>
    </row>
    <row r="62" spans="1:11" x14ac:dyDescent="0.25">
      <c r="A62" t="s">
        <v>143</v>
      </c>
      <c r="B62" t="s">
        <v>62</v>
      </c>
      <c r="C62" t="s">
        <v>82</v>
      </c>
      <c r="D62">
        <v>17</v>
      </c>
      <c r="E62">
        <v>30</v>
      </c>
      <c r="F62">
        <v>56.7</v>
      </c>
      <c r="G62">
        <v>199</v>
      </c>
      <c r="H62">
        <v>3.3</v>
      </c>
      <c r="I62">
        <v>6.7</v>
      </c>
      <c r="J62">
        <v>6.6</v>
      </c>
      <c r="K62" s="3">
        <f>E62/(VLOOKUP(B62,'2024 Team'!$B$2:$G$33,2,FALSE))</f>
        <v>5.6285178236397747E-2</v>
      </c>
    </row>
    <row r="63" spans="1:11" x14ac:dyDescent="0.25">
      <c r="A63" t="s">
        <v>2078</v>
      </c>
      <c r="B63" t="s">
        <v>46</v>
      </c>
      <c r="C63" t="s">
        <v>82</v>
      </c>
      <c r="D63">
        <v>21</v>
      </c>
      <c r="E63">
        <v>33</v>
      </c>
      <c r="F63">
        <v>63.6</v>
      </c>
      <c r="G63">
        <v>187</v>
      </c>
      <c r="H63">
        <v>0</v>
      </c>
      <c r="I63">
        <v>0</v>
      </c>
      <c r="J63">
        <v>5.7</v>
      </c>
      <c r="K63" s="3">
        <f>E63/(VLOOKUP(B63,'2024 Team'!$B$2:$G$33,2,FALSE))</f>
        <v>5.5837563451776651E-2</v>
      </c>
    </row>
    <row r="64" spans="1:11" x14ac:dyDescent="0.25">
      <c r="A64" t="s">
        <v>141</v>
      </c>
      <c r="B64" t="s">
        <v>14</v>
      </c>
      <c r="C64" t="s">
        <v>82</v>
      </c>
      <c r="D64">
        <v>19</v>
      </c>
      <c r="E64">
        <v>26</v>
      </c>
      <c r="F64">
        <v>73.099999999999994</v>
      </c>
      <c r="G64">
        <v>179</v>
      </c>
      <c r="H64">
        <v>7.7</v>
      </c>
      <c r="I64">
        <v>0</v>
      </c>
      <c r="J64">
        <v>6.9</v>
      </c>
      <c r="K64" s="3">
        <f>E64/(VLOOKUP(B64,'2024 Team'!$B$2:$G$33,2,FALSE))</f>
        <v>0.05</v>
      </c>
    </row>
    <row r="65" spans="1:11" x14ac:dyDescent="0.25">
      <c r="A65" t="s">
        <v>1556</v>
      </c>
      <c r="B65" t="s">
        <v>22</v>
      </c>
      <c r="C65" t="s">
        <v>82</v>
      </c>
      <c r="D65">
        <v>16</v>
      </c>
      <c r="E65">
        <v>31</v>
      </c>
      <c r="F65">
        <v>51.6</v>
      </c>
      <c r="G65">
        <v>170</v>
      </c>
      <c r="H65">
        <v>3.2</v>
      </c>
      <c r="I65">
        <v>6.5</v>
      </c>
      <c r="J65">
        <v>5.5</v>
      </c>
      <c r="K65" s="3">
        <f>E65/(VLOOKUP(B65,'2024 Team'!$B$2:$G$33,2,FALSE))</f>
        <v>4.6898638426626324E-2</v>
      </c>
    </row>
    <row r="66" spans="1:11" x14ac:dyDescent="0.25">
      <c r="A66" t="s">
        <v>124</v>
      </c>
      <c r="B66" t="s">
        <v>56</v>
      </c>
      <c r="C66" t="s">
        <v>82</v>
      </c>
      <c r="D66">
        <v>17</v>
      </c>
      <c r="E66">
        <v>22</v>
      </c>
      <c r="F66">
        <v>77.3</v>
      </c>
      <c r="G66">
        <v>119</v>
      </c>
      <c r="H66">
        <v>13.6</v>
      </c>
      <c r="I66">
        <v>0</v>
      </c>
      <c r="J66">
        <v>5.4</v>
      </c>
      <c r="K66" s="3">
        <f>E66/(VLOOKUP(B66,'2024 Team'!$B$2:$G$33,2,FALSE))</f>
        <v>3.6243822075782535E-2</v>
      </c>
    </row>
    <row r="67" spans="1:11" x14ac:dyDescent="0.25">
      <c r="A67" t="s">
        <v>120</v>
      </c>
      <c r="B67" t="s">
        <v>38</v>
      </c>
      <c r="C67" t="s">
        <v>82</v>
      </c>
      <c r="D67">
        <v>12</v>
      </c>
      <c r="E67">
        <v>19</v>
      </c>
      <c r="F67">
        <v>63.2</v>
      </c>
      <c r="G67">
        <v>118</v>
      </c>
      <c r="H67">
        <v>0</v>
      </c>
      <c r="I67">
        <v>0</v>
      </c>
      <c r="J67">
        <v>6.2</v>
      </c>
      <c r="K67" s="3">
        <f>E67/(VLOOKUP(B67,'2024 Team'!$B$2:$G$33,2,FALSE))</f>
        <v>3.1666666666666669E-2</v>
      </c>
    </row>
    <row r="68" spans="1:11" x14ac:dyDescent="0.25">
      <c r="A68" t="s">
        <v>2079</v>
      </c>
      <c r="B68" t="s">
        <v>28</v>
      </c>
      <c r="C68" t="s">
        <v>82</v>
      </c>
      <c r="D68">
        <v>6</v>
      </c>
      <c r="E68">
        <v>9</v>
      </c>
      <c r="F68">
        <v>66.7</v>
      </c>
      <c r="G68">
        <v>62</v>
      </c>
      <c r="H68">
        <v>0</v>
      </c>
      <c r="I68">
        <v>0</v>
      </c>
      <c r="J68">
        <v>6.9</v>
      </c>
      <c r="K68" s="3">
        <f>E68/(VLOOKUP(B68,'2024 Team'!$B$2:$G$33,2,FALSE))</f>
        <v>1.6333938294010888E-2</v>
      </c>
    </row>
    <row r="69" spans="1:11" x14ac:dyDescent="0.25">
      <c r="A69" t="s">
        <v>155</v>
      </c>
      <c r="B69" t="s">
        <v>48</v>
      </c>
      <c r="C69" t="s">
        <v>82</v>
      </c>
      <c r="D69">
        <v>2</v>
      </c>
      <c r="E69">
        <v>2</v>
      </c>
      <c r="F69">
        <v>100</v>
      </c>
      <c r="G69">
        <v>38</v>
      </c>
      <c r="H69">
        <v>0</v>
      </c>
      <c r="I69">
        <v>0</v>
      </c>
      <c r="J69">
        <v>19</v>
      </c>
      <c r="K69" s="3">
        <f>E69/(VLOOKUP(B69,'2024 Team'!$B$2:$G$33,2,FALSE))</f>
        <v>3.6496350364963502E-3</v>
      </c>
    </row>
    <row r="70" spans="1:11" x14ac:dyDescent="0.25">
      <c r="A70" t="s">
        <v>623</v>
      </c>
      <c r="B70" t="s">
        <v>64</v>
      </c>
      <c r="C70" t="s">
        <v>163</v>
      </c>
      <c r="D70">
        <v>1</v>
      </c>
      <c r="E70">
        <v>1</v>
      </c>
      <c r="F70">
        <v>100</v>
      </c>
      <c r="G70">
        <v>35</v>
      </c>
      <c r="H70">
        <v>0</v>
      </c>
      <c r="I70">
        <v>0</v>
      </c>
      <c r="J70">
        <v>35</v>
      </c>
      <c r="K70" s="3">
        <f>E70/(VLOOKUP(B70,'2024 Team'!$B$2:$G$33,2,FALSE))</f>
        <v>1.6863406408094434E-3</v>
      </c>
    </row>
    <row r="71" spans="1:11" x14ac:dyDescent="0.25">
      <c r="A71" t="s">
        <v>2080</v>
      </c>
      <c r="B71" t="s">
        <v>40</v>
      </c>
      <c r="C71" t="s">
        <v>165</v>
      </c>
      <c r="D71">
        <v>1</v>
      </c>
      <c r="E71">
        <v>1</v>
      </c>
      <c r="F71">
        <v>100</v>
      </c>
      <c r="G71">
        <v>34</v>
      </c>
      <c r="H71">
        <v>0</v>
      </c>
      <c r="I71">
        <v>0</v>
      </c>
      <c r="J71">
        <v>34</v>
      </c>
      <c r="K71" s="3">
        <f>E71/(VLOOKUP(B71,'2024 Team'!$B$2:$G$33,2,FALSE))</f>
        <v>1.5748031496062992E-3</v>
      </c>
    </row>
    <row r="72" spans="1:11" x14ac:dyDescent="0.25">
      <c r="A72" t="s">
        <v>184</v>
      </c>
      <c r="B72" t="s">
        <v>26</v>
      </c>
      <c r="C72" t="s">
        <v>163</v>
      </c>
      <c r="D72">
        <v>2</v>
      </c>
      <c r="E72">
        <v>2</v>
      </c>
      <c r="F72">
        <v>100</v>
      </c>
      <c r="G72">
        <v>30</v>
      </c>
      <c r="H72">
        <v>50</v>
      </c>
      <c r="I72">
        <v>0</v>
      </c>
      <c r="J72">
        <v>15</v>
      </c>
      <c r="K72" s="3">
        <f>E72/(VLOOKUP(B72,'2024 Team'!$B$2:$G$33,2,FALSE))</f>
        <v>3.5087719298245615E-3</v>
      </c>
    </row>
    <row r="73" spans="1:11" x14ac:dyDescent="0.25">
      <c r="A73" t="s">
        <v>1560</v>
      </c>
      <c r="B73" t="s">
        <v>42</v>
      </c>
      <c r="C73" t="s">
        <v>82</v>
      </c>
      <c r="D73">
        <v>3</v>
      </c>
      <c r="E73">
        <v>5</v>
      </c>
      <c r="F73">
        <v>60</v>
      </c>
      <c r="G73">
        <v>28</v>
      </c>
      <c r="H73">
        <v>0</v>
      </c>
      <c r="I73">
        <v>0</v>
      </c>
      <c r="J73">
        <v>5.6</v>
      </c>
      <c r="K73" s="3">
        <f>E73/(VLOOKUP(B73,'2024 Team'!$B$2:$G$33,2,FALSE))</f>
        <v>9.8039215686274508E-3</v>
      </c>
    </row>
    <row r="74" spans="1:11" x14ac:dyDescent="0.25">
      <c r="A74" t="s">
        <v>1572</v>
      </c>
      <c r="B74" t="s">
        <v>14</v>
      </c>
      <c r="C74" t="s">
        <v>82</v>
      </c>
      <c r="D74">
        <v>3</v>
      </c>
      <c r="E74">
        <v>11</v>
      </c>
      <c r="F74">
        <v>27.3</v>
      </c>
      <c r="G74">
        <v>28</v>
      </c>
      <c r="H74">
        <v>0</v>
      </c>
      <c r="I74">
        <v>0</v>
      </c>
      <c r="J74">
        <v>2.5</v>
      </c>
      <c r="K74" s="3">
        <f>E74/(VLOOKUP(B74,'2024 Team'!$B$2:$G$33,2,FALSE))</f>
        <v>2.1153846153846155E-2</v>
      </c>
    </row>
    <row r="75" spans="1:11" x14ac:dyDescent="0.25">
      <c r="A75" t="s">
        <v>1551</v>
      </c>
      <c r="B75" t="s">
        <v>64</v>
      </c>
      <c r="C75" t="s">
        <v>82</v>
      </c>
      <c r="D75">
        <v>5</v>
      </c>
      <c r="E75">
        <v>14</v>
      </c>
      <c r="F75">
        <v>35.700000000000003</v>
      </c>
      <c r="G75">
        <v>24</v>
      </c>
      <c r="H75">
        <v>0</v>
      </c>
      <c r="I75">
        <v>7.1</v>
      </c>
      <c r="J75">
        <v>1.7</v>
      </c>
      <c r="K75" s="3">
        <f>E75/(VLOOKUP(B75,'2024 Team'!$B$2:$G$33,2,FALSE))</f>
        <v>2.3608768971332208E-2</v>
      </c>
    </row>
    <row r="76" spans="1:11" x14ac:dyDescent="0.25">
      <c r="A76" t="s">
        <v>742</v>
      </c>
      <c r="B76" t="s">
        <v>34</v>
      </c>
      <c r="C76" t="s">
        <v>163</v>
      </c>
      <c r="D76">
        <v>1</v>
      </c>
      <c r="E76">
        <v>1</v>
      </c>
      <c r="F76">
        <v>100</v>
      </c>
      <c r="G76">
        <v>24</v>
      </c>
      <c r="H76">
        <v>0</v>
      </c>
      <c r="I76">
        <v>0</v>
      </c>
      <c r="J76">
        <v>24</v>
      </c>
      <c r="K76" s="3">
        <f>E76/(VLOOKUP(B76,'2024 Team'!$B$2:$G$33,2,FALSE))</f>
        <v>1.9493177387914229E-3</v>
      </c>
    </row>
    <row r="77" spans="1:11" x14ac:dyDescent="0.25">
      <c r="A77" t="s">
        <v>700</v>
      </c>
      <c r="B77" t="s">
        <v>48</v>
      </c>
      <c r="C77" t="s">
        <v>163</v>
      </c>
      <c r="D77">
        <v>1</v>
      </c>
      <c r="E77">
        <v>1</v>
      </c>
      <c r="F77">
        <v>100</v>
      </c>
      <c r="G77">
        <v>22</v>
      </c>
      <c r="H77">
        <v>0</v>
      </c>
      <c r="I77">
        <v>0</v>
      </c>
      <c r="J77">
        <v>22</v>
      </c>
      <c r="K77" s="3">
        <f>E77/(VLOOKUP(B77,'2024 Team'!$B$2:$G$33,2,FALSE))</f>
        <v>1.8248175182481751E-3</v>
      </c>
    </row>
    <row r="78" spans="1:11" x14ac:dyDescent="0.25">
      <c r="A78" t="s">
        <v>152</v>
      </c>
      <c r="B78" t="s">
        <v>52</v>
      </c>
      <c r="C78" t="s">
        <v>153</v>
      </c>
      <c r="D78">
        <v>2</v>
      </c>
      <c r="E78">
        <v>4</v>
      </c>
      <c r="F78">
        <v>50</v>
      </c>
      <c r="G78">
        <v>21</v>
      </c>
      <c r="H78">
        <v>0</v>
      </c>
      <c r="I78">
        <v>25</v>
      </c>
      <c r="J78">
        <v>5.3</v>
      </c>
      <c r="K78" s="3">
        <f>E78/(VLOOKUP(B78,'2024 Team'!$B$2:$G$33,2,FALSE))</f>
        <v>7.2595281306715061E-3</v>
      </c>
    </row>
    <row r="79" spans="1:11" x14ac:dyDescent="0.25">
      <c r="A79" t="s">
        <v>948</v>
      </c>
      <c r="B79" t="s">
        <v>52</v>
      </c>
      <c r="C79" t="s">
        <v>163</v>
      </c>
      <c r="D79">
        <v>1</v>
      </c>
      <c r="E79">
        <v>1</v>
      </c>
      <c r="F79">
        <v>100</v>
      </c>
      <c r="G79">
        <v>21</v>
      </c>
      <c r="H79">
        <v>100</v>
      </c>
      <c r="I79">
        <v>0</v>
      </c>
      <c r="J79">
        <v>21</v>
      </c>
      <c r="K79" s="3">
        <f>E79/(VLOOKUP(B79,'2024 Team'!$B$2:$G$33,2,FALSE))</f>
        <v>1.8148820326678765E-3</v>
      </c>
    </row>
    <row r="80" spans="1:11" x14ac:dyDescent="0.25">
      <c r="A80" t="s">
        <v>160</v>
      </c>
      <c r="B80" t="s">
        <v>60</v>
      </c>
      <c r="C80" t="s">
        <v>82</v>
      </c>
      <c r="D80">
        <v>1</v>
      </c>
      <c r="E80">
        <v>1</v>
      </c>
      <c r="F80">
        <v>100</v>
      </c>
      <c r="G80">
        <v>19</v>
      </c>
      <c r="H80">
        <v>0</v>
      </c>
      <c r="I80">
        <v>0</v>
      </c>
      <c r="J80">
        <v>19</v>
      </c>
      <c r="K80" s="3">
        <f>E80/(VLOOKUP(B80,'2024 Team'!$B$2:$G$33,2,FALSE))</f>
        <v>2.004008016032064E-3</v>
      </c>
    </row>
    <row r="81" spans="1:11" x14ac:dyDescent="0.25">
      <c r="A81" t="s">
        <v>830</v>
      </c>
      <c r="B81" t="s">
        <v>16</v>
      </c>
      <c r="C81" t="s">
        <v>163</v>
      </c>
      <c r="D81">
        <v>1</v>
      </c>
      <c r="E81">
        <v>1</v>
      </c>
      <c r="F81">
        <v>100</v>
      </c>
      <c r="G81">
        <v>19</v>
      </c>
      <c r="H81">
        <v>0</v>
      </c>
      <c r="I81">
        <v>0</v>
      </c>
      <c r="J81">
        <v>19</v>
      </c>
      <c r="K81" s="3">
        <f>E81/(VLOOKUP(B81,'2024 Team'!$B$2:$G$33,2,FALSE))</f>
        <v>1.8281535648994515E-3</v>
      </c>
    </row>
    <row r="82" spans="1:11" x14ac:dyDescent="0.25">
      <c r="A82" t="s">
        <v>2081</v>
      </c>
      <c r="B82" t="s">
        <v>28</v>
      </c>
      <c r="C82" t="s">
        <v>165</v>
      </c>
      <c r="D82">
        <v>1</v>
      </c>
      <c r="E82">
        <v>1</v>
      </c>
      <c r="F82">
        <v>100</v>
      </c>
      <c r="G82">
        <v>17</v>
      </c>
      <c r="H82">
        <v>0</v>
      </c>
      <c r="I82">
        <v>0</v>
      </c>
      <c r="J82">
        <v>17</v>
      </c>
      <c r="K82" s="3">
        <f>E82/(VLOOKUP(B82,'2024 Team'!$B$2:$G$33,2,FALSE))</f>
        <v>1.8148820326678765E-3</v>
      </c>
    </row>
    <row r="83" spans="1:11" x14ac:dyDescent="0.25">
      <c r="A83" t="s">
        <v>135</v>
      </c>
      <c r="B83" t="s">
        <v>12</v>
      </c>
      <c r="C83" t="s">
        <v>82</v>
      </c>
      <c r="D83">
        <v>2</v>
      </c>
      <c r="E83">
        <v>3</v>
      </c>
      <c r="F83">
        <v>66.7</v>
      </c>
      <c r="G83">
        <v>17</v>
      </c>
      <c r="H83">
        <v>0</v>
      </c>
      <c r="I83">
        <v>0</v>
      </c>
      <c r="J83">
        <v>5.7</v>
      </c>
      <c r="K83" s="3">
        <f>E83/(VLOOKUP(B83,'2024 Team'!$B$2:$G$33,2,FALSE))</f>
        <v>6.2893081761006293E-3</v>
      </c>
    </row>
    <row r="84" spans="1:11" x14ac:dyDescent="0.25">
      <c r="A84" t="s">
        <v>965</v>
      </c>
      <c r="B84" t="s">
        <v>32</v>
      </c>
      <c r="C84" t="s">
        <v>163</v>
      </c>
      <c r="D84">
        <v>1</v>
      </c>
      <c r="E84">
        <v>1</v>
      </c>
      <c r="F84">
        <v>100</v>
      </c>
      <c r="G84">
        <v>13</v>
      </c>
      <c r="H84">
        <v>0</v>
      </c>
      <c r="I84">
        <v>0</v>
      </c>
      <c r="J84">
        <v>13</v>
      </c>
      <c r="K84" s="3">
        <f>E84/(VLOOKUP(B84,'2024 Team'!$B$2:$G$33,2,FALSE))</f>
        <v>1.7543859649122807E-3</v>
      </c>
    </row>
    <row r="85" spans="1:11" x14ac:dyDescent="0.25">
      <c r="A85" t="s">
        <v>154</v>
      </c>
      <c r="B85" t="s">
        <v>18</v>
      </c>
      <c r="C85" t="s">
        <v>82</v>
      </c>
      <c r="D85">
        <v>2</v>
      </c>
      <c r="E85">
        <v>2</v>
      </c>
      <c r="F85">
        <v>100</v>
      </c>
      <c r="G85">
        <v>11</v>
      </c>
      <c r="H85">
        <v>0</v>
      </c>
      <c r="I85">
        <v>0</v>
      </c>
      <c r="J85">
        <v>5.5</v>
      </c>
      <c r="K85" s="3">
        <f>E85/(VLOOKUP(B85,'2024 Team'!$B$2:$G$33,2,FALSE))</f>
        <v>3.5335689045936395E-3</v>
      </c>
    </row>
    <row r="86" spans="1:11" x14ac:dyDescent="0.25">
      <c r="A86" t="s">
        <v>146</v>
      </c>
      <c r="B86" t="s">
        <v>8</v>
      </c>
      <c r="C86" t="s">
        <v>82</v>
      </c>
      <c r="D86">
        <v>2</v>
      </c>
      <c r="E86">
        <v>2</v>
      </c>
      <c r="F86">
        <v>100</v>
      </c>
      <c r="G86">
        <v>8</v>
      </c>
      <c r="H86">
        <v>0</v>
      </c>
      <c r="I86">
        <v>0</v>
      </c>
      <c r="J86">
        <v>4</v>
      </c>
      <c r="K86" s="3">
        <f>E86/(VLOOKUP(B86,'2024 Team'!$B$2:$G$33,2,FALSE))</f>
        <v>3.6832412523020259E-3</v>
      </c>
    </row>
    <row r="87" spans="1:11" x14ac:dyDescent="0.25">
      <c r="A87" t="s">
        <v>689</v>
      </c>
      <c r="B87" t="s">
        <v>28</v>
      </c>
      <c r="C87" t="s">
        <v>163</v>
      </c>
      <c r="D87">
        <v>1</v>
      </c>
      <c r="E87">
        <v>1</v>
      </c>
      <c r="F87">
        <v>100</v>
      </c>
      <c r="G87">
        <v>7</v>
      </c>
      <c r="H87">
        <v>100</v>
      </c>
      <c r="I87">
        <v>0</v>
      </c>
      <c r="J87">
        <v>7</v>
      </c>
      <c r="K87" s="3">
        <f>E87/(VLOOKUP(B87,'2024 Team'!$B$2:$G$33,2,FALSE))</f>
        <v>1.8148820326678765E-3</v>
      </c>
    </row>
    <row r="88" spans="1:11" x14ac:dyDescent="0.25">
      <c r="A88" t="s">
        <v>1587</v>
      </c>
      <c r="B88" t="s">
        <v>66</v>
      </c>
      <c r="C88" t="s">
        <v>82</v>
      </c>
      <c r="D88">
        <v>1</v>
      </c>
      <c r="E88">
        <v>1</v>
      </c>
      <c r="F88">
        <v>100</v>
      </c>
      <c r="G88">
        <v>5</v>
      </c>
      <c r="H88">
        <v>0</v>
      </c>
      <c r="I88">
        <v>0</v>
      </c>
      <c r="J88">
        <v>5</v>
      </c>
      <c r="K88" s="3">
        <f>E88/(VLOOKUP(B88,'2024 Team'!$B$2:$G$33,2,FALSE))</f>
        <v>1.7513134851138354E-3</v>
      </c>
    </row>
    <row r="89" spans="1:11" x14ac:dyDescent="0.25">
      <c r="A89" t="s">
        <v>2082</v>
      </c>
      <c r="B89" t="s">
        <v>24</v>
      </c>
      <c r="C89" t="s">
        <v>165</v>
      </c>
      <c r="D89">
        <v>1</v>
      </c>
      <c r="E89">
        <v>2</v>
      </c>
      <c r="F89">
        <v>50</v>
      </c>
      <c r="G89">
        <v>4</v>
      </c>
      <c r="H89">
        <v>0</v>
      </c>
      <c r="I89">
        <v>0</v>
      </c>
      <c r="J89">
        <v>2</v>
      </c>
      <c r="K89" s="3">
        <f>E89/(VLOOKUP(B89,'2024 Team'!$B$2:$G$33,2,FALSE))</f>
        <v>3.1397174254317113E-3</v>
      </c>
    </row>
    <row r="90" spans="1:11" x14ac:dyDescent="0.25">
      <c r="A90" t="s">
        <v>2083</v>
      </c>
      <c r="B90" t="s">
        <v>26</v>
      </c>
      <c r="C90" t="s">
        <v>165</v>
      </c>
      <c r="D90">
        <v>1</v>
      </c>
      <c r="E90">
        <v>1</v>
      </c>
      <c r="F90">
        <v>100</v>
      </c>
      <c r="G90">
        <v>3</v>
      </c>
      <c r="H90">
        <v>0</v>
      </c>
      <c r="I90">
        <v>0</v>
      </c>
      <c r="J90">
        <v>3</v>
      </c>
      <c r="K90" s="3">
        <f>E90/(VLOOKUP(B90,'2024 Team'!$B$2:$G$33,2,FALSE))</f>
        <v>1.7543859649122807E-3</v>
      </c>
    </row>
    <row r="91" spans="1:11" x14ac:dyDescent="0.25">
      <c r="A91" t="s">
        <v>158</v>
      </c>
      <c r="B91" t="s">
        <v>28</v>
      </c>
      <c r="C91" t="s">
        <v>159</v>
      </c>
      <c r="D91">
        <v>1</v>
      </c>
      <c r="E91">
        <v>1</v>
      </c>
      <c r="F91">
        <v>100</v>
      </c>
      <c r="G91">
        <v>3</v>
      </c>
      <c r="H91">
        <v>100</v>
      </c>
      <c r="I91">
        <v>0</v>
      </c>
      <c r="J91">
        <v>3</v>
      </c>
      <c r="K91" s="3">
        <f>E91/(VLOOKUP(B91,'2024 Team'!$B$2:$G$33,2,FALSE))</f>
        <v>1.8148820326678765E-3</v>
      </c>
    </row>
    <row r="92" spans="1:11" x14ac:dyDescent="0.25">
      <c r="A92" t="s">
        <v>2084</v>
      </c>
      <c r="B92" t="s">
        <v>42</v>
      </c>
      <c r="C92" t="s">
        <v>165</v>
      </c>
      <c r="D92">
        <v>1</v>
      </c>
      <c r="E92">
        <v>1</v>
      </c>
      <c r="F92">
        <v>100</v>
      </c>
      <c r="G92">
        <v>3</v>
      </c>
      <c r="H92">
        <v>0</v>
      </c>
      <c r="I92">
        <v>0</v>
      </c>
      <c r="J92">
        <v>3</v>
      </c>
      <c r="K92" s="3">
        <f>E92/(VLOOKUP(B92,'2024 Team'!$B$2:$G$33,2,FALSE))</f>
        <v>1.9607843137254902E-3</v>
      </c>
    </row>
    <row r="93" spans="1:11" x14ac:dyDescent="0.25">
      <c r="A93" t="s">
        <v>916</v>
      </c>
      <c r="B93" t="s">
        <v>18</v>
      </c>
      <c r="C93" t="s">
        <v>163</v>
      </c>
      <c r="D93">
        <v>0</v>
      </c>
      <c r="E93">
        <v>1</v>
      </c>
      <c r="F93">
        <v>0</v>
      </c>
      <c r="G93">
        <v>0</v>
      </c>
      <c r="H93">
        <v>0</v>
      </c>
      <c r="I93">
        <v>100</v>
      </c>
      <c r="J93">
        <v>0</v>
      </c>
      <c r="K93" s="3">
        <f>E93/(VLOOKUP(B93,'2024 Team'!$B$2:$G$33,2,FALSE))</f>
        <v>1.7667844522968198E-3</v>
      </c>
    </row>
    <row r="94" spans="1:11" x14ac:dyDescent="0.25">
      <c r="A94" t="s">
        <v>926</v>
      </c>
      <c r="B94" t="s">
        <v>44</v>
      </c>
      <c r="C94" t="s">
        <v>163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 s="3">
        <f>E94/(VLOOKUP(B94,'2024 Team'!$B$2:$G$33,2,FALSE))</f>
        <v>1.7889087656529517E-3</v>
      </c>
    </row>
    <row r="95" spans="1:11" x14ac:dyDescent="0.25">
      <c r="A95" t="s">
        <v>204</v>
      </c>
      <c r="B95" t="s">
        <v>58</v>
      </c>
      <c r="C95" t="s">
        <v>159</v>
      </c>
      <c r="D95">
        <v>0</v>
      </c>
      <c r="E95">
        <v>0</v>
      </c>
      <c r="G95">
        <v>0</v>
      </c>
      <c r="K95" s="3">
        <f>E95/(VLOOKUP(B95,'2024 Team'!$B$2:$G$33,2,FALSE))</f>
        <v>0</v>
      </c>
    </row>
    <row r="96" spans="1:11" x14ac:dyDescent="0.25">
      <c r="A96" t="s">
        <v>1014</v>
      </c>
      <c r="B96" t="s">
        <v>50</v>
      </c>
      <c r="C96" t="s">
        <v>163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 s="3">
        <f>E96/(VLOOKUP(B96,'2024 Team'!$B$2:$G$33,2,FALSE))</f>
        <v>1.890359168241966E-3</v>
      </c>
    </row>
    <row r="97" spans="1:11" x14ac:dyDescent="0.25">
      <c r="A97" t="s">
        <v>1582</v>
      </c>
      <c r="B97" t="s">
        <v>68</v>
      </c>
      <c r="C97" t="s">
        <v>163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 s="3">
        <f>E97/(VLOOKUP(B97,'2024 Team'!$B$2:$G$33,2,FALSE))</f>
        <v>1.8867924528301887E-3</v>
      </c>
    </row>
    <row r="98" spans="1:11" x14ac:dyDescent="0.25">
      <c r="A98" t="s">
        <v>638</v>
      </c>
      <c r="B98" t="s">
        <v>70</v>
      </c>
      <c r="C98" t="s">
        <v>163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 s="3">
        <f>E98/(VLOOKUP(B98,'2024 Team'!$B$2:$G$33,2,FALSE))</f>
        <v>1.9047619047619048E-3</v>
      </c>
    </row>
    <row r="99" spans="1:11" x14ac:dyDescent="0.25">
      <c r="A99" t="s">
        <v>540</v>
      </c>
      <c r="B99" t="s">
        <v>48</v>
      </c>
      <c r="C99" t="s">
        <v>159</v>
      </c>
      <c r="D99">
        <v>0</v>
      </c>
      <c r="E99">
        <v>0</v>
      </c>
      <c r="G99">
        <v>0</v>
      </c>
      <c r="K99" s="3">
        <f>E99/(VLOOKUP(B99,'2024 Team'!$B$2:$G$33,2,FALSE))</f>
        <v>0</v>
      </c>
    </row>
    <row r="100" spans="1:11" x14ac:dyDescent="0.25">
      <c r="A100" t="s">
        <v>1580</v>
      </c>
      <c r="B100" t="s">
        <v>16</v>
      </c>
      <c r="C100" t="s">
        <v>165</v>
      </c>
      <c r="D100">
        <v>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 s="3">
        <f>E100/(VLOOKUP(B100,'2024 Team'!$B$2:$G$33,2,FALSE))</f>
        <v>3.6563071297989031E-3</v>
      </c>
    </row>
    <row r="101" spans="1:11" x14ac:dyDescent="0.25">
      <c r="A101" t="s">
        <v>2085</v>
      </c>
      <c r="B101" t="s">
        <v>60</v>
      </c>
      <c r="C101" t="s">
        <v>755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 s="3">
        <f>E101/(VLOOKUP(B101,'2024 Team'!$B$2:$G$33,2,FALSE))</f>
        <v>2.004008016032064E-3</v>
      </c>
    </row>
    <row r="102" spans="1:11" x14ac:dyDescent="0.25">
      <c r="A102" t="s">
        <v>978</v>
      </c>
      <c r="B102" t="s">
        <v>56</v>
      </c>
      <c r="C102" t="s">
        <v>163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>E102/(VLOOKUP(B102,'2024 Team'!$B$2:$G$33,2,FALSE))</f>
        <v>1.6474464579901153E-3</v>
      </c>
    </row>
    <row r="103" spans="1:11" x14ac:dyDescent="0.25">
      <c r="A103" t="s">
        <v>654</v>
      </c>
      <c r="B103" t="s">
        <v>40</v>
      </c>
      <c r="C103" t="s">
        <v>163</v>
      </c>
      <c r="D103">
        <v>0</v>
      </c>
      <c r="E103">
        <v>0</v>
      </c>
      <c r="G103">
        <v>0</v>
      </c>
      <c r="K103">
        <f>E103/(VLOOKUP(B103,'2024 Team'!$B$2:$G$33,2,FALSE))</f>
        <v>0</v>
      </c>
    </row>
    <row r="104" spans="1:11" x14ac:dyDescent="0.25">
      <c r="A104" t="s">
        <v>1593</v>
      </c>
      <c r="B104" t="s">
        <v>32</v>
      </c>
      <c r="C104" t="s">
        <v>159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>E104/(VLOOKUP(B104,'2024 Team'!$B$2:$G$33,2,FALSE))</f>
        <v>1.7543859649122807E-3</v>
      </c>
    </row>
    <row r="105" spans="1:11" x14ac:dyDescent="0.25">
      <c r="A105" t="s">
        <v>807</v>
      </c>
      <c r="B105" t="s">
        <v>10</v>
      </c>
      <c r="C105" t="s">
        <v>163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>E105/(VLOOKUP(B105,'2024 Team'!$B$2:$G$33,2,FALSE))</f>
        <v>1.7889087656529517E-3</v>
      </c>
    </row>
    <row r="106" spans="1:11" x14ac:dyDescent="0.25">
      <c r="A106" t="s">
        <v>167</v>
      </c>
      <c r="B106" t="s">
        <v>18</v>
      </c>
      <c r="C106" t="s">
        <v>163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>E106/(VLOOKUP(B106,'2024 Team'!$B$2:$G$33,2,FALSE))</f>
        <v>1.7667844522968198E-3</v>
      </c>
    </row>
    <row r="107" spans="1:11" x14ac:dyDescent="0.25">
      <c r="A107" t="s">
        <v>975</v>
      </c>
      <c r="B107" t="s">
        <v>54</v>
      </c>
      <c r="C107" t="s">
        <v>163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>E107/(VLOOKUP(B107,'2024 Team'!$B$2:$G$33,2,FALSE))</f>
        <v>1.6920473773265651E-3</v>
      </c>
    </row>
    <row r="108" spans="1:11" x14ac:dyDescent="0.25">
      <c r="A108" t="s">
        <v>134</v>
      </c>
      <c r="B108" t="s">
        <v>38</v>
      </c>
      <c r="C108" t="s">
        <v>82</v>
      </c>
      <c r="D108">
        <v>0</v>
      </c>
      <c r="E108">
        <v>0</v>
      </c>
      <c r="G108">
        <v>0</v>
      </c>
      <c r="K108">
        <f>E108/(VLOOKUP(B108,'2024 Team'!$B$2:$G$33,2,FALSE))</f>
        <v>0</v>
      </c>
    </row>
    <row r="109" spans="1:11" x14ac:dyDescent="0.25">
      <c r="A109" t="s">
        <v>721</v>
      </c>
      <c r="B109" t="s">
        <v>62</v>
      </c>
      <c r="C109" t="s">
        <v>163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>E109/(VLOOKUP(B109,'2024 Team'!$B$2:$G$33,2,FALSE))</f>
        <v>1.876172607879925E-3</v>
      </c>
    </row>
    <row r="110" spans="1:11" x14ac:dyDescent="0.25">
      <c r="A110" t="s">
        <v>534</v>
      </c>
      <c r="B110" t="s">
        <v>62</v>
      </c>
      <c r="C110" t="s">
        <v>163</v>
      </c>
      <c r="D110">
        <v>0</v>
      </c>
      <c r="E110">
        <v>0</v>
      </c>
      <c r="G110">
        <v>0</v>
      </c>
      <c r="K110">
        <f>E110/(VLOOKUP(B110,'2024 Team'!$B$2:$G$33,2,FALSE))</f>
        <v>0</v>
      </c>
    </row>
    <row r="111" spans="1:11" x14ac:dyDescent="0.25">
      <c r="A111" t="s">
        <v>2086</v>
      </c>
      <c r="B111" t="s">
        <v>28</v>
      </c>
      <c r="C111" t="s">
        <v>2087</v>
      </c>
      <c r="D111">
        <v>0</v>
      </c>
      <c r="E111">
        <v>0</v>
      </c>
      <c r="G111">
        <v>0</v>
      </c>
      <c r="K111">
        <f>E111/(VLOOKUP(B111,'2024 Team'!$B$2:$G$33,2,FALSE))</f>
        <v>0</v>
      </c>
    </row>
    <row r="112" spans="1:11" x14ac:dyDescent="0.25">
      <c r="A112" t="s">
        <v>1588</v>
      </c>
      <c r="F112">
        <v>65.3</v>
      </c>
      <c r="H112">
        <v>4.5</v>
      </c>
      <c r="I112">
        <v>2.2000000000000002</v>
      </c>
      <c r="J112">
        <v>7.1</v>
      </c>
      <c r="K112" t="e">
        <f>E112/(VLOOKUP(B112,'2024 Team'!$B$2:$G$33,2,FALSE))</f>
        <v>#N/A</v>
      </c>
    </row>
  </sheetData>
  <autoFilter ref="A1:K112" xr:uid="{AEB23888-2A6D-42F6-8E9C-9DBC515EE6C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8"/>
  <sheetViews>
    <sheetView workbookViewId="0"/>
  </sheetViews>
  <sheetFormatPr defaultRowHeight="15" x14ac:dyDescent="0.25"/>
  <cols>
    <col min="1" max="1" width="19" customWidth="1"/>
    <col min="11" max="11" width="15.42578125" customWidth="1"/>
  </cols>
  <sheetData>
    <row r="1" spans="1:11" x14ac:dyDescent="0.25">
      <c r="A1" t="s">
        <v>71</v>
      </c>
      <c r="B1" t="s">
        <v>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t="s">
        <v>103</v>
      </c>
      <c r="B2" t="s">
        <v>46</v>
      </c>
      <c r="C2" t="s">
        <v>82</v>
      </c>
      <c r="D2">
        <v>388</v>
      </c>
      <c r="E2">
        <v>560</v>
      </c>
      <c r="F2">
        <v>69.3</v>
      </c>
      <c r="G2">
        <v>4624</v>
      </c>
      <c r="H2">
        <v>5.2</v>
      </c>
      <c r="I2">
        <v>2.5</v>
      </c>
      <c r="J2">
        <v>8.3000000000000007</v>
      </c>
      <c r="K2" s="3">
        <f>E2/(VLOOKUP(B2,'2023 Team'!$B$2:$G$33,2,FALSE))</f>
        <v>0.98939929328621912</v>
      </c>
    </row>
    <row r="3" spans="1:11" x14ac:dyDescent="0.25">
      <c r="A3" t="s">
        <v>85</v>
      </c>
      <c r="B3" t="s">
        <v>28</v>
      </c>
      <c r="C3" t="s">
        <v>82</v>
      </c>
      <c r="D3">
        <v>407</v>
      </c>
      <c r="E3">
        <v>605</v>
      </c>
      <c r="F3">
        <v>67.3</v>
      </c>
      <c r="G3">
        <v>4575</v>
      </c>
      <c r="H3">
        <v>5</v>
      </c>
      <c r="I3">
        <v>2</v>
      </c>
      <c r="J3">
        <v>7.6</v>
      </c>
      <c r="K3" s="3">
        <f>E3/(VLOOKUP(B3,'2023 Team'!$B$2:$G$33,2,FALSE))</f>
        <v>0.99834983498349839</v>
      </c>
    </row>
    <row r="4" spans="1:11" x14ac:dyDescent="0.25">
      <c r="A4" t="s">
        <v>83</v>
      </c>
      <c r="B4" t="s">
        <v>24</v>
      </c>
      <c r="C4" t="s">
        <v>82</v>
      </c>
      <c r="D4">
        <v>410</v>
      </c>
      <c r="E4">
        <v>590</v>
      </c>
      <c r="F4">
        <v>69.5</v>
      </c>
      <c r="G4">
        <v>4516</v>
      </c>
      <c r="H4">
        <v>6.1</v>
      </c>
      <c r="I4">
        <v>1.5</v>
      </c>
      <c r="J4">
        <v>7.7</v>
      </c>
      <c r="K4" s="3">
        <f>E4/(VLOOKUP(B4,'2023 Team'!$B$2:$G$33,2,FALSE))</f>
        <v>0.96091205211726383</v>
      </c>
    </row>
    <row r="5" spans="1:11" x14ac:dyDescent="0.25">
      <c r="A5" t="s">
        <v>97</v>
      </c>
      <c r="B5" t="s">
        <v>14</v>
      </c>
      <c r="C5" t="s">
        <v>82</v>
      </c>
      <c r="D5">
        <v>385</v>
      </c>
      <c r="E5">
        <v>579</v>
      </c>
      <c r="F5">
        <v>66.5</v>
      </c>
      <c r="G5">
        <v>4306</v>
      </c>
      <c r="H5">
        <v>5</v>
      </c>
      <c r="I5">
        <v>3.1</v>
      </c>
      <c r="J5">
        <v>7.4</v>
      </c>
      <c r="K5" s="3">
        <f>E5/(VLOOKUP(B5,'2023 Team'!$B$2:$G$33,2,FALSE))</f>
        <v>1</v>
      </c>
    </row>
    <row r="6" spans="1:11" x14ac:dyDescent="0.25">
      <c r="A6" t="s">
        <v>108</v>
      </c>
      <c r="B6" t="s">
        <v>62</v>
      </c>
      <c r="C6" t="s">
        <v>82</v>
      </c>
      <c r="D6">
        <v>308</v>
      </c>
      <c r="E6">
        <v>444</v>
      </c>
      <c r="F6">
        <v>69.400000000000006</v>
      </c>
      <c r="G6">
        <v>4280</v>
      </c>
      <c r="H6">
        <v>7</v>
      </c>
      <c r="I6">
        <v>2.5</v>
      </c>
      <c r="J6">
        <v>9.6</v>
      </c>
      <c r="K6" s="3">
        <f>E6/(VLOOKUP(B6,'2023 Team'!$B$2:$G$33,2,FALSE))</f>
        <v>0.90427698574338089</v>
      </c>
    </row>
    <row r="7" spans="1:11" x14ac:dyDescent="0.25">
      <c r="A7" t="s">
        <v>91</v>
      </c>
      <c r="B7" t="s">
        <v>38</v>
      </c>
      <c r="C7" t="s">
        <v>82</v>
      </c>
      <c r="D7">
        <v>401</v>
      </c>
      <c r="E7">
        <v>597</v>
      </c>
      <c r="F7">
        <v>67.2</v>
      </c>
      <c r="G7">
        <v>4183</v>
      </c>
      <c r="H7">
        <v>4.5</v>
      </c>
      <c r="I7">
        <v>2.2999999999999998</v>
      </c>
      <c r="J7">
        <v>7</v>
      </c>
      <c r="K7" s="3">
        <f>E7/(VLOOKUP(B7,'2023 Team'!$B$2:$G$33,2,FALSE))</f>
        <v>0.9401574803149606</v>
      </c>
    </row>
    <row r="8" spans="1:11" x14ac:dyDescent="0.25">
      <c r="A8" t="s">
        <v>100</v>
      </c>
      <c r="B8" t="s">
        <v>30</v>
      </c>
      <c r="C8" t="s">
        <v>82</v>
      </c>
      <c r="D8">
        <v>372</v>
      </c>
      <c r="E8">
        <v>579</v>
      </c>
      <c r="F8">
        <v>64.2</v>
      </c>
      <c r="G8">
        <v>4159</v>
      </c>
      <c r="H8">
        <v>5.5</v>
      </c>
      <c r="I8">
        <v>1.9</v>
      </c>
      <c r="J8">
        <v>7.2</v>
      </c>
      <c r="K8" s="3">
        <f>E8/(VLOOKUP(B8,'2023 Team'!$B$2:$G$33,2,FALSE))</f>
        <v>0.99655765920826167</v>
      </c>
    </row>
    <row r="9" spans="1:11" x14ac:dyDescent="0.25">
      <c r="A9" t="s">
        <v>101</v>
      </c>
      <c r="B9" t="s">
        <v>32</v>
      </c>
      <c r="C9" t="s">
        <v>82</v>
      </c>
      <c r="D9">
        <v>319</v>
      </c>
      <c r="E9">
        <v>499</v>
      </c>
      <c r="F9">
        <v>63.9</v>
      </c>
      <c r="G9">
        <v>4108</v>
      </c>
      <c r="H9">
        <v>4.5999999999999996</v>
      </c>
      <c r="I9">
        <v>1</v>
      </c>
      <c r="J9">
        <v>8.1999999999999993</v>
      </c>
      <c r="K9" s="3">
        <f>E9/(VLOOKUP(B9,'2023 Team'!$B$2:$G$33,2,FALSE))</f>
        <v>0.84290540540540537</v>
      </c>
    </row>
    <row r="10" spans="1:11" x14ac:dyDescent="0.25">
      <c r="A10" t="s">
        <v>88</v>
      </c>
      <c r="B10" t="s">
        <v>66</v>
      </c>
      <c r="C10" t="s">
        <v>82</v>
      </c>
      <c r="D10">
        <v>364</v>
      </c>
      <c r="E10">
        <v>566</v>
      </c>
      <c r="F10">
        <v>64.3</v>
      </c>
      <c r="G10">
        <v>4044</v>
      </c>
      <c r="H10">
        <v>4.9000000000000004</v>
      </c>
      <c r="I10">
        <v>1.8</v>
      </c>
      <c r="J10">
        <v>7.1</v>
      </c>
      <c r="K10" s="3">
        <f>E10/(VLOOKUP(B10,'2023 Team'!$B$2:$G$33,2,FALSE))</f>
        <v>0.99647887323943662</v>
      </c>
    </row>
    <row r="11" spans="1:11" x14ac:dyDescent="0.25">
      <c r="A11" t="s">
        <v>87</v>
      </c>
      <c r="B11" t="s">
        <v>36</v>
      </c>
      <c r="C11" t="s">
        <v>82</v>
      </c>
      <c r="D11">
        <v>370</v>
      </c>
      <c r="E11">
        <v>564</v>
      </c>
      <c r="F11">
        <v>65.599999999999994</v>
      </c>
      <c r="G11">
        <v>4016</v>
      </c>
      <c r="H11">
        <v>3.7</v>
      </c>
      <c r="I11">
        <v>2.5</v>
      </c>
      <c r="J11">
        <v>7.1</v>
      </c>
      <c r="K11" s="3">
        <f>E11/(VLOOKUP(B11,'2023 Team'!$B$2:$G$33,2,FALSE))</f>
        <v>0.9096774193548387</v>
      </c>
    </row>
    <row r="12" spans="1:11" x14ac:dyDescent="0.25">
      <c r="A12" t="s">
        <v>84</v>
      </c>
      <c r="B12" t="s">
        <v>44</v>
      </c>
      <c r="C12" t="s">
        <v>82</v>
      </c>
      <c r="D12">
        <v>326</v>
      </c>
      <c r="E12">
        <v>521</v>
      </c>
      <c r="F12">
        <v>62.6</v>
      </c>
      <c r="G12">
        <v>3965</v>
      </c>
      <c r="H12">
        <v>4.5999999999999996</v>
      </c>
      <c r="I12">
        <v>2.1</v>
      </c>
      <c r="J12">
        <v>7.6</v>
      </c>
      <c r="K12" s="3">
        <f>E12/(VLOOKUP(B12,'2023 Team'!$B$2:$G$33,2,FALSE))</f>
        <v>0.89365351629502576</v>
      </c>
    </row>
    <row r="13" spans="1:11" x14ac:dyDescent="0.25">
      <c r="A13" t="s">
        <v>1551</v>
      </c>
      <c r="B13" t="s">
        <v>70</v>
      </c>
      <c r="C13" t="s">
        <v>82</v>
      </c>
      <c r="D13">
        <v>388</v>
      </c>
      <c r="E13">
        <v>612</v>
      </c>
      <c r="F13">
        <v>63.4</v>
      </c>
      <c r="G13">
        <v>3946</v>
      </c>
      <c r="H13">
        <v>3.4</v>
      </c>
      <c r="I13">
        <v>3.4</v>
      </c>
      <c r="J13">
        <v>6.4</v>
      </c>
      <c r="K13" s="3">
        <f>E13/(VLOOKUP(B13,'2023 Team'!$B$2:$G$33,2,FALSE))</f>
        <v>0.96226415094339623</v>
      </c>
    </row>
    <row r="14" spans="1:11" x14ac:dyDescent="0.25">
      <c r="A14" t="s">
        <v>1552</v>
      </c>
      <c r="B14" t="s">
        <v>52</v>
      </c>
      <c r="C14" t="s">
        <v>82</v>
      </c>
      <c r="D14">
        <v>375</v>
      </c>
      <c r="E14">
        <v>548</v>
      </c>
      <c r="F14">
        <v>68.400000000000006</v>
      </c>
      <c r="G14">
        <v>3878</v>
      </c>
      <c r="H14">
        <v>4.5999999999999996</v>
      </c>
      <c r="I14">
        <v>1.5</v>
      </c>
      <c r="J14">
        <v>7.1</v>
      </c>
      <c r="K14" s="3">
        <f>E14/(VLOOKUP(B14,'2023 Team'!$B$2:$G$33,2,FALSE))</f>
        <v>0.90429042904290424</v>
      </c>
    </row>
    <row r="15" spans="1:11" x14ac:dyDescent="0.25">
      <c r="A15" t="s">
        <v>98</v>
      </c>
      <c r="B15" t="s">
        <v>58</v>
      </c>
      <c r="C15" t="s">
        <v>82</v>
      </c>
      <c r="D15">
        <v>352</v>
      </c>
      <c r="E15">
        <v>538</v>
      </c>
      <c r="F15">
        <v>65.400000000000006</v>
      </c>
      <c r="G15">
        <v>3858</v>
      </c>
      <c r="H15">
        <v>4.3</v>
      </c>
      <c r="I15">
        <v>2.8</v>
      </c>
      <c r="J15">
        <v>7.2</v>
      </c>
      <c r="K15" s="3">
        <f>E15/(VLOOKUP(B15,'2023 Team'!$B$2:$G$33,2,FALSE))</f>
        <v>0.95559502664298401</v>
      </c>
    </row>
    <row r="16" spans="1:11" x14ac:dyDescent="0.25">
      <c r="A16" t="s">
        <v>106</v>
      </c>
      <c r="B16" t="s">
        <v>12</v>
      </c>
      <c r="C16" t="s">
        <v>82</v>
      </c>
      <c r="D16">
        <v>307</v>
      </c>
      <c r="E16">
        <v>457</v>
      </c>
      <c r="F16">
        <v>67.2</v>
      </c>
      <c r="G16">
        <v>3678</v>
      </c>
      <c r="H16">
        <v>5.3</v>
      </c>
      <c r="I16">
        <v>1.5</v>
      </c>
      <c r="J16">
        <v>8</v>
      </c>
      <c r="K16" s="3">
        <f>E16/(VLOOKUP(B16,'2023 Team'!$B$2:$G$33,2,FALSE))</f>
        <v>0.9251012145748988</v>
      </c>
    </row>
    <row r="17" spans="1:11" x14ac:dyDescent="0.25">
      <c r="A17" t="s">
        <v>99</v>
      </c>
      <c r="B17" t="s">
        <v>64</v>
      </c>
      <c r="C17" t="s">
        <v>82</v>
      </c>
      <c r="D17">
        <v>323</v>
      </c>
      <c r="E17">
        <v>499</v>
      </c>
      <c r="F17">
        <v>64.7</v>
      </c>
      <c r="G17">
        <v>3624</v>
      </c>
      <c r="H17">
        <v>4</v>
      </c>
      <c r="I17">
        <v>1.8</v>
      </c>
      <c r="J17">
        <v>7.3</v>
      </c>
      <c r="K17" s="3">
        <f>E17/(VLOOKUP(B17,'2023 Team'!$B$2:$G$33,2,FALSE))</f>
        <v>0.86782608695652175</v>
      </c>
    </row>
    <row r="18" spans="1:11" x14ac:dyDescent="0.25">
      <c r="A18" t="s">
        <v>149</v>
      </c>
      <c r="B18" t="s">
        <v>34</v>
      </c>
      <c r="C18" t="s">
        <v>82</v>
      </c>
      <c r="D18">
        <v>305</v>
      </c>
      <c r="E18">
        <v>490</v>
      </c>
      <c r="F18">
        <v>62.2</v>
      </c>
      <c r="G18">
        <v>3305</v>
      </c>
      <c r="H18">
        <v>3.1</v>
      </c>
      <c r="I18">
        <v>1.8</v>
      </c>
      <c r="J18">
        <v>6.7</v>
      </c>
      <c r="K18" s="3">
        <f>E18/(VLOOKUP(B18,'2023 Team'!$B$2:$G$33,2,FALSE))</f>
        <v>0.85365853658536583</v>
      </c>
    </row>
    <row r="19" spans="1:11" x14ac:dyDescent="0.25">
      <c r="A19" t="s">
        <v>90</v>
      </c>
      <c r="B19" t="s">
        <v>42</v>
      </c>
      <c r="C19" t="s">
        <v>82</v>
      </c>
      <c r="D19">
        <v>297</v>
      </c>
      <c r="E19">
        <v>456</v>
      </c>
      <c r="F19">
        <v>65.099999999999994</v>
      </c>
      <c r="G19">
        <v>3134</v>
      </c>
      <c r="H19">
        <v>4.4000000000000004</v>
      </c>
      <c r="I19">
        <v>1.5</v>
      </c>
      <c r="J19">
        <v>6.9</v>
      </c>
      <c r="K19" s="3">
        <f>E19/(VLOOKUP(B19,'2023 Team'!$B$2:$G$33,2,FALSE))</f>
        <v>0.72151898734177211</v>
      </c>
    </row>
    <row r="20" spans="1:11" x14ac:dyDescent="0.25">
      <c r="A20" t="s">
        <v>126</v>
      </c>
      <c r="B20" t="s">
        <v>26</v>
      </c>
      <c r="C20" t="s">
        <v>82</v>
      </c>
      <c r="D20">
        <v>297</v>
      </c>
      <c r="E20">
        <v>447</v>
      </c>
      <c r="F20">
        <v>66.400000000000006</v>
      </c>
      <c r="G20">
        <v>3070</v>
      </c>
      <c r="H20">
        <v>5.8</v>
      </c>
      <c r="I20">
        <v>1.8</v>
      </c>
      <c r="J20">
        <v>6.9</v>
      </c>
      <c r="K20" s="3">
        <f>E20/(VLOOKUP(B20,'2023 Team'!$B$2:$G$33,2,FALSE))</f>
        <v>0.87134502923976609</v>
      </c>
    </row>
    <row r="21" spans="1:11" x14ac:dyDescent="0.25">
      <c r="A21" t="s">
        <v>95</v>
      </c>
      <c r="B21" t="s">
        <v>16</v>
      </c>
      <c r="C21" t="s">
        <v>82</v>
      </c>
      <c r="D21">
        <v>315</v>
      </c>
      <c r="E21">
        <v>527</v>
      </c>
      <c r="F21">
        <v>59.8</v>
      </c>
      <c r="G21">
        <v>2877</v>
      </c>
      <c r="H21">
        <v>2.1</v>
      </c>
      <c r="I21">
        <v>1.9</v>
      </c>
      <c r="J21">
        <v>5.5</v>
      </c>
      <c r="K21" s="3">
        <f>E21/(VLOOKUP(B21,'2023 Team'!$B$2:$G$33,2,FALSE))</f>
        <v>0.89931740614334466</v>
      </c>
    </row>
    <row r="22" spans="1:11" x14ac:dyDescent="0.25">
      <c r="A22" t="s">
        <v>1553</v>
      </c>
      <c r="B22" t="s">
        <v>10</v>
      </c>
      <c r="C22" t="s">
        <v>82</v>
      </c>
      <c r="D22">
        <v>249</v>
      </c>
      <c r="E22">
        <v>388</v>
      </c>
      <c r="F22">
        <v>64.2</v>
      </c>
      <c r="G22">
        <v>2836</v>
      </c>
      <c r="H22">
        <v>3.1</v>
      </c>
      <c r="I22">
        <v>3.1</v>
      </c>
      <c r="J22">
        <v>7.3</v>
      </c>
      <c r="K22" s="3">
        <f>E22/(VLOOKUP(B22,'2023 Team'!$B$2:$G$33,2,FALSE))</f>
        <v>0.73207547169811316</v>
      </c>
    </row>
    <row r="23" spans="1:11" x14ac:dyDescent="0.25">
      <c r="A23" t="s">
        <v>117</v>
      </c>
      <c r="B23" t="s">
        <v>18</v>
      </c>
      <c r="C23" t="s">
        <v>82</v>
      </c>
      <c r="D23">
        <v>227</v>
      </c>
      <c r="E23">
        <v>370</v>
      </c>
      <c r="F23">
        <v>61.4</v>
      </c>
      <c r="G23">
        <v>2562</v>
      </c>
      <c r="H23">
        <v>4.3</v>
      </c>
      <c r="I23">
        <v>2.4</v>
      </c>
      <c r="J23">
        <v>6.9</v>
      </c>
      <c r="K23" s="3">
        <f>E23/(VLOOKUP(B23,'2023 Team'!$B$2:$G$33,2,FALSE))</f>
        <v>0.72124756335282647</v>
      </c>
    </row>
    <row r="24" spans="1:11" x14ac:dyDescent="0.25">
      <c r="A24" t="s">
        <v>151</v>
      </c>
      <c r="B24" t="s">
        <v>8</v>
      </c>
      <c r="C24" t="s">
        <v>82</v>
      </c>
      <c r="D24">
        <v>167</v>
      </c>
      <c r="E24">
        <v>266</v>
      </c>
      <c r="F24">
        <v>62.8</v>
      </c>
      <c r="G24">
        <v>1569</v>
      </c>
      <c r="H24">
        <v>3</v>
      </c>
      <c r="I24">
        <v>1.9</v>
      </c>
      <c r="J24">
        <v>5.9</v>
      </c>
      <c r="K24" s="3">
        <f>E24/(VLOOKUP(B24,'2023 Team'!$B$2:$G$33,2,FALSE))</f>
        <v>0.47927927927927927</v>
      </c>
    </row>
    <row r="25" spans="1:11" x14ac:dyDescent="0.25">
      <c r="A25" t="s">
        <v>151</v>
      </c>
      <c r="B25" t="s">
        <v>48</v>
      </c>
      <c r="C25" t="s">
        <v>82</v>
      </c>
      <c r="D25">
        <v>95</v>
      </c>
      <c r="E25">
        <v>151</v>
      </c>
      <c r="F25">
        <v>62.9</v>
      </c>
      <c r="G25">
        <v>895</v>
      </c>
      <c r="H25">
        <v>3.3</v>
      </c>
      <c r="I25">
        <v>3.3</v>
      </c>
      <c r="J25">
        <v>5.9</v>
      </c>
      <c r="K25" s="3">
        <f>E25/(VLOOKUP(B25,'2023 Team'!$B$2:$G$33,2,FALSE))</f>
        <v>0.2393026941362916</v>
      </c>
    </row>
    <row r="26" spans="1:11" x14ac:dyDescent="0.25">
      <c r="A26" t="s">
        <v>110</v>
      </c>
      <c r="B26" t="s">
        <v>48</v>
      </c>
      <c r="C26" t="s">
        <v>82</v>
      </c>
      <c r="D26">
        <v>216</v>
      </c>
      <c r="E26">
        <v>311</v>
      </c>
      <c r="F26">
        <v>69.5</v>
      </c>
      <c r="G26">
        <v>2331</v>
      </c>
      <c r="H26">
        <v>5.8</v>
      </c>
      <c r="I26">
        <v>1.6</v>
      </c>
      <c r="J26">
        <v>7.5</v>
      </c>
      <c r="K26" s="3">
        <f>E26/(VLOOKUP(B26,'2023 Team'!$B$2:$G$33,2,FALSE))</f>
        <v>0.49286846275752771</v>
      </c>
    </row>
    <row r="27" spans="1:11" x14ac:dyDescent="0.25">
      <c r="A27" t="s">
        <v>111</v>
      </c>
      <c r="B27" t="s">
        <v>20</v>
      </c>
      <c r="C27" t="s">
        <v>82</v>
      </c>
      <c r="D27">
        <v>244</v>
      </c>
      <c r="E27">
        <v>365</v>
      </c>
      <c r="F27">
        <v>66.8</v>
      </c>
      <c r="G27">
        <v>2309</v>
      </c>
      <c r="H27">
        <v>4.0999999999999996</v>
      </c>
      <c r="I27">
        <v>1.6</v>
      </c>
      <c r="J27">
        <v>6.3</v>
      </c>
      <c r="K27" s="3">
        <f>E27/(VLOOKUP(B27,'2023 Team'!$B$2:$G$33,2,FALSE))</f>
        <v>0.5934959349593496</v>
      </c>
    </row>
    <row r="28" spans="1:11" x14ac:dyDescent="0.25">
      <c r="A28" t="s">
        <v>150</v>
      </c>
      <c r="B28" t="s">
        <v>56</v>
      </c>
      <c r="C28" t="s">
        <v>82</v>
      </c>
      <c r="D28">
        <v>221</v>
      </c>
      <c r="E28">
        <v>368</v>
      </c>
      <c r="F28">
        <v>60.1</v>
      </c>
      <c r="G28">
        <v>2271</v>
      </c>
      <c r="H28">
        <v>2.2000000000000002</v>
      </c>
      <c r="I28">
        <v>1.9</v>
      </c>
      <c r="J28">
        <v>6.2</v>
      </c>
      <c r="K28" s="3">
        <f>E28/(VLOOKUP(B28,'2023 Team'!$B$2:$G$33,2,FALSE))</f>
        <v>0.61231281198003329</v>
      </c>
    </row>
    <row r="29" spans="1:11" x14ac:dyDescent="0.25">
      <c r="A29" t="s">
        <v>145</v>
      </c>
      <c r="B29" t="s">
        <v>40</v>
      </c>
      <c r="C29" t="s">
        <v>82</v>
      </c>
      <c r="D29">
        <v>213</v>
      </c>
      <c r="E29">
        <v>343</v>
      </c>
      <c r="F29">
        <v>62.1</v>
      </c>
      <c r="G29">
        <v>2218</v>
      </c>
      <c r="H29">
        <v>3.5</v>
      </c>
      <c r="I29">
        <v>2</v>
      </c>
      <c r="J29">
        <v>6.5</v>
      </c>
      <c r="K29" s="3">
        <f>E29/(VLOOKUP(B29,'2023 Team'!$B$2:$G$33,2,FALSE))</f>
        <v>0.61579892280071813</v>
      </c>
    </row>
    <row r="30" spans="1:11" x14ac:dyDescent="0.25">
      <c r="A30" t="s">
        <v>107</v>
      </c>
      <c r="B30" t="s">
        <v>50</v>
      </c>
      <c r="C30" t="s">
        <v>82</v>
      </c>
      <c r="D30">
        <v>224</v>
      </c>
      <c r="E30">
        <v>345</v>
      </c>
      <c r="F30">
        <v>64.900000000000006</v>
      </c>
      <c r="G30">
        <v>2120</v>
      </c>
      <c r="H30">
        <v>2.9</v>
      </c>
      <c r="I30">
        <v>3.5</v>
      </c>
      <c r="J30">
        <v>6.1</v>
      </c>
      <c r="K30" s="3">
        <f>E30/(VLOOKUP(B30,'2023 Team'!$B$2:$G$33,2,FALSE))</f>
        <v>0.61938958707360858</v>
      </c>
    </row>
    <row r="31" spans="1:11" x14ac:dyDescent="0.25">
      <c r="A31" t="s">
        <v>138</v>
      </c>
      <c r="B31" t="s">
        <v>60</v>
      </c>
      <c r="C31" t="s">
        <v>82</v>
      </c>
      <c r="D31">
        <v>201</v>
      </c>
      <c r="E31">
        <v>324</v>
      </c>
      <c r="F31">
        <v>62</v>
      </c>
      <c r="G31">
        <v>2070</v>
      </c>
      <c r="H31">
        <v>1.9</v>
      </c>
      <c r="I31">
        <v>1.2</v>
      </c>
      <c r="J31">
        <v>6.4</v>
      </c>
      <c r="K31" s="3">
        <f>E31/(VLOOKUP(B31,'2023 Team'!$B$2:$G$33,2,FALSE))</f>
        <v>0.64031620553359681</v>
      </c>
    </row>
    <row r="32" spans="1:11" x14ac:dyDescent="0.25">
      <c r="A32" t="s">
        <v>125</v>
      </c>
      <c r="B32" t="s">
        <v>20</v>
      </c>
      <c r="C32" t="s">
        <v>82</v>
      </c>
      <c r="D32">
        <v>171</v>
      </c>
      <c r="E32">
        <v>243</v>
      </c>
      <c r="F32">
        <v>70.400000000000006</v>
      </c>
      <c r="G32">
        <v>1936</v>
      </c>
      <c r="H32">
        <v>4.9000000000000004</v>
      </c>
      <c r="I32">
        <v>2.9</v>
      </c>
      <c r="J32">
        <v>8</v>
      </c>
      <c r="K32" s="3">
        <f>E32/(VLOOKUP(B32,'2023 Team'!$B$2:$G$33,2,FALSE))</f>
        <v>0.39512195121951221</v>
      </c>
    </row>
    <row r="33" spans="1:11" x14ac:dyDescent="0.25">
      <c r="A33" t="s">
        <v>1554</v>
      </c>
      <c r="B33" t="s">
        <v>68</v>
      </c>
      <c r="C33" t="s">
        <v>82</v>
      </c>
      <c r="D33">
        <v>149</v>
      </c>
      <c r="E33">
        <v>255</v>
      </c>
      <c r="F33">
        <v>58.4</v>
      </c>
      <c r="G33">
        <v>1808</v>
      </c>
      <c r="H33">
        <v>3.1</v>
      </c>
      <c r="I33">
        <v>1.6</v>
      </c>
      <c r="J33">
        <v>7.1</v>
      </c>
      <c r="K33" s="3">
        <f>E33/(VLOOKUP(B33,'2023 Team'!$B$2:$G$33,2,FALSE))</f>
        <v>0.51619433198380571</v>
      </c>
    </row>
    <row r="34" spans="1:11" x14ac:dyDescent="0.25">
      <c r="A34" t="s">
        <v>121</v>
      </c>
      <c r="B34" t="s">
        <v>8</v>
      </c>
      <c r="C34" t="s">
        <v>82</v>
      </c>
      <c r="D34">
        <v>176</v>
      </c>
      <c r="E34">
        <v>268</v>
      </c>
      <c r="F34">
        <v>65.7</v>
      </c>
      <c r="G34">
        <v>1799</v>
      </c>
      <c r="H34">
        <v>3.7</v>
      </c>
      <c r="I34">
        <v>1.9</v>
      </c>
      <c r="J34">
        <v>6.7</v>
      </c>
      <c r="K34" s="3">
        <f>E34/(VLOOKUP(B34,'2023 Team'!$B$2:$G$33,2,FALSE))</f>
        <v>0.48288288288288289</v>
      </c>
    </row>
    <row r="35" spans="1:11" x14ac:dyDescent="0.25">
      <c r="A35" t="s">
        <v>113</v>
      </c>
      <c r="B35" t="s">
        <v>22</v>
      </c>
      <c r="C35" t="s">
        <v>82</v>
      </c>
      <c r="D35">
        <v>123</v>
      </c>
      <c r="E35">
        <v>204</v>
      </c>
      <c r="F35">
        <v>60.3</v>
      </c>
      <c r="G35">
        <v>1616</v>
      </c>
      <c r="H35">
        <v>6.4</v>
      </c>
      <c r="I35">
        <v>3.9</v>
      </c>
      <c r="J35">
        <v>7.9</v>
      </c>
      <c r="K35" s="3">
        <f>E35/(VLOOKUP(B35,'2023 Team'!$B$2:$G$33,2,FALSE))</f>
        <v>0.32692307692307693</v>
      </c>
    </row>
    <row r="36" spans="1:11" x14ac:dyDescent="0.25">
      <c r="A36" t="s">
        <v>1555</v>
      </c>
      <c r="B36" t="s">
        <v>68</v>
      </c>
      <c r="C36" t="s">
        <v>82</v>
      </c>
      <c r="D36">
        <v>149</v>
      </c>
      <c r="E36">
        <v>230</v>
      </c>
      <c r="F36">
        <v>64.8</v>
      </c>
      <c r="G36">
        <v>1616</v>
      </c>
      <c r="H36">
        <v>1.7</v>
      </c>
      <c r="I36">
        <v>3</v>
      </c>
      <c r="J36">
        <v>7</v>
      </c>
      <c r="K36" s="3">
        <f>E36/(VLOOKUP(B36,'2023 Team'!$B$2:$G$33,2,FALSE))</f>
        <v>0.46558704453441296</v>
      </c>
    </row>
    <row r="37" spans="1:11" x14ac:dyDescent="0.25">
      <c r="A37" t="s">
        <v>124</v>
      </c>
      <c r="B37" t="s">
        <v>54</v>
      </c>
      <c r="C37" t="s">
        <v>82</v>
      </c>
      <c r="D37">
        <v>116</v>
      </c>
      <c r="E37">
        <v>180</v>
      </c>
      <c r="F37">
        <v>64.400000000000006</v>
      </c>
      <c r="G37">
        <v>1341</v>
      </c>
      <c r="H37">
        <v>2.8</v>
      </c>
      <c r="I37">
        <v>1.7</v>
      </c>
      <c r="J37">
        <v>7.5</v>
      </c>
      <c r="K37" s="3">
        <f>E37/(VLOOKUP(B37,'2023 Team'!$B$2:$G$33,2,FALSE))</f>
        <v>0.34749034749034752</v>
      </c>
    </row>
    <row r="38" spans="1:11" x14ac:dyDescent="0.25">
      <c r="A38" t="s">
        <v>155</v>
      </c>
      <c r="B38" t="s">
        <v>48</v>
      </c>
      <c r="C38" t="s">
        <v>82</v>
      </c>
      <c r="D38">
        <v>100</v>
      </c>
      <c r="E38">
        <v>148</v>
      </c>
      <c r="F38">
        <v>67.599999999999994</v>
      </c>
      <c r="G38">
        <v>1306</v>
      </c>
      <c r="H38">
        <v>4.7</v>
      </c>
      <c r="I38">
        <v>5.4</v>
      </c>
      <c r="J38">
        <v>8.8000000000000007</v>
      </c>
      <c r="K38" s="3">
        <f>E38/(VLOOKUP(B38,'2023 Team'!$B$2:$G$33,2,FALSE))</f>
        <v>0.23454833597464342</v>
      </c>
    </row>
    <row r="39" spans="1:11" x14ac:dyDescent="0.25">
      <c r="A39" t="s">
        <v>1556</v>
      </c>
      <c r="B39" t="s">
        <v>50</v>
      </c>
      <c r="C39" t="s">
        <v>82</v>
      </c>
      <c r="D39">
        <v>127</v>
      </c>
      <c r="E39">
        <v>212</v>
      </c>
      <c r="F39">
        <v>59.9</v>
      </c>
      <c r="G39">
        <v>1272</v>
      </c>
      <c r="H39">
        <v>2.8</v>
      </c>
      <c r="I39">
        <v>4.2</v>
      </c>
      <c r="J39">
        <v>6</v>
      </c>
      <c r="K39" s="3">
        <f>E39/(VLOOKUP(B39,'2023 Team'!$B$2:$G$33,2,FALSE))</f>
        <v>0.38061041292639136</v>
      </c>
    </row>
    <row r="40" spans="1:11" x14ac:dyDescent="0.25">
      <c r="A40" t="s">
        <v>617</v>
      </c>
      <c r="B40" t="s">
        <v>40</v>
      </c>
      <c r="C40" t="s">
        <v>82</v>
      </c>
      <c r="D40">
        <v>110</v>
      </c>
      <c r="E40">
        <v>169</v>
      </c>
      <c r="F40">
        <v>65.099999999999994</v>
      </c>
      <c r="G40">
        <v>1205</v>
      </c>
      <c r="H40">
        <v>4.0999999999999996</v>
      </c>
      <c r="I40">
        <v>5.3</v>
      </c>
      <c r="J40">
        <v>7.1</v>
      </c>
      <c r="K40" s="3">
        <f>E40/(VLOOKUP(B40,'2023 Team'!$B$2:$G$33,2,FALSE))</f>
        <v>0.30341113105924594</v>
      </c>
    </row>
    <row r="41" spans="1:11" x14ac:dyDescent="0.25">
      <c r="A41" t="s">
        <v>1557</v>
      </c>
      <c r="B41" t="s">
        <v>42</v>
      </c>
      <c r="C41" t="s">
        <v>82</v>
      </c>
      <c r="D41">
        <v>111</v>
      </c>
      <c r="E41">
        <v>174</v>
      </c>
      <c r="F41">
        <v>63.8</v>
      </c>
      <c r="G41">
        <v>1129</v>
      </c>
      <c r="H41">
        <v>1.7</v>
      </c>
      <c r="I41">
        <v>0.6</v>
      </c>
      <c r="J41">
        <v>6.5</v>
      </c>
      <c r="K41" s="3">
        <f>E41/(VLOOKUP(B41,'2023 Team'!$B$2:$G$33,2,FALSE))</f>
        <v>0.27531645569620256</v>
      </c>
    </row>
    <row r="42" spans="1:11" x14ac:dyDescent="0.25">
      <c r="A42" t="s">
        <v>1558</v>
      </c>
      <c r="B42" t="s">
        <v>22</v>
      </c>
      <c r="C42" t="s">
        <v>82</v>
      </c>
      <c r="D42">
        <v>105</v>
      </c>
      <c r="E42">
        <v>171</v>
      </c>
      <c r="F42">
        <v>61.4</v>
      </c>
      <c r="G42">
        <v>1115</v>
      </c>
      <c r="H42">
        <v>4.0999999999999996</v>
      </c>
      <c r="I42">
        <v>2.2999999999999998</v>
      </c>
      <c r="J42">
        <v>6.5</v>
      </c>
      <c r="K42" s="3">
        <f>E42/(VLOOKUP(B42,'2023 Team'!$B$2:$G$33,2,FALSE))</f>
        <v>0.27403846153846156</v>
      </c>
    </row>
    <row r="43" spans="1:11" x14ac:dyDescent="0.25">
      <c r="A43" t="s">
        <v>1559</v>
      </c>
      <c r="B43" t="s">
        <v>54</v>
      </c>
      <c r="C43" t="s">
        <v>82</v>
      </c>
      <c r="D43">
        <v>114</v>
      </c>
      <c r="E43">
        <v>178</v>
      </c>
      <c r="F43">
        <v>64</v>
      </c>
      <c r="G43">
        <v>1101</v>
      </c>
      <c r="H43">
        <v>4.5</v>
      </c>
      <c r="I43">
        <v>1.7</v>
      </c>
      <c r="J43">
        <v>6.2</v>
      </c>
      <c r="K43" s="3">
        <f>E43/(VLOOKUP(B43,'2023 Team'!$B$2:$G$33,2,FALSE))</f>
        <v>0.34362934362934361</v>
      </c>
    </row>
    <row r="44" spans="1:11" x14ac:dyDescent="0.25">
      <c r="A44" t="s">
        <v>102</v>
      </c>
      <c r="B44" t="s">
        <v>54</v>
      </c>
      <c r="C44" t="s">
        <v>82</v>
      </c>
      <c r="D44">
        <v>108</v>
      </c>
      <c r="E44">
        <v>160</v>
      </c>
      <c r="F44">
        <v>67.5</v>
      </c>
      <c r="G44">
        <v>909</v>
      </c>
      <c r="H44">
        <v>1.3</v>
      </c>
      <c r="I44">
        <v>3.8</v>
      </c>
      <c r="J44">
        <v>5.7</v>
      </c>
      <c r="K44" s="3">
        <f>E44/(VLOOKUP(B44,'2023 Team'!$B$2:$G$33,2,FALSE))</f>
        <v>0.30888030888030887</v>
      </c>
    </row>
    <row r="45" spans="1:11" x14ac:dyDescent="0.25">
      <c r="A45" t="s">
        <v>1560</v>
      </c>
      <c r="B45" t="s">
        <v>10</v>
      </c>
      <c r="C45" t="s">
        <v>82</v>
      </c>
      <c r="D45">
        <v>74</v>
      </c>
      <c r="E45">
        <v>136</v>
      </c>
      <c r="F45">
        <v>54.4</v>
      </c>
      <c r="G45">
        <v>890</v>
      </c>
      <c r="H45">
        <v>3.7</v>
      </c>
      <c r="I45">
        <v>2.9</v>
      </c>
      <c r="J45">
        <v>6.5</v>
      </c>
      <c r="K45" s="3">
        <f>E45/(VLOOKUP(B45,'2023 Team'!$B$2:$G$33,2,FALSE))</f>
        <v>0.25660377358490566</v>
      </c>
    </row>
    <row r="46" spans="1:11" x14ac:dyDescent="0.25">
      <c r="A46" t="s">
        <v>154</v>
      </c>
      <c r="B46" t="s">
        <v>18</v>
      </c>
      <c r="C46" t="s">
        <v>82</v>
      </c>
      <c r="D46">
        <v>94</v>
      </c>
      <c r="E46">
        <v>143</v>
      </c>
      <c r="F46">
        <v>65.7</v>
      </c>
      <c r="G46">
        <v>859</v>
      </c>
      <c r="H46">
        <v>2.1</v>
      </c>
      <c r="I46">
        <v>4.2</v>
      </c>
      <c r="J46">
        <v>6</v>
      </c>
      <c r="K46" s="3">
        <f>E46/(VLOOKUP(B46,'2023 Team'!$B$2:$G$33,2,FALSE))</f>
        <v>0.27875243664717347</v>
      </c>
    </row>
    <row r="47" spans="1:11" x14ac:dyDescent="0.25">
      <c r="A47" t="s">
        <v>1561</v>
      </c>
      <c r="B47" t="s">
        <v>56</v>
      </c>
      <c r="C47" t="s">
        <v>82</v>
      </c>
      <c r="D47">
        <v>86</v>
      </c>
      <c r="E47">
        <v>153</v>
      </c>
      <c r="F47">
        <v>56.2</v>
      </c>
      <c r="G47">
        <v>724</v>
      </c>
      <c r="H47">
        <v>1.3</v>
      </c>
      <c r="I47">
        <v>2.6</v>
      </c>
      <c r="J47">
        <v>4.7</v>
      </c>
      <c r="K47" s="3">
        <f>E47/(VLOOKUP(B47,'2023 Team'!$B$2:$G$33,2,FALSE))</f>
        <v>0.25457570715474209</v>
      </c>
    </row>
    <row r="48" spans="1:11" x14ac:dyDescent="0.25">
      <c r="A48" t="s">
        <v>137</v>
      </c>
      <c r="B48" t="s">
        <v>60</v>
      </c>
      <c r="C48" t="s">
        <v>82</v>
      </c>
      <c r="D48">
        <v>55</v>
      </c>
      <c r="E48">
        <v>74</v>
      </c>
      <c r="F48">
        <v>74.3</v>
      </c>
      <c r="G48">
        <v>719</v>
      </c>
      <c r="H48">
        <v>4.0999999999999996</v>
      </c>
      <c r="I48">
        <v>0</v>
      </c>
      <c r="J48">
        <v>9.6999999999999993</v>
      </c>
      <c r="K48" s="3">
        <f>E48/(VLOOKUP(B48,'2023 Team'!$B$2:$G$33,2,FALSE))</f>
        <v>0.14624505928853754</v>
      </c>
    </row>
    <row r="49" spans="1:11" x14ac:dyDescent="0.25">
      <c r="A49" t="s">
        <v>1562</v>
      </c>
      <c r="B49" t="s">
        <v>22</v>
      </c>
      <c r="C49" t="s">
        <v>82</v>
      </c>
      <c r="D49">
        <v>54</v>
      </c>
      <c r="E49">
        <v>111</v>
      </c>
      <c r="F49">
        <v>48.6</v>
      </c>
      <c r="G49">
        <v>674</v>
      </c>
      <c r="H49">
        <v>0.9</v>
      </c>
      <c r="I49">
        <v>4.5</v>
      </c>
      <c r="J49">
        <v>6.1</v>
      </c>
      <c r="K49" s="3">
        <f>E49/(VLOOKUP(B49,'2023 Team'!$B$2:$G$33,2,FALSE))</f>
        <v>0.17788461538461539</v>
      </c>
    </row>
    <row r="50" spans="1:11" x14ac:dyDescent="0.25">
      <c r="A50" t="s">
        <v>141</v>
      </c>
      <c r="B50" t="s">
        <v>60</v>
      </c>
      <c r="C50" t="s">
        <v>82</v>
      </c>
      <c r="D50">
        <v>67</v>
      </c>
      <c r="E50">
        <v>107</v>
      </c>
      <c r="F50">
        <v>62.6</v>
      </c>
      <c r="G50">
        <v>632</v>
      </c>
      <c r="H50">
        <v>3.7</v>
      </c>
      <c r="I50">
        <v>4.7</v>
      </c>
      <c r="J50">
        <v>5.9</v>
      </c>
      <c r="K50" s="3">
        <f>E50/(VLOOKUP(B50,'2023 Team'!$B$2:$G$33,2,FALSE))</f>
        <v>0.21146245059288538</v>
      </c>
    </row>
    <row r="51" spans="1:11" x14ac:dyDescent="0.25">
      <c r="A51" t="s">
        <v>161</v>
      </c>
      <c r="B51" t="s">
        <v>34</v>
      </c>
      <c r="C51" t="s">
        <v>82</v>
      </c>
      <c r="D51">
        <v>50</v>
      </c>
      <c r="E51">
        <v>84</v>
      </c>
      <c r="F51">
        <v>59.5</v>
      </c>
      <c r="G51">
        <v>577</v>
      </c>
      <c r="H51">
        <v>3.6</v>
      </c>
      <c r="I51">
        <v>1.2</v>
      </c>
      <c r="J51">
        <v>6.9</v>
      </c>
      <c r="K51" s="3">
        <f>E51/(VLOOKUP(B51,'2023 Team'!$B$2:$G$33,2,FALSE))</f>
        <v>0.14634146341463414</v>
      </c>
    </row>
    <row r="52" spans="1:11" x14ac:dyDescent="0.25">
      <c r="A52" t="s">
        <v>156</v>
      </c>
      <c r="B52" t="s">
        <v>64</v>
      </c>
      <c r="C52" t="s">
        <v>82</v>
      </c>
      <c r="D52">
        <v>48</v>
      </c>
      <c r="E52">
        <v>76</v>
      </c>
      <c r="F52">
        <v>63.2</v>
      </c>
      <c r="G52">
        <v>543</v>
      </c>
      <c r="H52">
        <v>3.9</v>
      </c>
      <c r="I52">
        <v>3.9</v>
      </c>
      <c r="J52">
        <v>7.1</v>
      </c>
      <c r="K52" s="3">
        <f>E52/(VLOOKUP(B52,'2023 Team'!$B$2:$G$33,2,FALSE))</f>
        <v>0.13217391304347825</v>
      </c>
    </row>
    <row r="53" spans="1:11" x14ac:dyDescent="0.25">
      <c r="A53" t="s">
        <v>782</v>
      </c>
      <c r="B53" t="s">
        <v>26</v>
      </c>
      <c r="C53" t="s">
        <v>82</v>
      </c>
      <c r="D53">
        <v>40</v>
      </c>
      <c r="E53">
        <v>66</v>
      </c>
      <c r="F53">
        <v>60.6</v>
      </c>
      <c r="G53">
        <v>496</v>
      </c>
      <c r="H53">
        <v>3</v>
      </c>
      <c r="I53">
        <v>1.5</v>
      </c>
      <c r="J53">
        <v>7.5</v>
      </c>
      <c r="K53" s="3">
        <f>E53/(VLOOKUP(B53,'2023 Team'!$B$2:$G$33,2,FALSE))</f>
        <v>0.12865497076023391</v>
      </c>
    </row>
    <row r="54" spans="1:11" x14ac:dyDescent="0.25">
      <c r="A54" t="s">
        <v>1563</v>
      </c>
      <c r="B54" t="s">
        <v>22</v>
      </c>
      <c r="C54" t="s">
        <v>82</v>
      </c>
      <c r="D54">
        <v>60</v>
      </c>
      <c r="E54">
        <v>112</v>
      </c>
      <c r="F54">
        <v>53.6</v>
      </c>
      <c r="G54">
        <v>440</v>
      </c>
      <c r="H54">
        <v>0.9</v>
      </c>
      <c r="I54">
        <v>3.6</v>
      </c>
      <c r="J54">
        <v>3.9</v>
      </c>
      <c r="K54" s="3">
        <f>E54/(VLOOKUP(B54,'2023 Team'!$B$2:$G$33,2,FALSE))</f>
        <v>0.17948717948717949</v>
      </c>
    </row>
    <row r="55" spans="1:11" x14ac:dyDescent="0.25">
      <c r="A55" t="s">
        <v>140</v>
      </c>
      <c r="B55" t="s">
        <v>16</v>
      </c>
      <c r="C55" t="s">
        <v>82</v>
      </c>
      <c r="D55">
        <v>34</v>
      </c>
      <c r="E55">
        <v>58</v>
      </c>
      <c r="F55">
        <v>58.6</v>
      </c>
      <c r="G55">
        <v>361</v>
      </c>
      <c r="H55">
        <v>3.4</v>
      </c>
      <c r="I55">
        <v>0</v>
      </c>
      <c r="J55">
        <v>6.2</v>
      </c>
      <c r="K55" s="3">
        <f>E55/(VLOOKUP(B55,'2023 Team'!$B$2:$G$33,2,FALSE))</f>
        <v>9.8976109215017066E-2</v>
      </c>
    </row>
    <row r="56" spans="1:11" x14ac:dyDescent="0.25">
      <c r="A56" t="s">
        <v>1564</v>
      </c>
      <c r="B56" t="s">
        <v>56</v>
      </c>
      <c r="C56" t="s">
        <v>82</v>
      </c>
      <c r="D56">
        <v>48</v>
      </c>
      <c r="E56">
        <v>77</v>
      </c>
      <c r="F56">
        <v>62.3</v>
      </c>
      <c r="G56">
        <v>360</v>
      </c>
      <c r="H56">
        <v>1.3</v>
      </c>
      <c r="I56">
        <v>5.2</v>
      </c>
      <c r="J56">
        <v>4.7</v>
      </c>
      <c r="K56" s="3">
        <f>E56/(VLOOKUP(B56,'2023 Team'!$B$2:$G$33,2,FALSE))</f>
        <v>0.1281198003327787</v>
      </c>
    </row>
    <row r="57" spans="1:11" x14ac:dyDescent="0.25">
      <c r="A57" t="s">
        <v>1565</v>
      </c>
      <c r="B57" t="s">
        <v>36</v>
      </c>
      <c r="C57" t="s">
        <v>82</v>
      </c>
      <c r="D57">
        <v>40</v>
      </c>
      <c r="E57">
        <v>53</v>
      </c>
      <c r="F57">
        <v>75.5</v>
      </c>
      <c r="G57">
        <v>349</v>
      </c>
      <c r="H57">
        <v>1.9</v>
      </c>
      <c r="I57">
        <v>0</v>
      </c>
      <c r="J57">
        <v>6.6</v>
      </c>
      <c r="K57" s="3">
        <f>E57/(VLOOKUP(B57,'2023 Team'!$B$2:$G$33,2,FALSE))</f>
        <v>8.5483870967741932E-2</v>
      </c>
    </row>
    <row r="58" spans="1:11" x14ac:dyDescent="0.25">
      <c r="A58" t="s">
        <v>96</v>
      </c>
      <c r="B58" t="s">
        <v>62</v>
      </c>
      <c r="C58" t="s">
        <v>82</v>
      </c>
      <c r="D58">
        <v>28</v>
      </c>
      <c r="E58">
        <v>46</v>
      </c>
      <c r="F58">
        <v>60.9</v>
      </c>
      <c r="G58">
        <v>297</v>
      </c>
      <c r="H58">
        <v>4.3</v>
      </c>
      <c r="I58">
        <v>2.2000000000000002</v>
      </c>
      <c r="J58">
        <v>6.5</v>
      </c>
      <c r="K58" s="3">
        <f>E58/(VLOOKUP(B58,'2023 Team'!$B$2:$G$33,2,FALSE))</f>
        <v>9.368635437881874E-2</v>
      </c>
    </row>
    <row r="59" spans="1:11" x14ac:dyDescent="0.25">
      <c r="A59" t="s">
        <v>1566</v>
      </c>
      <c r="B59" t="s">
        <v>32</v>
      </c>
      <c r="C59" t="s">
        <v>82</v>
      </c>
      <c r="D59">
        <v>34</v>
      </c>
      <c r="E59">
        <v>53</v>
      </c>
      <c r="F59">
        <v>64.2</v>
      </c>
      <c r="G59">
        <v>291</v>
      </c>
      <c r="H59">
        <v>1.9</v>
      </c>
      <c r="I59">
        <v>5.7</v>
      </c>
      <c r="J59">
        <v>5.5</v>
      </c>
      <c r="K59" s="3">
        <f>E59/(VLOOKUP(B59,'2023 Team'!$B$2:$G$33,2,FALSE))</f>
        <v>8.9527027027027029E-2</v>
      </c>
    </row>
    <row r="60" spans="1:11" x14ac:dyDescent="0.25">
      <c r="A60" t="s">
        <v>132</v>
      </c>
      <c r="B60" t="s">
        <v>52</v>
      </c>
      <c r="C60" t="s">
        <v>82</v>
      </c>
      <c r="D60">
        <v>25</v>
      </c>
      <c r="E60">
        <v>47</v>
      </c>
      <c r="F60">
        <v>53.2</v>
      </c>
      <c r="G60">
        <v>264</v>
      </c>
      <c r="H60">
        <v>4.3</v>
      </c>
      <c r="I60">
        <v>6.4</v>
      </c>
      <c r="J60">
        <v>5.6</v>
      </c>
      <c r="K60" s="3">
        <f>E60/(VLOOKUP(B60,'2023 Team'!$B$2:$G$33,2,FALSE))</f>
        <v>7.7557755775577553E-2</v>
      </c>
    </row>
    <row r="61" spans="1:11" x14ac:dyDescent="0.25">
      <c r="A61" t="s">
        <v>1567</v>
      </c>
      <c r="B61" t="s">
        <v>40</v>
      </c>
      <c r="C61" t="s">
        <v>82</v>
      </c>
      <c r="D61">
        <v>23</v>
      </c>
      <c r="E61">
        <v>42</v>
      </c>
      <c r="F61">
        <v>54.8</v>
      </c>
      <c r="G61">
        <v>231</v>
      </c>
      <c r="H61">
        <v>0</v>
      </c>
      <c r="I61">
        <v>4.8</v>
      </c>
      <c r="J61">
        <v>5.5</v>
      </c>
      <c r="K61" s="3">
        <f>E61/(VLOOKUP(B61,'2023 Team'!$B$2:$G$33,2,FALSE))</f>
        <v>7.5403949730700179E-2</v>
      </c>
    </row>
    <row r="62" spans="1:11" x14ac:dyDescent="0.25">
      <c r="A62" t="s">
        <v>94</v>
      </c>
      <c r="B62" t="s">
        <v>70</v>
      </c>
      <c r="C62" t="s">
        <v>82</v>
      </c>
      <c r="D62">
        <v>18</v>
      </c>
      <c r="E62">
        <v>23</v>
      </c>
      <c r="F62">
        <v>78.3</v>
      </c>
      <c r="G62">
        <v>224</v>
      </c>
      <c r="H62">
        <v>13</v>
      </c>
      <c r="I62">
        <v>0</v>
      </c>
      <c r="J62">
        <v>9.6999999999999993</v>
      </c>
      <c r="K62" s="3">
        <f>E62/(VLOOKUP(B62,'2023 Team'!$B$2:$G$33,2,FALSE))</f>
        <v>3.6163522012578615E-2</v>
      </c>
    </row>
    <row r="63" spans="1:11" x14ac:dyDescent="0.25">
      <c r="A63" t="s">
        <v>130</v>
      </c>
      <c r="B63" t="s">
        <v>12</v>
      </c>
      <c r="C63" t="s">
        <v>82</v>
      </c>
      <c r="D63">
        <v>21</v>
      </c>
      <c r="E63">
        <v>37</v>
      </c>
      <c r="F63">
        <v>56.8</v>
      </c>
      <c r="G63">
        <v>203</v>
      </c>
      <c r="H63">
        <v>8.1</v>
      </c>
      <c r="I63">
        <v>0</v>
      </c>
      <c r="J63">
        <v>5.5</v>
      </c>
      <c r="K63" s="3">
        <f>E63/(VLOOKUP(B63,'2023 Team'!$B$2:$G$33,2,FALSE))</f>
        <v>7.4898785425101214E-2</v>
      </c>
    </row>
    <row r="64" spans="1:11" x14ac:dyDescent="0.25">
      <c r="A64" t="s">
        <v>1568</v>
      </c>
      <c r="B64" t="s">
        <v>38</v>
      </c>
      <c r="C64" t="s">
        <v>82</v>
      </c>
      <c r="D64">
        <v>18</v>
      </c>
      <c r="E64">
        <v>35</v>
      </c>
      <c r="F64">
        <v>51.4</v>
      </c>
      <c r="G64">
        <v>185</v>
      </c>
      <c r="H64">
        <v>0</v>
      </c>
      <c r="I64">
        <v>8.6</v>
      </c>
      <c r="J64">
        <v>5.3</v>
      </c>
      <c r="K64" s="3">
        <f>E64/(VLOOKUP(B64,'2023 Team'!$B$2:$G$33,2,FALSE))</f>
        <v>5.5118110236220472E-2</v>
      </c>
    </row>
    <row r="65" spans="1:11" x14ac:dyDescent="0.25">
      <c r="A65" t="s">
        <v>122</v>
      </c>
      <c r="B65" t="s">
        <v>32</v>
      </c>
      <c r="C65" t="s">
        <v>82</v>
      </c>
      <c r="D65">
        <v>18</v>
      </c>
      <c r="E65">
        <v>39</v>
      </c>
      <c r="F65">
        <v>46.2</v>
      </c>
      <c r="G65">
        <v>173</v>
      </c>
      <c r="H65">
        <v>5.0999999999999996</v>
      </c>
      <c r="I65">
        <v>0</v>
      </c>
      <c r="J65">
        <v>4.4000000000000004</v>
      </c>
      <c r="K65" s="3">
        <f>E65/(VLOOKUP(B65,'2023 Team'!$B$2:$G$33,2,FALSE))</f>
        <v>6.5878378378378372E-2</v>
      </c>
    </row>
    <row r="66" spans="1:11" x14ac:dyDescent="0.25">
      <c r="A66" t="s">
        <v>183</v>
      </c>
      <c r="B66" t="s">
        <v>44</v>
      </c>
      <c r="C66" t="s">
        <v>82</v>
      </c>
      <c r="D66">
        <v>18</v>
      </c>
      <c r="E66">
        <v>38</v>
      </c>
      <c r="F66">
        <v>47.4</v>
      </c>
      <c r="G66">
        <v>172</v>
      </c>
      <c r="H66">
        <v>0</v>
      </c>
      <c r="I66">
        <v>2.6</v>
      </c>
      <c r="J66">
        <v>4.5</v>
      </c>
      <c r="K66" s="3">
        <f>E66/(VLOOKUP(B66,'2023 Team'!$B$2:$G$33,2,FALSE))</f>
        <v>6.5180102915951971E-2</v>
      </c>
    </row>
    <row r="67" spans="1:11" x14ac:dyDescent="0.25">
      <c r="A67" t="s">
        <v>1569</v>
      </c>
      <c r="B67" t="s">
        <v>48</v>
      </c>
      <c r="C67" t="s">
        <v>82</v>
      </c>
      <c r="D67">
        <v>13</v>
      </c>
      <c r="E67">
        <v>20</v>
      </c>
      <c r="F67">
        <v>65</v>
      </c>
      <c r="G67">
        <v>168</v>
      </c>
      <c r="H67">
        <v>0</v>
      </c>
      <c r="I67">
        <v>5</v>
      </c>
      <c r="J67">
        <v>8.4</v>
      </c>
      <c r="K67" s="3">
        <f>E67/(VLOOKUP(B67,'2023 Team'!$B$2:$G$33,2,FALSE))</f>
        <v>3.1695721077654518E-2</v>
      </c>
    </row>
    <row r="68" spans="1:11" x14ac:dyDescent="0.25">
      <c r="A68" t="s">
        <v>1570</v>
      </c>
      <c r="B68" t="s">
        <v>22</v>
      </c>
      <c r="C68" t="s">
        <v>82</v>
      </c>
      <c r="D68">
        <v>13</v>
      </c>
      <c r="E68">
        <v>26</v>
      </c>
      <c r="F68">
        <v>50</v>
      </c>
      <c r="G68">
        <v>166</v>
      </c>
      <c r="H68">
        <v>7.7</v>
      </c>
      <c r="I68">
        <v>7.7</v>
      </c>
      <c r="J68">
        <v>6.4</v>
      </c>
      <c r="K68" s="3">
        <f>E68/(VLOOKUP(B68,'2023 Team'!$B$2:$G$33,2,FALSE))</f>
        <v>4.1666666666666664E-2</v>
      </c>
    </row>
    <row r="69" spans="1:11" x14ac:dyDescent="0.25">
      <c r="A69" t="s">
        <v>115</v>
      </c>
      <c r="B69" t="s">
        <v>58</v>
      </c>
      <c r="C69" t="s">
        <v>82</v>
      </c>
      <c r="D69">
        <v>15</v>
      </c>
      <c r="E69">
        <v>23</v>
      </c>
      <c r="F69">
        <v>65.2</v>
      </c>
      <c r="G69">
        <v>164</v>
      </c>
      <c r="H69">
        <v>4.3</v>
      </c>
      <c r="I69">
        <v>4.3</v>
      </c>
      <c r="J69">
        <v>7.1</v>
      </c>
      <c r="K69" s="3">
        <f>E69/(VLOOKUP(B69,'2023 Team'!$B$2:$G$33,2,FALSE))</f>
        <v>4.0852575488454709E-2</v>
      </c>
    </row>
    <row r="70" spans="1:11" x14ac:dyDescent="0.25">
      <c r="A70" t="s">
        <v>120</v>
      </c>
      <c r="B70" t="s">
        <v>44</v>
      </c>
      <c r="C70" t="s">
        <v>82</v>
      </c>
      <c r="D70">
        <v>17</v>
      </c>
      <c r="E70">
        <v>24</v>
      </c>
      <c r="F70">
        <v>70.8</v>
      </c>
      <c r="G70">
        <v>163</v>
      </c>
      <c r="H70">
        <v>8.3000000000000007</v>
      </c>
      <c r="I70">
        <v>4.2</v>
      </c>
      <c r="J70">
        <v>6.8</v>
      </c>
      <c r="K70" s="3">
        <f>E70/(VLOOKUP(B70,'2023 Team'!$B$2:$G$33,2,FALSE))</f>
        <v>4.1166380789022301E-2</v>
      </c>
    </row>
    <row r="71" spans="1:11" x14ac:dyDescent="0.25">
      <c r="A71" t="s">
        <v>136</v>
      </c>
      <c r="B71" t="s">
        <v>24</v>
      </c>
      <c r="C71" t="s">
        <v>82</v>
      </c>
      <c r="D71">
        <v>18</v>
      </c>
      <c r="E71">
        <v>24</v>
      </c>
      <c r="F71">
        <v>75</v>
      </c>
      <c r="G71">
        <v>144</v>
      </c>
      <c r="H71">
        <v>0</v>
      </c>
      <c r="I71">
        <v>4.2</v>
      </c>
      <c r="J71">
        <v>6</v>
      </c>
      <c r="K71" s="3">
        <f>E71/(VLOOKUP(B71,'2023 Team'!$B$2:$G$33,2,FALSE))</f>
        <v>3.9087947882736153E-2</v>
      </c>
    </row>
    <row r="72" spans="1:11" x14ac:dyDescent="0.25">
      <c r="A72" t="s">
        <v>152</v>
      </c>
      <c r="B72" t="s">
        <v>52</v>
      </c>
      <c r="C72" t="s">
        <v>1571</v>
      </c>
      <c r="D72">
        <v>6</v>
      </c>
      <c r="E72">
        <v>11</v>
      </c>
      <c r="F72">
        <v>54.5</v>
      </c>
      <c r="G72">
        <v>83</v>
      </c>
      <c r="H72">
        <v>9.1</v>
      </c>
      <c r="I72">
        <v>0</v>
      </c>
      <c r="J72">
        <v>7.5</v>
      </c>
      <c r="K72" s="3">
        <f>E72/(VLOOKUP(B72,'2023 Team'!$B$2:$G$33,2,FALSE))</f>
        <v>1.8151815181518153E-2</v>
      </c>
    </row>
    <row r="73" spans="1:11" x14ac:dyDescent="0.25">
      <c r="A73" t="s">
        <v>1572</v>
      </c>
      <c r="B73" t="s">
        <v>46</v>
      </c>
      <c r="C73" t="s">
        <v>82</v>
      </c>
      <c r="D73">
        <v>5</v>
      </c>
      <c r="E73">
        <v>6</v>
      </c>
      <c r="F73">
        <v>83.3</v>
      </c>
      <c r="G73">
        <v>74</v>
      </c>
      <c r="H73">
        <v>16.7</v>
      </c>
      <c r="I73">
        <v>16.7</v>
      </c>
      <c r="J73">
        <v>12.3</v>
      </c>
      <c r="K73" s="3">
        <f>E73/(VLOOKUP(B73,'2023 Team'!$B$2:$G$33,2,FALSE))</f>
        <v>1.0600706713780919E-2</v>
      </c>
    </row>
    <row r="74" spans="1:11" x14ac:dyDescent="0.25">
      <c r="A74" t="s">
        <v>142</v>
      </c>
      <c r="B74" t="s">
        <v>68</v>
      </c>
      <c r="C74" t="s">
        <v>82</v>
      </c>
      <c r="D74">
        <v>4</v>
      </c>
      <c r="E74">
        <v>5</v>
      </c>
      <c r="F74">
        <v>80</v>
      </c>
      <c r="G74">
        <v>74</v>
      </c>
      <c r="H74">
        <v>0</v>
      </c>
      <c r="I74">
        <v>0</v>
      </c>
      <c r="J74">
        <v>14.8</v>
      </c>
      <c r="K74" s="3">
        <f>E74/(VLOOKUP(B74,'2023 Team'!$B$2:$G$33,2,FALSE))</f>
        <v>1.0121457489878543E-2</v>
      </c>
    </row>
    <row r="75" spans="1:11" x14ac:dyDescent="0.25">
      <c r="A75" t="s">
        <v>146</v>
      </c>
      <c r="B75" t="s">
        <v>8</v>
      </c>
      <c r="C75" t="s">
        <v>82</v>
      </c>
      <c r="D75">
        <v>12</v>
      </c>
      <c r="E75">
        <v>21</v>
      </c>
      <c r="F75">
        <v>57.1</v>
      </c>
      <c r="G75">
        <v>62</v>
      </c>
      <c r="H75">
        <v>0</v>
      </c>
      <c r="I75">
        <v>9.5</v>
      </c>
      <c r="J75">
        <v>3</v>
      </c>
      <c r="K75" s="3">
        <f>E75/(VLOOKUP(B75,'2023 Team'!$B$2:$G$33,2,FALSE))</f>
        <v>3.783783783783784E-2</v>
      </c>
    </row>
    <row r="76" spans="1:11" x14ac:dyDescent="0.25">
      <c r="A76" t="s">
        <v>916</v>
      </c>
      <c r="B76" t="s">
        <v>42</v>
      </c>
      <c r="C76" t="s">
        <v>163</v>
      </c>
      <c r="D76">
        <v>1</v>
      </c>
      <c r="E76">
        <v>2</v>
      </c>
      <c r="F76">
        <v>50</v>
      </c>
      <c r="G76">
        <v>49</v>
      </c>
      <c r="H76">
        <v>50</v>
      </c>
      <c r="I76">
        <v>0</v>
      </c>
      <c r="J76">
        <v>24.5</v>
      </c>
      <c r="K76" s="3">
        <f>E76/(VLOOKUP(B76,'2023 Team'!$B$2:$G$33,2,FALSE))</f>
        <v>3.1645569620253164E-3</v>
      </c>
    </row>
    <row r="77" spans="1:11" x14ac:dyDescent="0.25">
      <c r="A77" t="s">
        <v>1573</v>
      </c>
      <c r="B77" t="s">
        <v>30</v>
      </c>
      <c r="C77" t="s">
        <v>82</v>
      </c>
      <c r="D77">
        <v>1</v>
      </c>
      <c r="E77">
        <v>1</v>
      </c>
      <c r="F77">
        <v>100</v>
      </c>
      <c r="G77">
        <v>37</v>
      </c>
      <c r="H77">
        <v>0</v>
      </c>
      <c r="I77">
        <v>0</v>
      </c>
      <c r="J77">
        <v>37</v>
      </c>
      <c r="K77" s="3">
        <f>E77/(VLOOKUP(B77,'2023 Team'!$B$2:$G$33,2,FALSE))</f>
        <v>1.7211703958691911E-3</v>
      </c>
    </row>
    <row r="78" spans="1:11" x14ac:dyDescent="0.25">
      <c r="A78" t="s">
        <v>1574</v>
      </c>
      <c r="B78" t="s">
        <v>28</v>
      </c>
      <c r="C78" t="s">
        <v>186</v>
      </c>
      <c r="D78">
        <v>1</v>
      </c>
      <c r="E78">
        <v>1</v>
      </c>
      <c r="F78">
        <v>100</v>
      </c>
      <c r="G78">
        <v>31</v>
      </c>
      <c r="H78">
        <v>0</v>
      </c>
      <c r="I78">
        <v>0</v>
      </c>
      <c r="J78">
        <v>31</v>
      </c>
      <c r="K78" s="3">
        <f>E78/(VLOOKUP(B78,'2023 Team'!$B$2:$G$33,2,FALSE))</f>
        <v>1.6501650165016502E-3</v>
      </c>
    </row>
    <row r="79" spans="1:11" x14ac:dyDescent="0.25">
      <c r="A79" t="s">
        <v>745</v>
      </c>
      <c r="B79" t="s">
        <v>58</v>
      </c>
      <c r="C79" t="s">
        <v>165</v>
      </c>
      <c r="D79">
        <v>1</v>
      </c>
      <c r="E79">
        <v>1</v>
      </c>
      <c r="F79">
        <v>100</v>
      </c>
      <c r="G79">
        <v>28</v>
      </c>
      <c r="H79">
        <v>0</v>
      </c>
      <c r="I79">
        <v>0</v>
      </c>
      <c r="J79">
        <v>28</v>
      </c>
      <c r="K79" s="3">
        <f>E79/(VLOOKUP(B79,'2023 Team'!$B$2:$G$33,2,FALSE))</f>
        <v>1.7761989342806395E-3</v>
      </c>
    </row>
    <row r="80" spans="1:11" x14ac:dyDescent="0.25">
      <c r="A80" t="s">
        <v>1575</v>
      </c>
      <c r="B80" t="s">
        <v>10</v>
      </c>
      <c r="C80" t="s">
        <v>82</v>
      </c>
      <c r="D80">
        <v>3</v>
      </c>
      <c r="E80">
        <v>4</v>
      </c>
      <c r="F80">
        <v>75</v>
      </c>
      <c r="G80">
        <v>27</v>
      </c>
      <c r="H80">
        <v>0</v>
      </c>
      <c r="I80">
        <v>25</v>
      </c>
      <c r="J80">
        <v>6.8</v>
      </c>
      <c r="K80" s="3">
        <f>E80/(VLOOKUP(B80,'2023 Team'!$B$2:$G$33,2,FALSE))</f>
        <v>7.5471698113207548E-3</v>
      </c>
    </row>
    <row r="81" spans="1:11" x14ac:dyDescent="0.25">
      <c r="A81" t="s">
        <v>803</v>
      </c>
      <c r="B81" t="s">
        <v>10</v>
      </c>
      <c r="C81" t="s">
        <v>163</v>
      </c>
      <c r="D81">
        <v>1</v>
      </c>
      <c r="E81">
        <v>1</v>
      </c>
      <c r="F81">
        <v>100</v>
      </c>
      <c r="G81">
        <v>22</v>
      </c>
      <c r="H81">
        <v>0</v>
      </c>
      <c r="I81">
        <v>0</v>
      </c>
      <c r="J81">
        <v>22</v>
      </c>
      <c r="K81" s="3">
        <f>E81/(VLOOKUP(B81,'2023 Team'!$B$2:$G$33,2,FALSE))</f>
        <v>1.8867924528301887E-3</v>
      </c>
    </row>
    <row r="82" spans="1:11" x14ac:dyDescent="0.25">
      <c r="A82" t="s">
        <v>1576</v>
      </c>
      <c r="B82" t="s">
        <v>20</v>
      </c>
      <c r="C82" t="s">
        <v>82</v>
      </c>
      <c r="D82">
        <v>4</v>
      </c>
      <c r="E82">
        <v>5</v>
      </c>
      <c r="F82">
        <v>80</v>
      </c>
      <c r="G82">
        <v>19</v>
      </c>
      <c r="H82">
        <v>0</v>
      </c>
      <c r="I82">
        <v>0</v>
      </c>
      <c r="J82">
        <v>3.8</v>
      </c>
      <c r="K82" s="3">
        <f>E82/(VLOOKUP(B82,'2023 Team'!$B$2:$G$33,2,FALSE))</f>
        <v>8.130081300813009E-3</v>
      </c>
    </row>
    <row r="83" spans="1:11" x14ac:dyDescent="0.25">
      <c r="A83" t="s">
        <v>1577</v>
      </c>
      <c r="B83" t="s">
        <v>56</v>
      </c>
      <c r="C83" t="s">
        <v>165</v>
      </c>
      <c r="D83">
        <v>1</v>
      </c>
      <c r="E83">
        <v>1</v>
      </c>
      <c r="F83">
        <v>100</v>
      </c>
      <c r="G83">
        <v>18</v>
      </c>
      <c r="H83">
        <v>0</v>
      </c>
      <c r="I83">
        <v>0</v>
      </c>
      <c r="J83">
        <v>18</v>
      </c>
      <c r="K83" s="3">
        <f>E83/(VLOOKUP(B83,'2023 Team'!$B$2:$G$33,2,FALSE))</f>
        <v>1.6638935108153079E-3</v>
      </c>
    </row>
    <row r="84" spans="1:11" x14ac:dyDescent="0.25">
      <c r="A84" t="s">
        <v>359</v>
      </c>
      <c r="B84" t="s">
        <v>58</v>
      </c>
      <c r="C84" t="s">
        <v>159</v>
      </c>
      <c r="D84">
        <v>1</v>
      </c>
      <c r="E84">
        <v>1</v>
      </c>
      <c r="F84">
        <v>100</v>
      </c>
      <c r="G84">
        <v>17</v>
      </c>
      <c r="H84">
        <v>0</v>
      </c>
      <c r="I84">
        <v>0</v>
      </c>
      <c r="J84">
        <v>17</v>
      </c>
      <c r="K84" s="3">
        <f>E84/(VLOOKUP(B84,'2023 Team'!$B$2:$G$33,2,FALSE))</f>
        <v>1.7761989342806395E-3</v>
      </c>
    </row>
    <row r="85" spans="1:11" x14ac:dyDescent="0.25">
      <c r="A85" t="s">
        <v>166</v>
      </c>
      <c r="B85" t="s">
        <v>68</v>
      </c>
      <c r="C85" t="s">
        <v>159</v>
      </c>
      <c r="D85">
        <v>2</v>
      </c>
      <c r="E85">
        <v>3</v>
      </c>
      <c r="F85">
        <v>66.7</v>
      </c>
      <c r="G85">
        <v>14</v>
      </c>
      <c r="H85">
        <v>66.7</v>
      </c>
      <c r="I85">
        <v>0</v>
      </c>
      <c r="J85">
        <v>4.7</v>
      </c>
      <c r="K85" s="3">
        <f>E85/(VLOOKUP(B85,'2023 Team'!$B$2:$G$33,2,FALSE))</f>
        <v>6.0728744939271256E-3</v>
      </c>
    </row>
    <row r="86" spans="1:11" x14ac:dyDescent="0.25">
      <c r="A86" t="s">
        <v>740</v>
      </c>
      <c r="B86" t="s">
        <v>30</v>
      </c>
      <c r="C86" t="s">
        <v>163</v>
      </c>
      <c r="D86">
        <v>1</v>
      </c>
      <c r="E86">
        <v>1</v>
      </c>
      <c r="F86">
        <v>100</v>
      </c>
      <c r="G86">
        <v>14</v>
      </c>
      <c r="H86">
        <v>0</v>
      </c>
      <c r="I86">
        <v>0</v>
      </c>
      <c r="J86">
        <v>14</v>
      </c>
      <c r="K86" s="3">
        <f>E86/(VLOOKUP(B86,'2023 Team'!$B$2:$G$33,2,FALSE))</f>
        <v>1.7211703958691911E-3</v>
      </c>
    </row>
    <row r="87" spans="1:11" x14ac:dyDescent="0.25">
      <c r="A87" t="s">
        <v>1578</v>
      </c>
      <c r="B87" t="s">
        <v>36</v>
      </c>
      <c r="C87" t="s">
        <v>165</v>
      </c>
      <c r="D87">
        <v>1</v>
      </c>
      <c r="E87">
        <v>1</v>
      </c>
      <c r="F87">
        <v>100</v>
      </c>
      <c r="G87">
        <v>13</v>
      </c>
      <c r="H87">
        <v>0</v>
      </c>
      <c r="I87">
        <v>0</v>
      </c>
      <c r="J87">
        <v>13</v>
      </c>
      <c r="K87" s="3">
        <f>E87/(VLOOKUP(B87,'2023 Team'!$B$2:$G$33,2,FALSE))</f>
        <v>1.6129032258064516E-3</v>
      </c>
    </row>
    <row r="88" spans="1:11" x14ac:dyDescent="0.25">
      <c r="A88" t="s">
        <v>654</v>
      </c>
      <c r="B88" t="s">
        <v>40</v>
      </c>
      <c r="C88" t="s">
        <v>163</v>
      </c>
      <c r="D88">
        <v>2</v>
      </c>
      <c r="E88">
        <v>3</v>
      </c>
      <c r="F88">
        <v>66.7</v>
      </c>
      <c r="G88">
        <v>12</v>
      </c>
      <c r="H88">
        <v>33.299999999999997</v>
      </c>
      <c r="I88">
        <v>0</v>
      </c>
      <c r="J88">
        <v>4</v>
      </c>
      <c r="K88" s="3">
        <f>E88/(VLOOKUP(B88,'2023 Team'!$B$2:$G$33,2,FALSE))</f>
        <v>5.3859964093357273E-3</v>
      </c>
    </row>
    <row r="89" spans="1:11" x14ac:dyDescent="0.25">
      <c r="A89" t="s">
        <v>1579</v>
      </c>
      <c r="B89" t="s">
        <v>38</v>
      </c>
      <c r="C89" t="s">
        <v>165</v>
      </c>
      <c r="D89">
        <v>1</v>
      </c>
      <c r="E89">
        <v>1</v>
      </c>
      <c r="F89">
        <v>100</v>
      </c>
      <c r="G89">
        <v>11</v>
      </c>
      <c r="H89">
        <v>0</v>
      </c>
      <c r="I89">
        <v>0</v>
      </c>
      <c r="J89">
        <v>11</v>
      </c>
      <c r="K89" s="3">
        <f>E89/(VLOOKUP(B89,'2023 Team'!$B$2:$G$33,2,FALSE))</f>
        <v>1.5748031496062992E-3</v>
      </c>
    </row>
    <row r="90" spans="1:11" x14ac:dyDescent="0.25">
      <c r="A90" t="s">
        <v>1580</v>
      </c>
      <c r="B90" t="s">
        <v>16</v>
      </c>
      <c r="C90" t="s">
        <v>165</v>
      </c>
      <c r="D90">
        <v>1</v>
      </c>
      <c r="E90">
        <v>1</v>
      </c>
      <c r="F90">
        <v>100</v>
      </c>
      <c r="G90">
        <v>7</v>
      </c>
      <c r="H90">
        <v>0</v>
      </c>
      <c r="I90">
        <v>0</v>
      </c>
      <c r="J90">
        <v>7</v>
      </c>
      <c r="K90" s="3">
        <f>E90/(VLOOKUP(B90,'2023 Team'!$B$2:$G$33,2,FALSE))</f>
        <v>1.7064846416382253E-3</v>
      </c>
    </row>
    <row r="91" spans="1:11" x14ac:dyDescent="0.25">
      <c r="A91" t="s">
        <v>345</v>
      </c>
      <c r="B91" t="s">
        <v>32</v>
      </c>
      <c r="C91" t="s">
        <v>159</v>
      </c>
      <c r="D91">
        <v>1</v>
      </c>
      <c r="E91">
        <v>1</v>
      </c>
      <c r="F91">
        <v>100</v>
      </c>
      <c r="G91">
        <v>6</v>
      </c>
      <c r="H91">
        <v>100</v>
      </c>
      <c r="I91">
        <v>0</v>
      </c>
      <c r="J91">
        <v>6</v>
      </c>
      <c r="K91" s="3">
        <f>E91/(VLOOKUP(B91,'2023 Team'!$B$2:$G$33,2,FALSE))</f>
        <v>1.6891891891891893E-3</v>
      </c>
    </row>
    <row r="92" spans="1:11" x14ac:dyDescent="0.25">
      <c r="A92" t="s">
        <v>638</v>
      </c>
      <c r="B92" t="s">
        <v>70</v>
      </c>
      <c r="C92" t="s">
        <v>163</v>
      </c>
      <c r="D92">
        <v>1</v>
      </c>
      <c r="E92">
        <v>1</v>
      </c>
      <c r="F92">
        <v>100</v>
      </c>
      <c r="G92">
        <v>4</v>
      </c>
      <c r="H92">
        <v>0</v>
      </c>
      <c r="I92">
        <v>0</v>
      </c>
      <c r="J92">
        <v>4</v>
      </c>
      <c r="K92" s="3">
        <f>E92/(VLOOKUP(B92,'2023 Team'!$B$2:$G$33,2,FALSE))</f>
        <v>1.5723270440251573E-3</v>
      </c>
    </row>
    <row r="93" spans="1:11" x14ac:dyDescent="0.25">
      <c r="A93" t="s">
        <v>1581</v>
      </c>
      <c r="B93" t="s">
        <v>38</v>
      </c>
      <c r="C93" t="s">
        <v>159</v>
      </c>
      <c r="D93">
        <v>1</v>
      </c>
      <c r="E93">
        <v>1</v>
      </c>
      <c r="F93">
        <v>100</v>
      </c>
      <c r="G93">
        <v>4</v>
      </c>
      <c r="H93">
        <v>100</v>
      </c>
      <c r="I93">
        <v>0</v>
      </c>
      <c r="J93">
        <v>4</v>
      </c>
      <c r="K93" s="3">
        <f>E93/(VLOOKUP(B93,'2023 Team'!$B$2:$G$33,2,FALSE))</f>
        <v>1.5748031496062992E-3</v>
      </c>
    </row>
    <row r="94" spans="1:11" x14ac:dyDescent="0.25">
      <c r="A94" t="s">
        <v>222</v>
      </c>
      <c r="B94" t="s">
        <v>46</v>
      </c>
      <c r="C94" t="s">
        <v>159</v>
      </c>
      <c r="D94">
        <v>0</v>
      </c>
      <c r="E94">
        <v>0</v>
      </c>
      <c r="G94">
        <v>0</v>
      </c>
      <c r="K94" s="3">
        <f>E94/(VLOOKUP(B94,'2023 Team'!$B$2:$G$33,2,FALSE))</f>
        <v>0</v>
      </c>
    </row>
    <row r="95" spans="1:11" x14ac:dyDescent="0.25">
      <c r="A95" t="s">
        <v>176</v>
      </c>
      <c r="B95" t="s">
        <v>48</v>
      </c>
      <c r="C95" t="s">
        <v>159</v>
      </c>
      <c r="D95">
        <v>0</v>
      </c>
      <c r="E95">
        <v>0</v>
      </c>
      <c r="G95">
        <v>0</v>
      </c>
      <c r="K95" s="3">
        <f>E95/(VLOOKUP(B95,'2023 Team'!$B$2:$G$33,2,FALSE))</f>
        <v>0</v>
      </c>
    </row>
    <row r="96" spans="1:11" x14ac:dyDescent="0.25">
      <c r="A96" t="s">
        <v>1582</v>
      </c>
      <c r="B96" t="s">
        <v>20</v>
      </c>
      <c r="C96" t="s">
        <v>163</v>
      </c>
      <c r="D96">
        <v>0</v>
      </c>
      <c r="E96">
        <v>1</v>
      </c>
      <c r="F96">
        <v>0</v>
      </c>
      <c r="G96">
        <v>0</v>
      </c>
      <c r="H96">
        <v>0</v>
      </c>
      <c r="I96">
        <v>100</v>
      </c>
      <c r="J96">
        <v>0</v>
      </c>
      <c r="K96" s="3">
        <f>E96/(VLOOKUP(B96,'2023 Team'!$B$2:$G$33,2,FALSE))</f>
        <v>1.6260162601626016E-3</v>
      </c>
    </row>
    <row r="97" spans="1:11" x14ac:dyDescent="0.25">
      <c r="A97" t="s">
        <v>1583</v>
      </c>
      <c r="B97" t="s">
        <v>54</v>
      </c>
      <c r="C97" t="s">
        <v>163</v>
      </c>
      <c r="D97">
        <v>0</v>
      </c>
      <c r="E97">
        <v>0</v>
      </c>
      <c r="G97">
        <v>0</v>
      </c>
      <c r="K97" s="3">
        <f>E97/(VLOOKUP(B97,'2023 Team'!$B$2:$G$33,2,FALSE))</f>
        <v>0</v>
      </c>
    </row>
    <row r="98" spans="1:11" x14ac:dyDescent="0.25">
      <c r="A98" t="s">
        <v>774</v>
      </c>
      <c r="B98" t="s">
        <v>50</v>
      </c>
      <c r="C98" t="s">
        <v>82</v>
      </c>
      <c r="D98">
        <v>0</v>
      </c>
      <c r="E98">
        <v>0</v>
      </c>
      <c r="G98">
        <v>0</v>
      </c>
      <c r="K98" s="3">
        <f>E98/(VLOOKUP(B98,'2023 Team'!$B$2:$G$33,2,FALSE))</f>
        <v>0</v>
      </c>
    </row>
    <row r="99" spans="1:11" x14ac:dyDescent="0.25">
      <c r="A99" t="s">
        <v>710</v>
      </c>
      <c r="B99" t="s">
        <v>64</v>
      </c>
      <c r="C99" t="s">
        <v>159</v>
      </c>
      <c r="D99">
        <v>0</v>
      </c>
      <c r="E99">
        <v>0</v>
      </c>
      <c r="G99">
        <v>0</v>
      </c>
      <c r="K99" s="3">
        <f>E99/(VLOOKUP(B99,'2023 Team'!$B$2:$G$33,2,FALSE))</f>
        <v>0</v>
      </c>
    </row>
    <row r="100" spans="1:11" x14ac:dyDescent="0.25">
      <c r="A100" t="s">
        <v>1584</v>
      </c>
      <c r="B100" t="s">
        <v>32</v>
      </c>
      <c r="C100" t="s">
        <v>163</v>
      </c>
      <c r="D100">
        <v>0</v>
      </c>
      <c r="E100">
        <v>0</v>
      </c>
      <c r="G100">
        <v>0</v>
      </c>
      <c r="K100" s="3">
        <f>E100/(VLOOKUP(B100,'2023 Team'!$B$2:$G$33,2,FALSE))</f>
        <v>0</v>
      </c>
    </row>
    <row r="101" spans="1:11" x14ac:dyDescent="0.25">
      <c r="A101" t="s">
        <v>1025</v>
      </c>
      <c r="B101" t="s">
        <v>66</v>
      </c>
      <c r="C101" t="s">
        <v>163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 s="3">
        <f>E101/(VLOOKUP(B101,'2023 Team'!$B$2:$G$33,2,FALSE))</f>
        <v>1.7605633802816902E-3</v>
      </c>
    </row>
    <row r="102" spans="1:11" x14ac:dyDescent="0.25">
      <c r="A102" t="s">
        <v>556</v>
      </c>
      <c r="B102" t="s">
        <v>60</v>
      </c>
      <c r="C102" t="s">
        <v>153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>E102/(VLOOKUP(B102,'2023 Team'!$B$2:$G$33,2,FALSE))</f>
        <v>1.976284584980237E-3</v>
      </c>
    </row>
    <row r="103" spans="1:11" x14ac:dyDescent="0.25">
      <c r="A103" t="s">
        <v>813</v>
      </c>
      <c r="B103" t="s">
        <v>68</v>
      </c>
      <c r="C103" t="s">
        <v>163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>E103/(VLOOKUP(B103,'2023 Team'!$B$2:$G$33,2,FALSE))</f>
        <v>2.0242914979757085E-3</v>
      </c>
    </row>
    <row r="104" spans="1:11" x14ac:dyDescent="0.25">
      <c r="A104" t="s">
        <v>847</v>
      </c>
      <c r="B104" t="s">
        <v>20</v>
      </c>
      <c r="C104" t="s">
        <v>153</v>
      </c>
      <c r="D104">
        <v>0</v>
      </c>
      <c r="E104">
        <v>0</v>
      </c>
      <c r="G104">
        <v>0</v>
      </c>
      <c r="K104">
        <f>E104/(VLOOKUP(B104,'2023 Team'!$B$2:$G$33,2,FALSE))</f>
        <v>0</v>
      </c>
    </row>
    <row r="105" spans="1:11" x14ac:dyDescent="0.25">
      <c r="A105" t="s">
        <v>231</v>
      </c>
      <c r="B105" t="s">
        <v>40</v>
      </c>
      <c r="C105" t="s">
        <v>159</v>
      </c>
      <c r="D105">
        <v>0</v>
      </c>
      <c r="E105">
        <v>0</v>
      </c>
      <c r="G105">
        <v>0</v>
      </c>
      <c r="K105">
        <f>E105/(VLOOKUP(B105,'2023 Team'!$B$2:$G$33,2,FALSE))</f>
        <v>0</v>
      </c>
    </row>
    <row r="106" spans="1:11" x14ac:dyDescent="0.25">
      <c r="A106" t="s">
        <v>700</v>
      </c>
      <c r="B106" t="s">
        <v>48</v>
      </c>
      <c r="C106" t="s">
        <v>163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>E106/(VLOOKUP(B106,'2023 Team'!$B$2:$G$33,2,FALSE))</f>
        <v>1.5847860538827259E-3</v>
      </c>
    </row>
    <row r="107" spans="1:11" x14ac:dyDescent="0.25">
      <c r="A107" t="s">
        <v>1585</v>
      </c>
      <c r="B107" t="s">
        <v>18</v>
      </c>
      <c r="C107" t="s">
        <v>82</v>
      </c>
      <c r="D107">
        <v>0</v>
      </c>
      <c r="E107">
        <v>0</v>
      </c>
      <c r="G107">
        <v>0</v>
      </c>
      <c r="K107">
        <f>E107/(VLOOKUP(B107,'2023 Team'!$B$2:$G$33,2,FALSE))</f>
        <v>0</v>
      </c>
    </row>
    <row r="108" spans="1:11" x14ac:dyDescent="0.25">
      <c r="A108" t="s">
        <v>92</v>
      </c>
      <c r="B108" t="s">
        <v>56</v>
      </c>
      <c r="C108" t="s">
        <v>82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f>E108/(VLOOKUP(B108,'2023 Team'!$B$2:$G$33,2,FALSE))</f>
        <v>1.6638935108153079E-3</v>
      </c>
    </row>
    <row r="109" spans="1:11" x14ac:dyDescent="0.25">
      <c r="A109" t="s">
        <v>534</v>
      </c>
      <c r="B109" t="s">
        <v>62</v>
      </c>
      <c r="C109" t="s">
        <v>163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>E109/(VLOOKUP(B109,'2023 Team'!$B$2:$G$33,2,FALSE))</f>
        <v>2.0366598778004071E-3</v>
      </c>
    </row>
    <row r="110" spans="1:11" x14ac:dyDescent="0.25">
      <c r="A110" t="s">
        <v>610</v>
      </c>
      <c r="B110" t="s">
        <v>10</v>
      </c>
      <c r="C110" t="s">
        <v>153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f>E110/(VLOOKUP(B110,'2023 Team'!$B$2:$G$33,2,FALSE))</f>
        <v>1.8867924528301887E-3</v>
      </c>
    </row>
    <row r="111" spans="1:11" x14ac:dyDescent="0.25">
      <c r="A111" t="s">
        <v>689</v>
      </c>
      <c r="B111" t="s">
        <v>28</v>
      </c>
      <c r="C111" t="s">
        <v>163</v>
      </c>
      <c r="D111">
        <v>0</v>
      </c>
      <c r="E111">
        <v>0</v>
      </c>
      <c r="G111">
        <v>0</v>
      </c>
      <c r="K111">
        <f>E111/(VLOOKUP(B111,'2023 Team'!$B$2:$G$33,2,FALSE))</f>
        <v>0</v>
      </c>
    </row>
    <row r="112" spans="1:11" x14ac:dyDescent="0.25">
      <c r="A112" t="s">
        <v>1586</v>
      </c>
      <c r="B112" t="s">
        <v>38</v>
      </c>
      <c r="C112" t="s">
        <v>163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>E112/(VLOOKUP(B112,'2023 Team'!$B$2:$G$33,2,FALSE))</f>
        <v>1.5748031496062992E-3</v>
      </c>
    </row>
    <row r="113" spans="1:11" x14ac:dyDescent="0.25">
      <c r="A113" t="s">
        <v>1587</v>
      </c>
      <c r="B113" t="s">
        <v>66</v>
      </c>
      <c r="C113" t="s">
        <v>82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f>E113/(VLOOKUP(B113,'2023 Team'!$B$2:$G$33,2,FALSE))</f>
        <v>1.7605633802816902E-3</v>
      </c>
    </row>
    <row r="114" spans="1:11" x14ac:dyDescent="0.25">
      <c r="A114" t="s">
        <v>948</v>
      </c>
      <c r="B114" t="s">
        <v>46</v>
      </c>
      <c r="C114" t="s">
        <v>163</v>
      </c>
      <c r="D114">
        <v>0</v>
      </c>
      <c r="E114">
        <v>0</v>
      </c>
      <c r="G114">
        <v>0</v>
      </c>
      <c r="K114">
        <f>E114/(VLOOKUP(B114,'2023 Team'!$B$2:$G$33,2,FALSE))</f>
        <v>0</v>
      </c>
    </row>
    <row r="115" spans="1:11" x14ac:dyDescent="0.25">
      <c r="A115" t="s">
        <v>986</v>
      </c>
      <c r="B115" t="s">
        <v>56</v>
      </c>
      <c r="C115" t="s">
        <v>163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>E115/(VLOOKUP(B115,'2023 Team'!$B$2:$G$33,2,FALSE))</f>
        <v>1.6638935108153079E-3</v>
      </c>
    </row>
    <row r="116" spans="1:11" x14ac:dyDescent="0.25">
      <c r="A116" t="s">
        <v>888</v>
      </c>
      <c r="B116" t="s">
        <v>36</v>
      </c>
      <c r="C116" t="s">
        <v>163</v>
      </c>
      <c r="D116">
        <v>1</v>
      </c>
      <c r="E116">
        <v>2</v>
      </c>
      <c r="F116">
        <v>50</v>
      </c>
      <c r="G116">
        <v>-1</v>
      </c>
      <c r="H116">
        <v>0</v>
      </c>
      <c r="I116">
        <v>0</v>
      </c>
      <c r="J116">
        <v>-0.5</v>
      </c>
      <c r="K116">
        <f>E116/(VLOOKUP(B116,'2023 Team'!$B$2:$G$33,2,FALSE))</f>
        <v>3.2258064516129032E-3</v>
      </c>
    </row>
    <row r="117" spans="1:11" x14ac:dyDescent="0.25">
      <c r="A117" t="s">
        <v>693</v>
      </c>
      <c r="B117" t="s">
        <v>20</v>
      </c>
      <c r="C117" t="s">
        <v>163</v>
      </c>
      <c r="D117">
        <v>1</v>
      </c>
      <c r="E117">
        <v>1</v>
      </c>
      <c r="F117">
        <v>100</v>
      </c>
      <c r="G117">
        <v>-7</v>
      </c>
      <c r="H117">
        <v>0</v>
      </c>
      <c r="I117">
        <v>0</v>
      </c>
      <c r="J117">
        <v>-7</v>
      </c>
      <c r="K117">
        <f>E117/(VLOOKUP(B117,'2023 Team'!$B$2:$G$33,2,FALSE))</f>
        <v>1.6260162601626016E-3</v>
      </c>
    </row>
    <row r="118" spans="1:11" x14ac:dyDescent="0.25">
      <c r="A118" t="s">
        <v>1588</v>
      </c>
      <c r="F118">
        <v>64.5</v>
      </c>
      <c r="H118">
        <v>4.0999999999999996</v>
      </c>
      <c r="I118">
        <v>2.2999999999999998</v>
      </c>
      <c r="J118">
        <v>7</v>
      </c>
      <c r="K118" t="e">
        <f>E118/(VLOOKUP(B118,'2023 Team'!$B$2:$G$33,2,FALSE))</f>
        <v>#N/A</v>
      </c>
    </row>
  </sheetData>
  <autoFilter ref="A1:K118" xr:uid="{0C2C0862-F74A-4367-9E46-46F594B44D6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DEE0-B345-48D0-BDE9-C15995047EED}">
  <dimension ref="A1:K115"/>
  <sheetViews>
    <sheetView workbookViewId="0">
      <selection activeCell="K7" sqref="K7"/>
    </sheetView>
  </sheetViews>
  <sheetFormatPr defaultRowHeight="15" x14ac:dyDescent="0.25"/>
  <sheetData>
    <row r="1" spans="1:11" x14ac:dyDescent="0.25">
      <c r="A1" t="s">
        <v>71</v>
      </c>
      <c r="B1" t="s">
        <v>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s="5" t="s">
        <v>91</v>
      </c>
      <c r="B2" s="5" t="s">
        <v>38</v>
      </c>
      <c r="C2" s="5" t="s">
        <v>82</v>
      </c>
      <c r="D2" s="5">
        <v>435</v>
      </c>
      <c r="E2" s="5">
        <v>648</v>
      </c>
      <c r="F2" s="5">
        <v>67.099999999999994</v>
      </c>
      <c r="G2" s="5">
        <v>188</v>
      </c>
      <c r="H2" s="5">
        <v>6.3</v>
      </c>
      <c r="I2" s="5">
        <v>1.9</v>
      </c>
      <c r="J2" s="5">
        <v>8.1</v>
      </c>
      <c r="K2" s="6">
        <f>E2/(VLOOKUP(B2,'[1]2022 Team'!$B$2:$G$33,2,FALSE))</f>
        <v>0.99539170506912444</v>
      </c>
    </row>
    <row r="3" spans="1:11" x14ac:dyDescent="0.25">
      <c r="A3" s="5" t="s">
        <v>90</v>
      </c>
      <c r="B3" s="5" t="s">
        <v>42</v>
      </c>
      <c r="C3" s="5" t="s">
        <v>82</v>
      </c>
      <c r="D3" s="5">
        <v>477</v>
      </c>
      <c r="E3" s="5">
        <v>699</v>
      </c>
      <c r="F3" s="5">
        <v>68.2</v>
      </c>
      <c r="G3" s="5">
        <v>206</v>
      </c>
      <c r="H3" s="5">
        <v>3.6</v>
      </c>
      <c r="I3" s="5">
        <v>1.4</v>
      </c>
      <c r="J3" s="5">
        <v>6.8</v>
      </c>
      <c r="K3" s="6">
        <f>E3/(VLOOKUP(B3,'[1]2022 Team'!$B$2:$G$33,2,FALSE))</f>
        <v>0.9831223628691983</v>
      </c>
    </row>
    <row r="4" spans="1:11" x14ac:dyDescent="0.25">
      <c r="A4" s="5" t="s">
        <v>2364</v>
      </c>
      <c r="B4" s="5" t="s">
        <v>66</v>
      </c>
      <c r="C4" s="5" t="s">
        <v>82</v>
      </c>
      <c r="D4" s="5">
        <v>490</v>
      </c>
      <c r="E4" s="5">
        <v>733</v>
      </c>
      <c r="F4" s="5">
        <v>66.8</v>
      </c>
      <c r="G4" s="5">
        <v>160</v>
      </c>
      <c r="H4" s="5">
        <v>3.4</v>
      </c>
      <c r="I4" s="5">
        <v>1.2</v>
      </c>
      <c r="J4" s="5">
        <v>6.4</v>
      </c>
      <c r="K4" s="6">
        <f>E4/(VLOOKUP(B4,'[1]2022 Team'!$B$2:$G$33,2,FALSE))</f>
        <v>0.97603195739014648</v>
      </c>
    </row>
    <row r="5" spans="1:11" x14ac:dyDescent="0.25">
      <c r="A5" s="5" t="s">
        <v>110</v>
      </c>
      <c r="B5" s="5" t="s">
        <v>48</v>
      </c>
      <c r="C5" s="5" t="s">
        <v>82</v>
      </c>
      <c r="D5" s="5">
        <v>424</v>
      </c>
      <c r="E5" s="5">
        <v>643</v>
      </c>
      <c r="F5" s="5">
        <v>65.900000000000006</v>
      </c>
      <c r="G5" s="5">
        <v>329</v>
      </c>
      <c r="H5" s="5">
        <v>4.5</v>
      </c>
      <c r="I5" s="5">
        <v>2.2000000000000002</v>
      </c>
      <c r="J5" s="5">
        <v>7.1</v>
      </c>
      <c r="K5" s="6">
        <f>E5/(VLOOKUP(B5,'[1]2022 Team'!$B$2:$G$33,2,FALSE))</f>
        <v>0.95684523809523814</v>
      </c>
    </row>
    <row r="6" spans="1:11" x14ac:dyDescent="0.25">
      <c r="A6" s="5" t="s">
        <v>111</v>
      </c>
      <c r="B6" s="5" t="s">
        <v>20</v>
      </c>
      <c r="C6" s="5" t="s">
        <v>82</v>
      </c>
      <c r="D6" s="5">
        <v>414</v>
      </c>
      <c r="E6" s="5">
        <v>606</v>
      </c>
      <c r="F6" s="5">
        <v>68.3</v>
      </c>
      <c r="G6" s="5">
        <v>259</v>
      </c>
      <c r="H6" s="5">
        <v>5.8</v>
      </c>
      <c r="I6" s="5">
        <v>2</v>
      </c>
      <c r="J6" s="5">
        <v>7.4</v>
      </c>
      <c r="K6" s="6">
        <f>E6/(VLOOKUP(B6,'[1]2022 Team'!$B$2:$G$33,2,FALSE))</f>
        <v>0.99344262295081964</v>
      </c>
    </row>
    <row r="7" spans="1:11" x14ac:dyDescent="0.25">
      <c r="A7" s="5" t="s">
        <v>85</v>
      </c>
      <c r="B7" s="5" t="s">
        <v>28</v>
      </c>
      <c r="C7" s="5" t="s">
        <v>82</v>
      </c>
      <c r="D7" s="5">
        <v>382</v>
      </c>
      <c r="E7" s="5">
        <v>587</v>
      </c>
      <c r="F7" s="5">
        <v>65.099999999999994</v>
      </c>
      <c r="G7" s="5">
        <v>156</v>
      </c>
      <c r="H7" s="5">
        <v>4.9000000000000004</v>
      </c>
      <c r="I7" s="5">
        <v>1.2</v>
      </c>
      <c r="J7" s="5">
        <v>7.6</v>
      </c>
      <c r="K7" s="6">
        <f>E7/(VLOOKUP(B7,'[1]2022 Team'!$B$2:$G$33,2,FALSE))</f>
        <v>0.99829931972789121</v>
      </c>
    </row>
    <row r="8" spans="1:11" x14ac:dyDescent="0.25">
      <c r="A8" s="5" t="s">
        <v>97</v>
      </c>
      <c r="B8" s="5" t="s">
        <v>14</v>
      </c>
      <c r="C8" s="5" t="s">
        <v>82</v>
      </c>
      <c r="D8" s="5">
        <v>359</v>
      </c>
      <c r="E8" s="5">
        <v>567</v>
      </c>
      <c r="F8" s="5">
        <v>63.3</v>
      </c>
      <c r="G8" s="5">
        <v>162</v>
      </c>
      <c r="H8" s="5">
        <v>6.2</v>
      </c>
      <c r="I8" s="5">
        <v>2.5</v>
      </c>
      <c r="J8" s="5">
        <v>7.6</v>
      </c>
      <c r="K8" s="6">
        <f>E8/(VLOOKUP(B8,'[1]2022 Team'!$B$2:$G$33,2,FALSE))</f>
        <v>0.98780487804878048</v>
      </c>
    </row>
    <row r="9" spans="1:11" x14ac:dyDescent="0.25">
      <c r="A9" s="5" t="s">
        <v>99</v>
      </c>
      <c r="B9" s="5" t="s">
        <v>64</v>
      </c>
      <c r="C9" s="5" t="s">
        <v>82</v>
      </c>
      <c r="D9" s="5">
        <v>399</v>
      </c>
      <c r="E9" s="5">
        <v>572</v>
      </c>
      <c r="F9" s="5">
        <v>69.8</v>
      </c>
      <c r="G9" s="5">
        <v>348</v>
      </c>
      <c r="H9" s="5">
        <v>5.2</v>
      </c>
      <c r="I9" s="5">
        <v>1.9</v>
      </c>
      <c r="J9" s="5">
        <v>7.5</v>
      </c>
      <c r="K9" s="6">
        <f>E9/(VLOOKUP(B9,'[1]2022 Team'!$B$2:$G$33,2,FALSE))</f>
        <v>0.99825479930191974</v>
      </c>
    </row>
    <row r="10" spans="1:11" x14ac:dyDescent="0.25">
      <c r="A10" s="5" t="s">
        <v>87</v>
      </c>
      <c r="B10" s="5" t="s">
        <v>36</v>
      </c>
      <c r="C10" s="5" t="s">
        <v>82</v>
      </c>
      <c r="D10" s="5">
        <v>387</v>
      </c>
      <c r="E10" s="5">
        <v>584</v>
      </c>
      <c r="F10" s="5">
        <v>66.3</v>
      </c>
      <c r="G10" s="5">
        <v>184</v>
      </c>
      <c r="H10" s="5">
        <v>4.3</v>
      </c>
      <c r="I10" s="5">
        <v>1.4</v>
      </c>
      <c r="J10" s="5">
        <v>7</v>
      </c>
      <c r="K10" s="6">
        <f>E10/(VLOOKUP(B10,'[1]2022 Team'!$B$2:$G$33,2,FALSE))</f>
        <v>0.97986577181208057</v>
      </c>
    </row>
    <row r="11" spans="1:11" x14ac:dyDescent="0.25">
      <c r="A11" s="5" t="s">
        <v>98</v>
      </c>
      <c r="B11" s="5" t="s">
        <v>58</v>
      </c>
      <c r="C11" s="5" t="s">
        <v>82</v>
      </c>
      <c r="D11" s="5">
        <v>306</v>
      </c>
      <c r="E11" s="5">
        <v>460</v>
      </c>
      <c r="F11" s="5">
        <v>66.5</v>
      </c>
      <c r="G11" s="5">
        <v>231</v>
      </c>
      <c r="H11" s="5">
        <v>4.8</v>
      </c>
      <c r="I11" s="5">
        <v>1.3</v>
      </c>
      <c r="J11" s="5">
        <v>8</v>
      </c>
      <c r="K11" s="6">
        <f>E11/(VLOOKUP(B11,'[1]2022 Team'!$B$2:$G$33,2,FALSE))</f>
        <v>0.85820895522388063</v>
      </c>
    </row>
    <row r="12" spans="1:11" x14ac:dyDescent="0.25">
      <c r="A12" s="5" t="s">
        <v>92</v>
      </c>
      <c r="B12" s="5" t="s">
        <v>30</v>
      </c>
      <c r="C12" s="5" t="s">
        <v>82</v>
      </c>
      <c r="D12" s="5">
        <v>350</v>
      </c>
      <c r="E12" s="5">
        <v>542</v>
      </c>
      <c r="F12" s="5">
        <v>64.599999999999994</v>
      </c>
      <c r="G12" s="5">
        <v>258</v>
      </c>
      <c r="H12" s="5">
        <v>4.8</v>
      </c>
      <c r="I12" s="5">
        <v>2.2000000000000002</v>
      </c>
      <c r="J12" s="5">
        <v>6.8</v>
      </c>
      <c r="K12" s="6">
        <f>E12/(VLOOKUP(B12,'[1]2022 Team'!$B$2:$G$33,2,FALSE))</f>
        <v>0.96269982238010654</v>
      </c>
    </row>
    <row r="13" spans="1:11" x14ac:dyDescent="0.25">
      <c r="A13" s="5" t="s">
        <v>103</v>
      </c>
      <c r="B13" s="5" t="s">
        <v>46</v>
      </c>
      <c r="C13" s="5" t="s">
        <v>82</v>
      </c>
      <c r="D13" s="5">
        <v>259</v>
      </c>
      <c r="E13" s="5">
        <v>400</v>
      </c>
      <c r="F13" s="5">
        <v>64.8</v>
      </c>
      <c r="G13" s="5">
        <v>163</v>
      </c>
      <c r="H13" s="5">
        <v>6.3</v>
      </c>
      <c r="I13" s="5">
        <v>2</v>
      </c>
      <c r="J13" s="5">
        <v>8.9</v>
      </c>
      <c r="K13" s="6">
        <f>E13/(VLOOKUP(B13,'[1]2022 Team'!$B$2:$G$33,2,FALSE))</f>
        <v>0.68493150684931503</v>
      </c>
    </row>
    <row r="14" spans="1:11" x14ac:dyDescent="0.25">
      <c r="A14" s="5" t="s">
        <v>126</v>
      </c>
      <c r="B14" s="5" t="s">
        <v>26</v>
      </c>
      <c r="C14" s="5" t="s">
        <v>82</v>
      </c>
      <c r="D14" s="5">
        <v>292</v>
      </c>
      <c r="E14" s="5">
        <v>483</v>
      </c>
      <c r="F14" s="5">
        <v>60.5</v>
      </c>
      <c r="G14" s="5">
        <v>368</v>
      </c>
      <c r="H14" s="5">
        <v>3.3</v>
      </c>
      <c r="I14" s="5">
        <v>2.2999999999999998</v>
      </c>
      <c r="J14" s="5">
        <v>7.3</v>
      </c>
      <c r="K14" s="6">
        <f>E14/(VLOOKUP(B14,'[1]2022 Team'!$B$2:$G$33,2,FALSE))</f>
        <v>0.84588441330998254</v>
      </c>
    </row>
    <row r="15" spans="1:11" x14ac:dyDescent="0.25">
      <c r="A15" s="5" t="s">
        <v>1552</v>
      </c>
      <c r="B15" s="5" t="s">
        <v>40</v>
      </c>
      <c r="C15" s="5" t="s">
        <v>82</v>
      </c>
      <c r="D15" s="5">
        <v>305</v>
      </c>
      <c r="E15" s="5">
        <v>502</v>
      </c>
      <c r="F15" s="5">
        <v>60.8</v>
      </c>
      <c r="G15" s="5">
        <v>191</v>
      </c>
      <c r="H15" s="5">
        <v>4.8</v>
      </c>
      <c r="I15" s="5">
        <v>2.8</v>
      </c>
      <c r="J15" s="5">
        <v>7</v>
      </c>
      <c r="K15" s="6">
        <f>E15/(VLOOKUP(B15,'[1]2022 Team'!$B$2:$G$33,2,FALSE))</f>
        <v>0.85665529010238906</v>
      </c>
    </row>
    <row r="16" spans="1:11" x14ac:dyDescent="0.25">
      <c r="A16" s="5" t="s">
        <v>102</v>
      </c>
      <c r="B16" s="5" t="s">
        <v>54</v>
      </c>
      <c r="C16" s="5" t="s">
        <v>82</v>
      </c>
      <c r="D16" s="5">
        <v>317</v>
      </c>
      <c r="E16" s="5">
        <v>472</v>
      </c>
      <c r="F16" s="5">
        <v>67.2</v>
      </c>
      <c r="G16" s="5">
        <v>243</v>
      </c>
      <c r="H16" s="5">
        <v>3.2</v>
      </c>
      <c r="I16" s="5">
        <v>1.1000000000000001</v>
      </c>
      <c r="J16" s="5">
        <v>6.8</v>
      </c>
      <c r="K16" s="6">
        <f>E16/(VLOOKUP(B16,'[1]2022 Team'!$B$2:$G$33,2,FALSE))</f>
        <v>0.90769230769230769</v>
      </c>
    </row>
    <row r="17" spans="1:11" x14ac:dyDescent="0.25">
      <c r="A17" s="5" t="s">
        <v>122</v>
      </c>
      <c r="B17" s="5" t="s">
        <v>32</v>
      </c>
      <c r="C17" s="5" t="s">
        <v>82</v>
      </c>
      <c r="D17" s="5">
        <v>292</v>
      </c>
      <c r="E17" s="5">
        <v>479</v>
      </c>
      <c r="F17" s="5">
        <v>61</v>
      </c>
      <c r="G17" s="5">
        <v>244</v>
      </c>
      <c r="H17" s="5">
        <v>3.5</v>
      </c>
      <c r="I17" s="5">
        <v>3.1</v>
      </c>
      <c r="J17" s="5">
        <v>6.5</v>
      </c>
      <c r="K17" s="6">
        <f>E17/(VLOOKUP(B17,'[1]2022 Team'!$B$2:$G$33,2,FALSE))</f>
        <v>0.82728842832469773</v>
      </c>
    </row>
    <row r="18" spans="1:11" x14ac:dyDescent="0.25">
      <c r="A18" s="5" t="s">
        <v>2365</v>
      </c>
      <c r="B18" s="5" t="s">
        <v>34</v>
      </c>
      <c r="C18" s="5" t="s">
        <v>82</v>
      </c>
      <c r="D18" s="5">
        <v>309</v>
      </c>
      <c r="E18" s="5">
        <v>461</v>
      </c>
      <c r="F18" s="5">
        <v>67</v>
      </c>
      <c r="G18" s="5">
        <v>287</v>
      </c>
      <c r="H18" s="5">
        <v>3</v>
      </c>
      <c r="I18" s="5">
        <v>2.8</v>
      </c>
      <c r="J18" s="5">
        <v>6.6</v>
      </c>
      <c r="K18" s="6">
        <f>E18/(VLOOKUP(B18,'[1]2022 Team'!$B$2:$G$33,2,FALSE))</f>
        <v>0.76324503311258274</v>
      </c>
    </row>
    <row r="19" spans="1:11" x14ac:dyDescent="0.25">
      <c r="A19" s="5" t="s">
        <v>107</v>
      </c>
      <c r="B19" s="5" t="s">
        <v>50</v>
      </c>
      <c r="C19" s="5" t="s">
        <v>82</v>
      </c>
      <c r="D19" s="5">
        <v>288</v>
      </c>
      <c r="E19" s="5">
        <v>442</v>
      </c>
      <c r="F19" s="5">
        <v>65.2</v>
      </c>
      <c r="G19" s="5">
        <v>231</v>
      </c>
      <c r="H19" s="5">
        <v>3.2</v>
      </c>
      <c r="I19" s="5">
        <v>2.5</v>
      </c>
      <c r="J19" s="5">
        <v>6.8</v>
      </c>
      <c r="K19" s="6">
        <f>E19/(VLOOKUP(B19,'[1]2022 Team'!$B$2:$G$33,2,FALSE))</f>
        <v>0.81851851851851853</v>
      </c>
    </row>
    <row r="20" spans="1:11" x14ac:dyDescent="0.25">
      <c r="A20" s="5" t="s">
        <v>140</v>
      </c>
      <c r="B20" s="5" t="s">
        <v>52</v>
      </c>
      <c r="C20" s="5" t="s">
        <v>82</v>
      </c>
      <c r="D20" s="5">
        <v>252</v>
      </c>
      <c r="E20" s="5">
        <v>378</v>
      </c>
      <c r="F20" s="5">
        <v>66.7</v>
      </c>
      <c r="G20" s="5">
        <v>189</v>
      </c>
      <c r="H20" s="5">
        <v>4.8</v>
      </c>
      <c r="I20" s="5">
        <v>2.4</v>
      </c>
      <c r="J20" s="5">
        <v>7.6</v>
      </c>
      <c r="K20" s="6">
        <f>E20/(VLOOKUP(B20,'[1]2022 Team'!$B$2:$G$33,2,FALSE))</f>
        <v>0.73828125</v>
      </c>
    </row>
    <row r="21" spans="1:11" x14ac:dyDescent="0.25">
      <c r="A21" s="5" t="s">
        <v>83</v>
      </c>
      <c r="B21" s="5" t="s">
        <v>24</v>
      </c>
      <c r="C21" s="5" t="s">
        <v>82</v>
      </c>
      <c r="D21" s="5">
        <v>261</v>
      </c>
      <c r="E21" s="5">
        <v>394</v>
      </c>
      <c r="F21" s="5">
        <v>66.2</v>
      </c>
      <c r="G21" s="5">
        <v>126</v>
      </c>
      <c r="H21" s="5">
        <v>5.8</v>
      </c>
      <c r="I21" s="5">
        <v>3.8</v>
      </c>
      <c r="J21" s="5">
        <v>7.3</v>
      </c>
      <c r="K21" s="6">
        <f>E21/(VLOOKUP(B21,'[1]2022 Team'!$B$2:$G$33,2,FALSE))</f>
        <v>0.70863309352517989</v>
      </c>
    </row>
    <row r="22" spans="1:11" x14ac:dyDescent="0.25">
      <c r="A22" s="5" t="s">
        <v>94</v>
      </c>
      <c r="B22" s="5" t="s">
        <v>22</v>
      </c>
      <c r="C22" s="5" t="s">
        <v>82</v>
      </c>
      <c r="D22" s="5">
        <v>236</v>
      </c>
      <c r="E22" s="5">
        <v>369</v>
      </c>
      <c r="F22" s="5">
        <v>64</v>
      </c>
      <c r="G22" s="5">
        <v>160</v>
      </c>
      <c r="H22" s="5">
        <v>3.3</v>
      </c>
      <c r="I22" s="5">
        <v>1.6</v>
      </c>
      <c r="J22" s="5">
        <v>7.1</v>
      </c>
      <c r="K22" s="6">
        <f>E22/(VLOOKUP(B22,'[1]2022 Team'!$B$2:$G$33,2,FALSE))</f>
        <v>0.68333333333333335</v>
      </c>
    </row>
    <row r="23" spans="1:11" x14ac:dyDescent="0.25">
      <c r="A23" s="5" t="s">
        <v>1555</v>
      </c>
      <c r="B23" s="5" t="s">
        <v>68</v>
      </c>
      <c r="C23" s="5" t="s">
        <v>82</v>
      </c>
      <c r="D23" s="5">
        <v>212</v>
      </c>
      <c r="E23" s="5">
        <v>325</v>
      </c>
      <c r="F23" s="5">
        <v>65.2</v>
      </c>
      <c r="G23" s="5">
        <v>238</v>
      </c>
      <c r="H23" s="5">
        <v>4</v>
      </c>
      <c r="I23" s="5">
        <v>1.8</v>
      </c>
      <c r="J23" s="5">
        <v>7.8</v>
      </c>
      <c r="K23" s="6">
        <f>E23/(VLOOKUP(B23,'[1]2022 Team'!$B$2:$G$33,2,FALSE))</f>
        <v>0.71271929824561409</v>
      </c>
    </row>
    <row r="24" spans="1:11" x14ac:dyDescent="0.25">
      <c r="A24" s="5" t="s">
        <v>617</v>
      </c>
      <c r="B24" s="5" t="s">
        <v>62</v>
      </c>
      <c r="C24" s="5" t="s">
        <v>82</v>
      </c>
      <c r="D24" s="5">
        <v>207</v>
      </c>
      <c r="E24" s="5">
        <v>308</v>
      </c>
      <c r="F24" s="5">
        <v>67.2</v>
      </c>
      <c r="G24" s="5">
        <v>100</v>
      </c>
      <c r="H24" s="5">
        <v>5.2</v>
      </c>
      <c r="I24" s="5">
        <v>1.3</v>
      </c>
      <c r="J24" s="5">
        <v>7.9</v>
      </c>
      <c r="K24" s="6">
        <f>E24/(VLOOKUP(B24,'[1]2022 Team'!$B$2:$G$33,2,FALSE))</f>
        <v>0.6015625</v>
      </c>
    </row>
    <row r="25" spans="1:11" x14ac:dyDescent="0.25">
      <c r="A25" s="5" t="s">
        <v>138</v>
      </c>
      <c r="B25" s="5" t="s">
        <v>60</v>
      </c>
      <c r="C25" s="5" t="s">
        <v>82</v>
      </c>
      <c r="D25" s="5">
        <v>245</v>
      </c>
      <c r="E25" s="5">
        <v>389</v>
      </c>
      <c r="F25" s="5">
        <v>63</v>
      </c>
      <c r="G25" s="5">
        <v>182</v>
      </c>
      <c r="H25" s="5">
        <v>1.8</v>
      </c>
      <c r="I25" s="5">
        <v>2.2999999999999998</v>
      </c>
      <c r="J25" s="5">
        <v>6.2</v>
      </c>
      <c r="K25" s="6">
        <f>E25/(VLOOKUP(B25,'[1]2022 Team'!$B$2:$G$33,2,FALSE))</f>
        <v>0.68126094570928197</v>
      </c>
    </row>
    <row r="26" spans="1:11" x14ac:dyDescent="0.25">
      <c r="A26" s="5" t="s">
        <v>121</v>
      </c>
      <c r="B26" s="5" t="s">
        <v>8</v>
      </c>
      <c r="C26" s="5" t="s">
        <v>82</v>
      </c>
      <c r="D26" s="5">
        <v>259</v>
      </c>
      <c r="E26" s="5">
        <v>390</v>
      </c>
      <c r="F26" s="5">
        <v>66.400000000000006</v>
      </c>
      <c r="G26" s="5">
        <v>192</v>
      </c>
      <c r="H26" s="5">
        <v>3.6</v>
      </c>
      <c r="I26" s="5">
        <v>1.8</v>
      </c>
      <c r="J26" s="5">
        <v>6.1</v>
      </c>
      <c r="K26" s="6">
        <f>E26/(VLOOKUP(B26,'[1]2022 Team'!$B$2:$G$33,2,FALSE))</f>
        <v>0.58734939759036142</v>
      </c>
    </row>
    <row r="27" spans="1:11" x14ac:dyDescent="0.25">
      <c r="A27" s="5" t="s">
        <v>117</v>
      </c>
      <c r="B27" s="5" t="s">
        <v>18</v>
      </c>
      <c r="C27" s="5" t="s">
        <v>82</v>
      </c>
      <c r="D27" s="5">
        <v>192</v>
      </c>
      <c r="E27" s="5">
        <v>318</v>
      </c>
      <c r="F27" s="5">
        <v>60.4</v>
      </c>
      <c r="G27" s="5">
        <v>359</v>
      </c>
      <c r="H27" s="5">
        <v>5.3</v>
      </c>
      <c r="I27" s="5">
        <v>3.5</v>
      </c>
      <c r="J27" s="5">
        <v>7.1</v>
      </c>
      <c r="K27" s="6">
        <f>E27/(VLOOKUP(B27,'[1]2022 Team'!$B$2:$G$33,2,FALSE))</f>
        <v>0.843501326259947</v>
      </c>
    </row>
    <row r="28" spans="1:11" x14ac:dyDescent="0.25">
      <c r="A28" s="5" t="s">
        <v>106</v>
      </c>
      <c r="B28" s="5" t="s">
        <v>12</v>
      </c>
      <c r="C28" s="5" t="s">
        <v>82</v>
      </c>
      <c r="D28" s="5">
        <v>203</v>
      </c>
      <c r="E28" s="5">
        <v>326</v>
      </c>
      <c r="F28" s="5">
        <v>62.3</v>
      </c>
      <c r="G28" s="5">
        <v>114</v>
      </c>
      <c r="H28" s="5">
        <v>5.2</v>
      </c>
      <c r="I28" s="5">
        <v>2.1</v>
      </c>
      <c r="J28" s="5">
        <v>6.9</v>
      </c>
      <c r="K28" s="6">
        <f>E28/(VLOOKUP(B28,'[1]2022 Team'!$B$2:$G$33,2,FALSE))</f>
        <v>0.66803278688524592</v>
      </c>
    </row>
    <row r="29" spans="1:11" x14ac:dyDescent="0.25">
      <c r="A29" s="5" t="s">
        <v>115</v>
      </c>
      <c r="B29" s="5" t="s">
        <v>10</v>
      </c>
      <c r="C29" s="5" t="s">
        <v>82</v>
      </c>
      <c r="D29" s="5">
        <v>184</v>
      </c>
      <c r="E29" s="5">
        <v>300</v>
      </c>
      <c r="F29" s="5">
        <v>61.3</v>
      </c>
      <c r="G29" s="5">
        <v>195</v>
      </c>
      <c r="H29" s="5">
        <v>5</v>
      </c>
      <c r="I29" s="5">
        <v>3</v>
      </c>
      <c r="J29" s="5">
        <v>7.4</v>
      </c>
      <c r="K29" s="6">
        <f>E29/(VLOOKUP(B29,'[1]2022 Team'!$B$2:$G$33,2,FALSE))</f>
        <v>0.72289156626506024</v>
      </c>
    </row>
    <row r="30" spans="1:11" x14ac:dyDescent="0.25">
      <c r="A30" s="5" t="s">
        <v>88</v>
      </c>
      <c r="B30" s="5" t="s">
        <v>16</v>
      </c>
      <c r="C30" s="5" t="s">
        <v>82</v>
      </c>
      <c r="D30" s="5">
        <v>119</v>
      </c>
      <c r="E30" s="5">
        <v>206</v>
      </c>
      <c r="F30" s="5">
        <v>57.8</v>
      </c>
      <c r="G30" s="5">
        <v>126</v>
      </c>
      <c r="H30" s="5">
        <v>2.9</v>
      </c>
      <c r="I30" s="5">
        <v>2.9</v>
      </c>
      <c r="J30" s="5">
        <v>6.4</v>
      </c>
      <c r="K30" s="6">
        <f>E30/(VLOOKUP(B30,'[1]2022 Team'!$B$2:$G$33,2,FALSE))</f>
        <v>0.45076586433260396</v>
      </c>
    </row>
    <row r="31" spans="1:11" x14ac:dyDescent="0.25">
      <c r="A31" s="5" t="s">
        <v>88</v>
      </c>
      <c r="B31" s="5" t="s">
        <v>44</v>
      </c>
      <c r="C31" s="5" t="s">
        <v>82</v>
      </c>
      <c r="D31" s="5">
        <v>82</v>
      </c>
      <c r="E31" s="5">
        <v>129</v>
      </c>
      <c r="F31" s="5">
        <v>63.6</v>
      </c>
      <c r="G31" s="5">
        <v>91</v>
      </c>
      <c r="H31" s="5">
        <v>3.1</v>
      </c>
      <c r="I31" s="5">
        <v>1.6</v>
      </c>
      <c r="J31" s="5">
        <v>6.6</v>
      </c>
      <c r="K31" s="6">
        <f>E31/(VLOOKUP(B31,'[1]2022 Team'!$B$2:$G$33,2,FALSE))</f>
        <v>0.24293785310734464</v>
      </c>
    </row>
    <row r="32" spans="1:11" x14ac:dyDescent="0.25">
      <c r="A32" s="5" t="s">
        <v>84</v>
      </c>
      <c r="B32" s="5" t="s">
        <v>44</v>
      </c>
      <c r="C32" s="5" t="s">
        <v>82</v>
      </c>
      <c r="D32" s="5">
        <v>206</v>
      </c>
      <c r="E32" s="5">
        <v>303</v>
      </c>
      <c r="F32" s="5">
        <v>68</v>
      </c>
      <c r="G32" s="5">
        <v>208</v>
      </c>
      <c r="H32" s="5">
        <v>3.3</v>
      </c>
      <c r="I32" s="5">
        <v>2.6</v>
      </c>
      <c r="J32" s="5">
        <v>6.9</v>
      </c>
      <c r="K32" s="6">
        <f>E32/(VLOOKUP(B32,'[1]2022 Team'!$B$2:$G$33,2,FALSE))</f>
        <v>0.57062146892655363</v>
      </c>
    </row>
    <row r="33" spans="1:11" x14ac:dyDescent="0.25">
      <c r="A33" s="5" t="s">
        <v>1560</v>
      </c>
      <c r="B33" s="5" t="s">
        <v>70</v>
      </c>
      <c r="C33" s="5" t="s">
        <v>82</v>
      </c>
      <c r="D33" s="5">
        <v>161</v>
      </c>
      <c r="E33" s="5">
        <v>259</v>
      </c>
      <c r="F33" s="5">
        <v>62.2</v>
      </c>
      <c r="G33" s="5">
        <v>141</v>
      </c>
      <c r="H33" s="5">
        <v>4.5999999999999996</v>
      </c>
      <c r="I33" s="5">
        <v>2.2999999999999998</v>
      </c>
      <c r="J33" s="5">
        <v>7.2</v>
      </c>
      <c r="K33" s="6">
        <f>E33/(VLOOKUP(B33,'[1]2022 Team'!$B$2:$G$33,2,FALSE))</f>
        <v>0.46750902527075811</v>
      </c>
    </row>
    <row r="34" spans="1:11" x14ac:dyDescent="0.25">
      <c r="A34" s="5" t="s">
        <v>120</v>
      </c>
      <c r="B34" s="5" t="s">
        <v>70</v>
      </c>
      <c r="C34" s="5" t="s">
        <v>82</v>
      </c>
      <c r="D34" s="5">
        <v>172</v>
      </c>
      <c r="E34" s="5">
        <v>276</v>
      </c>
      <c r="F34" s="5">
        <v>62.3</v>
      </c>
      <c r="G34" s="5">
        <v>159</v>
      </c>
      <c r="H34" s="5">
        <v>4</v>
      </c>
      <c r="I34" s="5">
        <v>3.3</v>
      </c>
      <c r="J34" s="5">
        <v>6.4</v>
      </c>
      <c r="K34" s="6">
        <f>E34/(VLOOKUP(B34,'[1]2022 Team'!$B$2:$G$33,2,FALSE))</f>
        <v>0.49819494584837543</v>
      </c>
    </row>
    <row r="35" spans="1:11" x14ac:dyDescent="0.25">
      <c r="A35" s="5" t="s">
        <v>150</v>
      </c>
      <c r="B35" s="5" t="s">
        <v>56</v>
      </c>
      <c r="C35" s="5" t="s">
        <v>82</v>
      </c>
      <c r="D35" s="5">
        <v>132</v>
      </c>
      <c r="E35" s="5">
        <v>242</v>
      </c>
      <c r="F35" s="5">
        <v>54.5</v>
      </c>
      <c r="G35" s="5">
        <v>175</v>
      </c>
      <c r="H35" s="5">
        <v>2.5</v>
      </c>
      <c r="I35" s="5">
        <v>2.9</v>
      </c>
      <c r="J35" s="5">
        <v>7</v>
      </c>
      <c r="K35" s="6">
        <f>E35/(VLOOKUP(B35,'[1]2022 Team'!$B$2:$G$33,2,FALSE))</f>
        <v>0.38596491228070173</v>
      </c>
    </row>
    <row r="36" spans="1:11" x14ac:dyDescent="0.25">
      <c r="A36" s="5" t="s">
        <v>108</v>
      </c>
      <c r="B36" s="5" t="s">
        <v>62</v>
      </c>
      <c r="C36" s="5" t="s">
        <v>82</v>
      </c>
      <c r="D36" s="5">
        <v>114</v>
      </c>
      <c r="E36" s="5">
        <v>170</v>
      </c>
      <c r="F36" s="5">
        <v>67.099999999999994</v>
      </c>
      <c r="G36" s="5">
        <v>84</v>
      </c>
      <c r="H36" s="5">
        <v>7.6</v>
      </c>
      <c r="I36" s="5">
        <v>2.4</v>
      </c>
      <c r="J36" s="5">
        <v>8.1</v>
      </c>
      <c r="K36" s="6">
        <f>E36/(VLOOKUP(B36,'[1]2022 Team'!$B$2:$G$33,2,FALSE))</f>
        <v>0.33203125</v>
      </c>
    </row>
    <row r="37" spans="1:11" x14ac:dyDescent="0.25">
      <c r="A37" s="5" t="s">
        <v>141</v>
      </c>
      <c r="B37" s="5" t="s">
        <v>60</v>
      </c>
      <c r="C37" s="5" t="s">
        <v>82</v>
      </c>
      <c r="D37" s="5">
        <v>117</v>
      </c>
      <c r="E37" s="5">
        <v>180</v>
      </c>
      <c r="F37" s="5">
        <v>65</v>
      </c>
      <c r="G37" s="5">
        <v>68</v>
      </c>
      <c r="H37" s="5">
        <v>2.2000000000000002</v>
      </c>
      <c r="I37" s="5">
        <v>2.8</v>
      </c>
      <c r="J37" s="5">
        <v>7</v>
      </c>
      <c r="K37" s="6">
        <f>E37/(VLOOKUP(B37,'[1]2022 Team'!$B$2:$G$33,2,FALSE))</f>
        <v>0.31523642732049034</v>
      </c>
    </row>
    <row r="38" spans="1:11" x14ac:dyDescent="0.25">
      <c r="A38" s="5" t="s">
        <v>1572</v>
      </c>
      <c r="B38" s="5" t="s">
        <v>56</v>
      </c>
      <c r="C38" s="5" t="s">
        <v>82</v>
      </c>
      <c r="D38" s="5">
        <v>103</v>
      </c>
      <c r="E38" s="5">
        <v>175</v>
      </c>
      <c r="F38" s="5">
        <v>58.9</v>
      </c>
      <c r="G38" s="5">
        <v>76</v>
      </c>
      <c r="H38" s="5">
        <v>1.7</v>
      </c>
      <c r="I38" s="5">
        <v>2.2999999999999998</v>
      </c>
      <c r="J38" s="5">
        <v>6.8</v>
      </c>
      <c r="K38" s="6">
        <f>E38/(VLOOKUP(B38,'[1]2022 Team'!$B$2:$G$33,2,FALSE))</f>
        <v>0.27910685805422647</v>
      </c>
    </row>
    <row r="39" spans="1:11" x14ac:dyDescent="0.25">
      <c r="A39" s="5" t="s">
        <v>96</v>
      </c>
      <c r="B39" s="5" t="s">
        <v>16</v>
      </c>
      <c r="C39" s="5" t="s">
        <v>82</v>
      </c>
      <c r="D39" s="5">
        <v>82</v>
      </c>
      <c r="E39" s="5">
        <v>140</v>
      </c>
      <c r="F39" s="5">
        <v>58.6</v>
      </c>
      <c r="G39" s="5">
        <v>78</v>
      </c>
      <c r="H39" s="5">
        <v>5</v>
      </c>
      <c r="I39" s="5">
        <v>2.1</v>
      </c>
      <c r="J39" s="5">
        <v>8.1999999999999993</v>
      </c>
      <c r="K39" s="6">
        <f>E39/(VLOOKUP(B39,'[1]2022 Team'!$B$2:$G$33,2,FALSE))</f>
        <v>0.30634573304157547</v>
      </c>
    </row>
    <row r="40" spans="1:11" x14ac:dyDescent="0.25">
      <c r="A40" s="5" t="s">
        <v>1558</v>
      </c>
      <c r="B40" s="5" t="s">
        <v>22</v>
      </c>
      <c r="C40" s="5" t="s">
        <v>82</v>
      </c>
      <c r="D40" s="5">
        <v>99</v>
      </c>
      <c r="E40" s="5">
        <v>170</v>
      </c>
      <c r="F40" s="5">
        <v>58.2</v>
      </c>
      <c r="G40" s="5">
        <v>106</v>
      </c>
      <c r="H40" s="5">
        <v>4.0999999999999996</v>
      </c>
      <c r="I40" s="5">
        <v>2.9</v>
      </c>
      <c r="J40" s="5">
        <v>6.5</v>
      </c>
      <c r="K40" s="6">
        <f>E40/(VLOOKUP(B40,'[1]2022 Team'!$B$2:$G$33,2,FALSE))</f>
        <v>0.31481481481481483</v>
      </c>
    </row>
    <row r="41" spans="1:11" x14ac:dyDescent="0.25">
      <c r="A41" s="5" t="s">
        <v>113</v>
      </c>
      <c r="B41" s="5" t="s">
        <v>56</v>
      </c>
      <c r="C41" s="5" t="s">
        <v>82</v>
      </c>
      <c r="D41" s="5">
        <v>110</v>
      </c>
      <c r="E41" s="5">
        <v>191</v>
      </c>
      <c r="F41" s="5">
        <v>57.6</v>
      </c>
      <c r="G41" s="5">
        <v>66</v>
      </c>
      <c r="H41" s="5">
        <v>2.6</v>
      </c>
      <c r="I41" s="5">
        <v>1.6</v>
      </c>
      <c r="J41" s="5">
        <v>5.5</v>
      </c>
      <c r="K41" s="6">
        <f>E41/(VLOOKUP(B41,'[1]2022 Team'!$B$2:$G$33,2,FALSE))</f>
        <v>0.30462519936204147</v>
      </c>
    </row>
    <row r="42" spans="1:11" x14ac:dyDescent="0.25">
      <c r="A42" s="5" t="s">
        <v>136</v>
      </c>
      <c r="B42" s="5" t="s">
        <v>24</v>
      </c>
      <c r="C42" s="5" t="s">
        <v>82</v>
      </c>
      <c r="D42" s="5">
        <v>94</v>
      </c>
      <c r="E42" s="5">
        <v>162</v>
      </c>
      <c r="F42" s="5">
        <v>58</v>
      </c>
      <c r="G42" s="5">
        <v>49</v>
      </c>
      <c r="H42" s="5">
        <v>3.1</v>
      </c>
      <c r="I42" s="5">
        <v>1.9</v>
      </c>
      <c r="J42" s="5">
        <v>6.5</v>
      </c>
      <c r="K42" s="6">
        <f>E42/(VLOOKUP(B42,'[1]2022 Team'!$B$2:$G$33,2,FALSE))</f>
        <v>0.29136690647482016</v>
      </c>
    </row>
    <row r="43" spans="1:11" x14ac:dyDescent="0.25">
      <c r="A43" s="5" t="s">
        <v>132</v>
      </c>
      <c r="B43" s="5" t="s">
        <v>52</v>
      </c>
      <c r="C43" s="5" t="s">
        <v>82</v>
      </c>
      <c r="D43" s="5">
        <v>73</v>
      </c>
      <c r="E43" s="5">
        <v>115</v>
      </c>
      <c r="F43" s="5">
        <v>63.5</v>
      </c>
      <c r="G43" s="5">
        <v>74</v>
      </c>
      <c r="H43" s="5">
        <v>3.5</v>
      </c>
      <c r="I43" s="5">
        <v>4.3</v>
      </c>
      <c r="J43" s="5">
        <v>7.5</v>
      </c>
      <c r="K43" s="6">
        <f>E43/(VLOOKUP(B43,'[1]2022 Team'!$B$2:$G$33,2,FALSE))</f>
        <v>0.224609375</v>
      </c>
    </row>
    <row r="44" spans="1:11" x14ac:dyDescent="0.25">
      <c r="A44" s="5" t="s">
        <v>1556</v>
      </c>
      <c r="B44" s="5" t="s">
        <v>50</v>
      </c>
      <c r="C44" s="5" t="s">
        <v>82</v>
      </c>
      <c r="D44" s="5">
        <v>65</v>
      </c>
      <c r="E44" s="5">
        <v>92</v>
      </c>
      <c r="F44" s="5">
        <v>70.7</v>
      </c>
      <c r="G44" s="5">
        <v>40</v>
      </c>
      <c r="H44" s="5">
        <v>5.4</v>
      </c>
      <c r="I44" s="5">
        <v>3.3</v>
      </c>
      <c r="J44" s="5">
        <v>8.5</v>
      </c>
      <c r="K44" s="6">
        <f>E44/(VLOOKUP(B44,'[1]2022 Team'!$B$2:$G$33,2,FALSE))</f>
        <v>0.17037037037037037</v>
      </c>
    </row>
    <row r="45" spans="1:11" x14ac:dyDescent="0.25">
      <c r="A45" s="5" t="s">
        <v>2366</v>
      </c>
      <c r="B45" s="5" t="s">
        <v>8</v>
      </c>
      <c r="C45" s="5" t="s">
        <v>82</v>
      </c>
      <c r="D45" s="5">
        <v>90</v>
      </c>
      <c r="E45" s="5">
        <v>132</v>
      </c>
      <c r="F45" s="5">
        <v>68.2</v>
      </c>
      <c r="G45" s="5">
        <v>97</v>
      </c>
      <c r="H45" s="5">
        <v>0.8</v>
      </c>
      <c r="I45" s="5">
        <v>2.2999999999999998</v>
      </c>
      <c r="J45" s="5">
        <v>5.9</v>
      </c>
      <c r="K45" s="6">
        <f>E45/(VLOOKUP(B45,'[1]2022 Team'!$B$2:$G$33,2,FALSE))</f>
        <v>0.19879518072289157</v>
      </c>
    </row>
    <row r="46" spans="1:11" x14ac:dyDescent="0.25">
      <c r="A46" s="5" t="s">
        <v>1562</v>
      </c>
      <c r="B46" s="5" t="s">
        <v>16</v>
      </c>
      <c r="C46" s="5" t="s">
        <v>82</v>
      </c>
      <c r="D46" s="5">
        <v>63</v>
      </c>
      <c r="E46" s="5">
        <v>106</v>
      </c>
      <c r="F46" s="5">
        <v>59.4</v>
      </c>
      <c r="G46" s="5">
        <v>46</v>
      </c>
      <c r="H46" s="5">
        <v>2.8</v>
      </c>
      <c r="I46" s="5">
        <v>2.8</v>
      </c>
      <c r="J46" s="5">
        <v>6.9</v>
      </c>
      <c r="K46" s="6">
        <f>E46/(VLOOKUP(B46,'[1]2022 Team'!$B$2:$G$33,2,FALSE))</f>
        <v>0.23194748358862144</v>
      </c>
    </row>
    <row r="47" spans="1:11" x14ac:dyDescent="0.25">
      <c r="A47" s="5" t="s">
        <v>1553</v>
      </c>
      <c r="B47" s="5" t="s">
        <v>10</v>
      </c>
      <c r="C47" s="5" t="s">
        <v>82</v>
      </c>
      <c r="D47" s="5">
        <v>73</v>
      </c>
      <c r="E47" s="5">
        <v>115</v>
      </c>
      <c r="F47" s="5">
        <v>63.5</v>
      </c>
      <c r="G47" s="5">
        <v>33</v>
      </c>
      <c r="H47" s="5">
        <v>1.7</v>
      </c>
      <c r="I47" s="5">
        <v>0</v>
      </c>
      <c r="J47" s="5">
        <v>6.2</v>
      </c>
      <c r="K47" s="6">
        <f>E47/(VLOOKUP(B47,'[1]2022 Team'!$B$2:$G$33,2,FALSE))</f>
        <v>0.27710843373493976</v>
      </c>
    </row>
    <row r="48" spans="1:11" x14ac:dyDescent="0.25">
      <c r="A48" s="5" t="s">
        <v>147</v>
      </c>
      <c r="B48" s="5" t="s">
        <v>46</v>
      </c>
      <c r="C48" s="5" t="s">
        <v>82</v>
      </c>
      <c r="D48" s="5">
        <v>49</v>
      </c>
      <c r="E48" s="5">
        <v>79</v>
      </c>
      <c r="F48" s="5">
        <v>62</v>
      </c>
      <c r="G48" s="5">
        <v>45</v>
      </c>
      <c r="H48" s="5">
        <v>5.0999999999999996</v>
      </c>
      <c r="I48" s="5">
        <v>5.0999999999999996</v>
      </c>
      <c r="J48" s="5">
        <v>8.6</v>
      </c>
      <c r="K48" s="6">
        <f>E48/(VLOOKUP(B48,'[1]2022 Team'!$B$2:$G$33,2,FALSE))</f>
        <v>0.13527397260273974</v>
      </c>
    </row>
    <row r="49" spans="1:11" x14ac:dyDescent="0.25">
      <c r="A49" s="5" t="s">
        <v>149</v>
      </c>
      <c r="B49" s="5" t="s">
        <v>58</v>
      </c>
      <c r="C49" s="5" t="s">
        <v>82</v>
      </c>
      <c r="D49" s="5">
        <v>44</v>
      </c>
      <c r="E49" s="5">
        <v>76</v>
      </c>
      <c r="F49" s="5">
        <v>57.9</v>
      </c>
      <c r="G49" s="5">
        <v>28</v>
      </c>
      <c r="H49" s="5">
        <v>3.9</v>
      </c>
      <c r="I49" s="5">
        <v>3.9</v>
      </c>
      <c r="J49" s="5">
        <v>8.6999999999999993</v>
      </c>
      <c r="K49" s="6">
        <f>E49/(VLOOKUP(B49,'[1]2022 Team'!$B$2:$G$33,2,FALSE))</f>
        <v>0.1417910447761194</v>
      </c>
    </row>
    <row r="50" spans="1:11" x14ac:dyDescent="0.25">
      <c r="A50" s="5" t="s">
        <v>130</v>
      </c>
      <c r="B50" s="5" t="s">
        <v>12</v>
      </c>
      <c r="C50" s="5" t="s">
        <v>82</v>
      </c>
      <c r="D50" s="5">
        <v>75</v>
      </c>
      <c r="E50" s="5">
        <v>112</v>
      </c>
      <c r="F50" s="5">
        <v>67</v>
      </c>
      <c r="G50" s="5">
        <v>34</v>
      </c>
      <c r="H50" s="5">
        <v>1.8</v>
      </c>
      <c r="I50" s="5">
        <v>2.7</v>
      </c>
      <c r="J50" s="5">
        <v>5.9</v>
      </c>
      <c r="K50" s="6">
        <f>E50/(VLOOKUP(B50,'[1]2022 Team'!$B$2:$G$33,2,FALSE))</f>
        <v>0.22950819672131148</v>
      </c>
    </row>
    <row r="51" spans="1:11" x14ac:dyDescent="0.25">
      <c r="A51" s="5" t="s">
        <v>782</v>
      </c>
      <c r="B51" s="5" t="s">
        <v>40</v>
      </c>
      <c r="C51" s="5" t="s">
        <v>82</v>
      </c>
      <c r="D51" s="5">
        <v>53</v>
      </c>
      <c r="E51" s="5">
        <v>83</v>
      </c>
      <c r="F51" s="5">
        <v>63.9</v>
      </c>
      <c r="G51" s="5">
        <v>47</v>
      </c>
      <c r="H51" s="5">
        <v>4.8</v>
      </c>
      <c r="I51" s="5">
        <v>3.6</v>
      </c>
      <c r="J51" s="5">
        <v>7.9</v>
      </c>
      <c r="K51" s="6">
        <f>E51/(VLOOKUP(B51,'[1]2022 Team'!$B$2:$G$33,2,FALSE))</f>
        <v>0.14163822525597269</v>
      </c>
    </row>
    <row r="52" spans="1:11" x14ac:dyDescent="0.25">
      <c r="A52" s="5" t="s">
        <v>2367</v>
      </c>
      <c r="B52" s="5" t="s">
        <v>34</v>
      </c>
      <c r="C52" s="5" t="s">
        <v>82</v>
      </c>
      <c r="D52" s="5">
        <v>64</v>
      </c>
      <c r="E52" s="5">
        <v>101</v>
      </c>
      <c r="F52" s="5">
        <v>63.4</v>
      </c>
      <c r="G52" s="5">
        <v>87</v>
      </c>
      <c r="H52" s="5">
        <v>3</v>
      </c>
      <c r="I52" s="5">
        <v>3</v>
      </c>
      <c r="J52" s="5">
        <v>5.7</v>
      </c>
      <c r="K52" s="6">
        <f>E52/(VLOOKUP(B52,'[1]2022 Team'!$B$2:$G$33,2,FALSE))</f>
        <v>0.16721854304635761</v>
      </c>
    </row>
    <row r="53" spans="1:11" x14ac:dyDescent="0.25">
      <c r="A53" s="5" t="s">
        <v>2078</v>
      </c>
      <c r="B53" s="5" t="s">
        <v>46</v>
      </c>
      <c r="C53" s="5" t="s">
        <v>82</v>
      </c>
      <c r="D53" s="5">
        <v>60</v>
      </c>
      <c r="E53" s="5">
        <v>105</v>
      </c>
      <c r="F53" s="5">
        <v>57.1</v>
      </c>
      <c r="G53" s="5">
        <v>40</v>
      </c>
      <c r="H53" s="5">
        <v>1</v>
      </c>
      <c r="I53" s="5">
        <v>2.9</v>
      </c>
      <c r="J53" s="5">
        <v>5.0999999999999996</v>
      </c>
      <c r="K53" s="6">
        <f>E53/(VLOOKUP(B53,'[1]2022 Team'!$B$2:$G$33,2,FALSE))</f>
        <v>0.1797945205479452</v>
      </c>
    </row>
    <row r="54" spans="1:11" x14ac:dyDescent="0.25">
      <c r="A54" s="5" t="s">
        <v>183</v>
      </c>
      <c r="B54" s="5" t="s">
        <v>26</v>
      </c>
      <c r="C54" s="5" t="s">
        <v>82</v>
      </c>
      <c r="D54" s="5">
        <v>53</v>
      </c>
      <c r="E54" s="5">
        <v>88</v>
      </c>
      <c r="F54" s="5">
        <v>60.2</v>
      </c>
      <c r="G54" s="5">
        <v>47</v>
      </c>
      <c r="H54" s="5">
        <v>2.2999999999999998</v>
      </c>
      <c r="I54" s="5">
        <v>4.5</v>
      </c>
      <c r="J54" s="5">
        <v>5.5</v>
      </c>
      <c r="K54" s="6">
        <f>E54/(VLOOKUP(B54,'[1]2022 Team'!$B$2:$G$33,2,FALSE))</f>
        <v>0.15411558669001751</v>
      </c>
    </row>
    <row r="55" spans="1:11" x14ac:dyDescent="0.25">
      <c r="A55" s="5" t="s">
        <v>160</v>
      </c>
      <c r="B55" s="5" t="s">
        <v>32</v>
      </c>
      <c r="C55" s="5" t="s">
        <v>82</v>
      </c>
      <c r="D55" s="5">
        <v>46</v>
      </c>
      <c r="E55" s="5">
        <v>78</v>
      </c>
      <c r="F55" s="5">
        <v>59</v>
      </c>
      <c r="G55" s="5">
        <v>41</v>
      </c>
      <c r="H55" s="5">
        <v>2.6</v>
      </c>
      <c r="I55" s="5">
        <v>5.0999999999999996</v>
      </c>
      <c r="J55" s="5">
        <v>5.3</v>
      </c>
      <c r="K55" s="6">
        <f>E55/(VLOOKUP(B55,'[1]2022 Team'!$B$2:$G$33,2,FALSE))</f>
        <v>0.13471502590673576</v>
      </c>
    </row>
    <row r="56" spans="1:11" x14ac:dyDescent="0.25">
      <c r="A56" s="5" t="s">
        <v>2368</v>
      </c>
      <c r="B56" s="5" t="s">
        <v>8</v>
      </c>
      <c r="C56" s="5" t="s">
        <v>82</v>
      </c>
      <c r="D56" s="5">
        <v>45</v>
      </c>
      <c r="E56" s="5">
        <v>83</v>
      </c>
      <c r="F56" s="5">
        <v>54.2</v>
      </c>
      <c r="G56" s="5">
        <v>27</v>
      </c>
      <c r="H56" s="5">
        <v>0</v>
      </c>
      <c r="I56" s="5">
        <v>6</v>
      </c>
      <c r="J56" s="5">
        <v>5</v>
      </c>
      <c r="K56" s="6">
        <f>E56/(VLOOKUP(B56,'[1]2022 Team'!$B$2:$G$33,2,FALSE))</f>
        <v>0.125</v>
      </c>
    </row>
    <row r="57" spans="1:11" x14ac:dyDescent="0.25">
      <c r="A57" s="5" t="s">
        <v>151</v>
      </c>
      <c r="B57" s="5" t="s">
        <v>68</v>
      </c>
      <c r="C57" s="5" t="s">
        <v>82</v>
      </c>
      <c r="D57" s="5">
        <v>40</v>
      </c>
      <c r="E57" s="5">
        <v>68</v>
      </c>
      <c r="F57" s="5">
        <v>58.8</v>
      </c>
      <c r="G57" s="5">
        <v>26</v>
      </c>
      <c r="H57" s="5">
        <v>2.9</v>
      </c>
      <c r="I57" s="5">
        <v>2.9</v>
      </c>
      <c r="J57" s="5">
        <v>6</v>
      </c>
      <c r="K57" s="6">
        <f>E57/(VLOOKUP(B57,'[1]2022 Team'!$B$2:$G$33,2,FALSE))</f>
        <v>0.14912280701754385</v>
      </c>
    </row>
    <row r="58" spans="1:11" x14ac:dyDescent="0.25">
      <c r="A58" s="5" t="s">
        <v>2369</v>
      </c>
      <c r="B58" s="5" t="s">
        <v>8</v>
      </c>
      <c r="C58" s="5" t="s">
        <v>82</v>
      </c>
      <c r="D58" s="5">
        <v>38</v>
      </c>
      <c r="E58" s="5">
        <v>58</v>
      </c>
      <c r="F58" s="5">
        <v>65.5</v>
      </c>
      <c r="G58" s="5">
        <v>24</v>
      </c>
      <c r="H58" s="5">
        <v>3.4</v>
      </c>
      <c r="I58" s="5">
        <v>3.4</v>
      </c>
      <c r="J58" s="5">
        <v>6.9</v>
      </c>
      <c r="K58" s="6">
        <f>E58/(VLOOKUP(B58,'[1]2022 Team'!$B$2:$G$33,2,FALSE))</f>
        <v>8.7349397590361449E-2</v>
      </c>
    </row>
    <row r="59" spans="1:11" x14ac:dyDescent="0.25">
      <c r="A59" s="5" t="s">
        <v>2370</v>
      </c>
      <c r="B59" s="5" t="s">
        <v>44</v>
      </c>
      <c r="C59" s="5" t="s">
        <v>82</v>
      </c>
      <c r="D59" s="5">
        <v>38</v>
      </c>
      <c r="E59" s="5">
        <v>62</v>
      </c>
      <c r="F59" s="5">
        <v>61.3</v>
      </c>
      <c r="G59" s="5">
        <v>49</v>
      </c>
      <c r="H59" s="5">
        <v>1.6</v>
      </c>
      <c r="I59" s="5">
        <v>4.8</v>
      </c>
      <c r="J59" s="5">
        <v>6.3</v>
      </c>
      <c r="K59" s="6">
        <f>E59/(VLOOKUP(B59,'[1]2022 Team'!$B$2:$G$33,2,FALSE))</f>
        <v>0.1167608286252354</v>
      </c>
    </row>
    <row r="60" spans="1:11" x14ac:dyDescent="0.25">
      <c r="A60" s="5" t="s">
        <v>2371</v>
      </c>
      <c r="B60" s="5" t="s">
        <v>12</v>
      </c>
      <c r="C60" s="5" t="s">
        <v>82</v>
      </c>
      <c r="D60" s="5">
        <v>22</v>
      </c>
      <c r="E60" s="5">
        <v>49</v>
      </c>
      <c r="F60" s="5">
        <v>44.9</v>
      </c>
      <c r="G60" s="5">
        <v>14</v>
      </c>
      <c r="H60" s="5">
        <v>0</v>
      </c>
      <c r="I60" s="5">
        <v>4.0999999999999996</v>
      </c>
      <c r="J60" s="5">
        <v>6.2</v>
      </c>
      <c r="K60" s="6">
        <f>E60/(VLOOKUP(B60,'[1]2022 Team'!$B$2:$G$33,2,FALSE))</f>
        <v>0.10040983606557377</v>
      </c>
    </row>
    <row r="61" spans="1:11" x14ac:dyDescent="0.25">
      <c r="A61" s="5" t="s">
        <v>142</v>
      </c>
      <c r="B61" s="5" t="s">
        <v>68</v>
      </c>
      <c r="C61" s="5" t="s">
        <v>82</v>
      </c>
      <c r="D61" s="5">
        <v>31</v>
      </c>
      <c r="E61" s="5">
        <v>61</v>
      </c>
      <c r="F61" s="5">
        <v>50.8</v>
      </c>
      <c r="G61" s="5">
        <v>49</v>
      </c>
      <c r="H61" s="5">
        <v>0</v>
      </c>
      <c r="I61" s="5">
        <v>4.9000000000000004</v>
      </c>
      <c r="J61" s="5">
        <v>4.5</v>
      </c>
      <c r="K61" s="6">
        <f>E61/(VLOOKUP(B61,'[1]2022 Team'!$B$2:$G$33,2,FALSE))</f>
        <v>0.1337719298245614</v>
      </c>
    </row>
    <row r="62" spans="1:11" x14ac:dyDescent="0.25">
      <c r="A62" s="5" t="s">
        <v>152</v>
      </c>
      <c r="B62" s="5" t="s">
        <v>52</v>
      </c>
      <c r="C62" s="5" t="s">
        <v>1571</v>
      </c>
      <c r="D62" s="5">
        <v>13</v>
      </c>
      <c r="E62" s="5">
        <v>19</v>
      </c>
      <c r="F62" s="5">
        <v>68.400000000000006</v>
      </c>
      <c r="G62" s="5">
        <v>14</v>
      </c>
      <c r="H62" s="5">
        <v>10.5</v>
      </c>
      <c r="I62" s="5">
        <v>0</v>
      </c>
      <c r="J62" s="5">
        <v>12.6</v>
      </c>
      <c r="K62" s="6">
        <f>E62/(VLOOKUP(B62,'[1]2022 Team'!$B$2:$G$33,2,FALSE))</f>
        <v>3.7109375E-2</v>
      </c>
    </row>
    <row r="63" spans="1:11" x14ac:dyDescent="0.25">
      <c r="A63" s="5" t="s">
        <v>2372</v>
      </c>
      <c r="B63" s="5" t="s">
        <v>34</v>
      </c>
      <c r="C63" s="5" t="s">
        <v>82</v>
      </c>
      <c r="D63" s="5">
        <v>25</v>
      </c>
      <c r="E63" s="5">
        <v>42</v>
      </c>
      <c r="F63" s="5">
        <v>59.5</v>
      </c>
      <c r="G63" s="5">
        <v>48</v>
      </c>
      <c r="H63" s="5">
        <v>0</v>
      </c>
      <c r="I63" s="5">
        <v>9.5</v>
      </c>
      <c r="J63" s="5">
        <v>5.3</v>
      </c>
      <c r="K63" s="6">
        <f>E63/(VLOOKUP(B63,'[1]2022 Team'!$B$2:$G$33,2,FALSE))</f>
        <v>6.9536423841059597E-2</v>
      </c>
    </row>
    <row r="64" spans="1:11" x14ac:dyDescent="0.25">
      <c r="A64" s="5" t="s">
        <v>155</v>
      </c>
      <c r="B64" s="5" t="s">
        <v>48</v>
      </c>
      <c r="C64" s="5" t="s">
        <v>82</v>
      </c>
      <c r="D64" s="5">
        <v>21</v>
      </c>
      <c r="E64" s="5">
        <v>25</v>
      </c>
      <c r="F64" s="5">
        <v>84</v>
      </c>
      <c r="G64" s="5">
        <v>0</v>
      </c>
      <c r="H64" s="5">
        <v>4</v>
      </c>
      <c r="I64" s="5">
        <v>4</v>
      </c>
      <c r="J64" s="5">
        <v>9</v>
      </c>
      <c r="K64" s="6">
        <f>E64/(VLOOKUP(B64,'[1]2022 Team'!$B$2:$G$33,2,FALSE))</f>
        <v>3.7202380952380952E-2</v>
      </c>
    </row>
    <row r="65" spans="1:11" x14ac:dyDescent="0.25">
      <c r="A65" s="5" t="s">
        <v>100</v>
      </c>
      <c r="B65" s="5" t="s">
        <v>30</v>
      </c>
      <c r="C65" s="5" t="s">
        <v>82</v>
      </c>
      <c r="D65" s="5">
        <v>14</v>
      </c>
      <c r="E65" s="5">
        <v>21</v>
      </c>
      <c r="F65" s="5">
        <v>66.7</v>
      </c>
      <c r="G65" s="5">
        <v>0</v>
      </c>
      <c r="H65" s="5">
        <v>4.8</v>
      </c>
      <c r="I65" s="5">
        <v>0</v>
      </c>
      <c r="J65" s="5">
        <v>9.3000000000000007</v>
      </c>
      <c r="K65" s="6">
        <f>E65/(VLOOKUP(B65,'[1]2022 Team'!$B$2:$G$33,2,FALSE))</f>
        <v>3.7300177619893425E-2</v>
      </c>
    </row>
    <row r="66" spans="1:11" x14ac:dyDescent="0.25">
      <c r="A66" s="5" t="s">
        <v>133</v>
      </c>
      <c r="B66" s="5" t="s">
        <v>62</v>
      </c>
      <c r="C66" s="5" t="s">
        <v>82</v>
      </c>
      <c r="D66" s="5">
        <v>15</v>
      </c>
      <c r="E66" s="5">
        <v>31</v>
      </c>
      <c r="F66" s="5">
        <v>48.4</v>
      </c>
      <c r="G66" s="5">
        <v>9</v>
      </c>
      <c r="H66" s="5">
        <v>0</v>
      </c>
      <c r="I66" s="5">
        <v>3.2</v>
      </c>
      <c r="J66" s="5">
        <v>6.3</v>
      </c>
      <c r="K66" s="6">
        <f>E66/(VLOOKUP(B66,'[1]2022 Team'!$B$2:$G$33,2,FALSE))</f>
        <v>6.0546875E-2</v>
      </c>
    </row>
    <row r="67" spans="1:11" x14ac:dyDescent="0.25">
      <c r="A67" s="5" t="s">
        <v>1561</v>
      </c>
      <c r="B67" s="5" t="s">
        <v>18</v>
      </c>
      <c r="C67" s="5" t="s">
        <v>82</v>
      </c>
      <c r="D67" s="5">
        <v>15</v>
      </c>
      <c r="E67" s="5">
        <v>26</v>
      </c>
      <c r="F67" s="5">
        <v>57.7</v>
      </c>
      <c r="G67" s="5">
        <v>14</v>
      </c>
      <c r="H67" s="5">
        <v>3.8</v>
      </c>
      <c r="I67" s="5">
        <v>3.8</v>
      </c>
      <c r="J67" s="5">
        <v>7.1</v>
      </c>
      <c r="K67" s="6">
        <f>E67/(VLOOKUP(B67,'[1]2022 Team'!$B$2:$G$33,2,FALSE))</f>
        <v>6.8965517241379309E-2</v>
      </c>
    </row>
    <row r="68" spans="1:11" x14ac:dyDescent="0.25">
      <c r="A68" s="5" t="s">
        <v>1551</v>
      </c>
      <c r="B68" s="5" t="s">
        <v>70</v>
      </c>
      <c r="C68" s="5" t="s">
        <v>82</v>
      </c>
      <c r="D68" s="5">
        <v>11</v>
      </c>
      <c r="E68" s="5">
        <v>19</v>
      </c>
      <c r="F68" s="5">
        <v>57.9</v>
      </c>
      <c r="G68" s="5">
        <v>11</v>
      </c>
      <c r="H68" s="5">
        <v>5.3</v>
      </c>
      <c r="I68" s="5">
        <v>5.3</v>
      </c>
      <c r="J68" s="5">
        <v>8.9</v>
      </c>
      <c r="K68" s="6">
        <f>E68/(VLOOKUP(B68,'[1]2022 Team'!$B$2:$G$33,2,FALSE))</f>
        <v>3.4296028880866428E-2</v>
      </c>
    </row>
    <row r="69" spans="1:11" x14ac:dyDescent="0.25">
      <c r="A69" s="5" t="s">
        <v>2373</v>
      </c>
      <c r="B69" s="5" t="s">
        <v>54</v>
      </c>
      <c r="C69" s="5" t="s">
        <v>82</v>
      </c>
      <c r="D69" s="5">
        <v>23</v>
      </c>
      <c r="E69" s="5">
        <v>40</v>
      </c>
      <c r="F69" s="5">
        <v>57.5</v>
      </c>
      <c r="G69" s="5">
        <v>0</v>
      </c>
      <c r="H69" s="5">
        <v>2.5</v>
      </c>
      <c r="I69" s="5">
        <v>0</v>
      </c>
      <c r="J69" s="5">
        <v>4.2</v>
      </c>
      <c r="K69" s="6">
        <f>E69/(VLOOKUP(B69,'[1]2022 Team'!$B$2:$G$33,2,FALSE))</f>
        <v>7.6923076923076927E-2</v>
      </c>
    </row>
    <row r="70" spans="1:11" x14ac:dyDescent="0.25">
      <c r="A70" s="5" t="s">
        <v>2374</v>
      </c>
      <c r="B70" s="5" t="s">
        <v>44</v>
      </c>
      <c r="C70" s="5" t="s">
        <v>82</v>
      </c>
      <c r="D70" s="5">
        <v>19</v>
      </c>
      <c r="E70" s="5">
        <v>34</v>
      </c>
      <c r="F70" s="5">
        <v>55.9</v>
      </c>
      <c r="G70" s="5">
        <v>50</v>
      </c>
      <c r="H70" s="5">
        <v>2.9</v>
      </c>
      <c r="I70" s="5">
        <v>5.9</v>
      </c>
      <c r="J70" s="5">
        <v>4.7</v>
      </c>
      <c r="K70" s="6">
        <f>E70/(VLOOKUP(B70,'[1]2022 Team'!$B$2:$G$33,2,FALSE))</f>
        <v>6.4030131826741998E-2</v>
      </c>
    </row>
    <row r="71" spans="1:11" x14ac:dyDescent="0.25">
      <c r="A71" s="5" t="s">
        <v>1585</v>
      </c>
      <c r="B71" s="5" t="s">
        <v>18</v>
      </c>
      <c r="C71" s="5" t="s">
        <v>82</v>
      </c>
      <c r="D71" s="5">
        <v>14</v>
      </c>
      <c r="E71" s="5">
        <v>25</v>
      </c>
      <c r="F71" s="5">
        <v>56</v>
      </c>
      <c r="G71" s="5">
        <v>6</v>
      </c>
      <c r="H71" s="5">
        <v>4</v>
      </c>
      <c r="I71" s="5">
        <v>4</v>
      </c>
      <c r="J71" s="5">
        <v>5.6</v>
      </c>
      <c r="K71" s="6">
        <f>E71/(VLOOKUP(B71,'[1]2022 Team'!$B$2:$G$33,2,FALSE))</f>
        <v>6.6312997347480113E-2</v>
      </c>
    </row>
    <row r="72" spans="1:11" x14ac:dyDescent="0.25">
      <c r="A72" s="5" t="s">
        <v>1570</v>
      </c>
      <c r="B72" s="5" t="s">
        <v>32</v>
      </c>
      <c r="C72" s="5" t="s">
        <v>82</v>
      </c>
      <c r="D72" s="5">
        <v>14</v>
      </c>
      <c r="E72" s="5">
        <v>20</v>
      </c>
      <c r="F72" s="5">
        <v>70</v>
      </c>
      <c r="G72" s="5">
        <v>13</v>
      </c>
      <c r="H72" s="5">
        <v>5</v>
      </c>
      <c r="I72" s="5">
        <v>0</v>
      </c>
      <c r="J72" s="5">
        <v>5.4</v>
      </c>
      <c r="K72" s="6">
        <f>E72/(VLOOKUP(B72,'[1]2022 Team'!$B$2:$G$33,2,FALSE))</f>
        <v>3.4542314335060449E-2</v>
      </c>
    </row>
    <row r="73" spans="1:11" x14ac:dyDescent="0.25">
      <c r="A73" s="5" t="s">
        <v>2375</v>
      </c>
      <c r="B73" s="5" t="s">
        <v>56</v>
      </c>
      <c r="C73" s="5" t="s">
        <v>82</v>
      </c>
      <c r="D73" s="5">
        <v>10</v>
      </c>
      <c r="E73" s="5">
        <v>15</v>
      </c>
      <c r="F73" s="5">
        <v>66.7</v>
      </c>
      <c r="G73" s="5">
        <v>0</v>
      </c>
      <c r="H73" s="5">
        <v>0</v>
      </c>
      <c r="I73" s="5">
        <v>0</v>
      </c>
      <c r="J73" s="5">
        <v>6</v>
      </c>
      <c r="K73" s="6">
        <f>E73/(VLOOKUP(B73,'[1]2022 Team'!$B$2:$G$33,2,FALSE))</f>
        <v>2.3923444976076555E-2</v>
      </c>
    </row>
    <row r="74" spans="1:11" x14ac:dyDescent="0.25">
      <c r="A74" s="5" t="s">
        <v>2376</v>
      </c>
      <c r="B74" s="5" t="s">
        <v>16</v>
      </c>
      <c r="C74" s="5" t="s">
        <v>82</v>
      </c>
      <c r="D74" s="5">
        <v>3</v>
      </c>
      <c r="E74" s="5">
        <v>5</v>
      </c>
      <c r="F74" s="5">
        <v>60</v>
      </c>
      <c r="G74" s="5">
        <v>0</v>
      </c>
      <c r="H74" s="5">
        <v>0</v>
      </c>
      <c r="I74" s="5">
        <v>20</v>
      </c>
      <c r="J74" s="5">
        <v>11.8</v>
      </c>
      <c r="K74" s="6">
        <f>E74/(VLOOKUP(B74,'[1]2022 Team'!$B$2:$G$33,2,FALSE))</f>
        <v>1.0940919037199124E-2</v>
      </c>
    </row>
    <row r="75" spans="1:11" x14ac:dyDescent="0.25">
      <c r="A75" s="5" t="s">
        <v>124</v>
      </c>
      <c r="B75" s="5" t="s">
        <v>54</v>
      </c>
      <c r="C75" s="5" t="s">
        <v>82</v>
      </c>
      <c r="D75" s="5">
        <v>6</v>
      </c>
      <c r="E75" s="5">
        <v>8</v>
      </c>
      <c r="F75" s="5">
        <v>75</v>
      </c>
      <c r="G75" s="5">
        <v>18</v>
      </c>
      <c r="H75" s="5">
        <v>12.5</v>
      </c>
      <c r="I75" s="5">
        <v>12.5</v>
      </c>
      <c r="J75" s="5">
        <v>7.3</v>
      </c>
      <c r="K75" s="6">
        <f>E75/(VLOOKUP(B75,'[1]2022 Team'!$B$2:$G$33,2,FALSE))</f>
        <v>1.5384615384615385E-2</v>
      </c>
    </row>
    <row r="76" spans="1:11" x14ac:dyDescent="0.25">
      <c r="A76" s="5" t="s">
        <v>2377</v>
      </c>
      <c r="B76" s="5" t="s">
        <v>42</v>
      </c>
      <c r="C76" s="5" t="s">
        <v>82</v>
      </c>
      <c r="D76" s="5">
        <v>8</v>
      </c>
      <c r="E76" s="5">
        <v>12</v>
      </c>
      <c r="F76" s="5">
        <v>66.7</v>
      </c>
      <c r="G76" s="5">
        <v>1</v>
      </c>
      <c r="H76" s="5">
        <v>8.3000000000000007</v>
      </c>
      <c r="I76" s="5">
        <v>0</v>
      </c>
      <c r="J76" s="5">
        <v>4.3</v>
      </c>
      <c r="K76" s="6">
        <f>E76/(VLOOKUP(B76,'[1]2022 Team'!$B$2:$G$33,2,FALSE))</f>
        <v>1.6877637130801686E-2</v>
      </c>
    </row>
    <row r="77" spans="1:11" x14ac:dyDescent="0.25">
      <c r="A77" s="5" t="s">
        <v>1567</v>
      </c>
      <c r="B77" s="5" t="s">
        <v>50</v>
      </c>
      <c r="C77" s="5" t="s">
        <v>82</v>
      </c>
      <c r="D77" s="5">
        <v>5</v>
      </c>
      <c r="E77" s="5">
        <v>6</v>
      </c>
      <c r="F77" s="5">
        <v>83.3</v>
      </c>
      <c r="G77" s="5">
        <v>8</v>
      </c>
      <c r="H77" s="5">
        <v>0</v>
      </c>
      <c r="I77" s="5">
        <v>0</v>
      </c>
      <c r="J77" s="5">
        <v>6.2</v>
      </c>
      <c r="K77" s="6">
        <f>E77/(VLOOKUP(B77,'[1]2022 Team'!$B$2:$G$33,2,FALSE))</f>
        <v>1.1111111111111112E-2</v>
      </c>
    </row>
    <row r="78" spans="1:11" x14ac:dyDescent="0.25">
      <c r="A78" s="5" t="s">
        <v>1565</v>
      </c>
      <c r="B78" s="5" t="s">
        <v>36</v>
      </c>
      <c r="C78" s="5" t="s">
        <v>82</v>
      </c>
      <c r="D78" s="5">
        <v>7</v>
      </c>
      <c r="E78" s="5">
        <v>11</v>
      </c>
      <c r="F78" s="5">
        <v>63.6</v>
      </c>
      <c r="G78" s="5">
        <v>5</v>
      </c>
      <c r="H78" s="5">
        <v>0</v>
      </c>
      <c r="I78" s="5">
        <v>9.1</v>
      </c>
      <c r="J78" s="5">
        <v>3.2</v>
      </c>
      <c r="K78" s="6">
        <f>E78/(VLOOKUP(B78,'[1]2022 Team'!$B$2:$G$33,2,FALSE))</f>
        <v>1.8456375838926176E-2</v>
      </c>
    </row>
    <row r="79" spans="1:11" x14ac:dyDescent="0.25">
      <c r="A79" s="5" t="s">
        <v>700</v>
      </c>
      <c r="B79" s="5" t="s">
        <v>48</v>
      </c>
      <c r="C79" s="5" t="s">
        <v>163</v>
      </c>
      <c r="D79" s="5">
        <v>2</v>
      </c>
      <c r="E79" s="5">
        <v>2</v>
      </c>
      <c r="F79" s="5">
        <v>100</v>
      </c>
      <c r="G79" s="5">
        <v>0</v>
      </c>
      <c r="H79" s="5">
        <v>0</v>
      </c>
      <c r="I79" s="5">
        <v>0</v>
      </c>
      <c r="J79" s="5">
        <v>17</v>
      </c>
      <c r="K79" s="6">
        <f>E79/(VLOOKUP(B79,'[1]2022 Team'!$B$2:$G$33,2,FALSE))</f>
        <v>2.976190476190476E-3</v>
      </c>
    </row>
    <row r="80" spans="1:11" x14ac:dyDescent="0.25">
      <c r="A80" s="5" t="s">
        <v>182</v>
      </c>
      <c r="B80" s="5" t="s">
        <v>62</v>
      </c>
      <c r="C80" s="5" t="s">
        <v>159</v>
      </c>
      <c r="D80" s="5">
        <v>1</v>
      </c>
      <c r="E80" s="5">
        <v>1</v>
      </c>
      <c r="F80" s="5">
        <v>100</v>
      </c>
      <c r="G80" s="5">
        <v>0</v>
      </c>
      <c r="H80" s="5">
        <v>100</v>
      </c>
      <c r="I80" s="5">
        <v>0</v>
      </c>
      <c r="J80" s="5">
        <v>34</v>
      </c>
      <c r="K80" s="6">
        <f>E80/(VLOOKUP(B80,'[1]2022 Team'!$B$2:$G$33,2,FALSE))</f>
        <v>1.953125E-3</v>
      </c>
    </row>
    <row r="81" spans="1:11" x14ac:dyDescent="0.25">
      <c r="A81" s="5" t="s">
        <v>1564</v>
      </c>
      <c r="B81" s="5" t="s">
        <v>18</v>
      </c>
      <c r="C81" s="5" t="s">
        <v>82</v>
      </c>
      <c r="D81" s="5">
        <v>2</v>
      </c>
      <c r="E81" s="5">
        <v>8</v>
      </c>
      <c r="F81" s="5">
        <v>25</v>
      </c>
      <c r="G81" s="5">
        <v>0</v>
      </c>
      <c r="H81" s="5">
        <v>0</v>
      </c>
      <c r="I81" s="5">
        <v>25</v>
      </c>
      <c r="J81" s="5">
        <v>4.0999999999999996</v>
      </c>
      <c r="K81" s="6">
        <f>E81/(VLOOKUP(B81,'[1]2022 Team'!$B$2:$G$33,2,FALSE))</f>
        <v>2.1220159151193633E-2</v>
      </c>
    </row>
    <row r="82" spans="1:11" x14ac:dyDescent="0.25">
      <c r="A82" s="5" t="s">
        <v>1568</v>
      </c>
      <c r="B82" s="5" t="s">
        <v>66</v>
      </c>
      <c r="C82" s="5" t="s">
        <v>82</v>
      </c>
      <c r="D82" s="5">
        <v>6</v>
      </c>
      <c r="E82" s="5">
        <v>8</v>
      </c>
      <c r="F82" s="5">
        <v>75</v>
      </c>
      <c r="G82" s="5">
        <v>0</v>
      </c>
      <c r="H82" s="5">
        <v>12.5</v>
      </c>
      <c r="I82" s="5">
        <v>0</v>
      </c>
      <c r="J82" s="5">
        <v>3.6</v>
      </c>
      <c r="K82" s="6">
        <f>E82/(VLOOKUP(B82,'[1]2022 Team'!$B$2:$G$33,2,FALSE))</f>
        <v>1.0652463382157125E-2</v>
      </c>
    </row>
    <row r="83" spans="1:11" x14ac:dyDescent="0.25">
      <c r="A83" s="5" t="s">
        <v>1582</v>
      </c>
      <c r="B83" s="5" t="s">
        <v>20</v>
      </c>
      <c r="C83" s="5" t="s">
        <v>163</v>
      </c>
      <c r="D83" s="5">
        <v>1</v>
      </c>
      <c r="E83" s="5">
        <v>1</v>
      </c>
      <c r="F83" s="5">
        <v>100</v>
      </c>
      <c r="G83" s="5">
        <v>12</v>
      </c>
      <c r="H83" s="5">
        <v>0</v>
      </c>
      <c r="I83" s="5">
        <v>0</v>
      </c>
      <c r="J83" s="5">
        <v>23</v>
      </c>
      <c r="K83" s="6">
        <f>E83/(VLOOKUP(B83,'[1]2022 Team'!$B$2:$G$33,2,FALSE))</f>
        <v>1.639344262295082E-3</v>
      </c>
    </row>
    <row r="84" spans="1:11" x14ac:dyDescent="0.25">
      <c r="A84" s="5" t="s">
        <v>1587</v>
      </c>
      <c r="B84" s="5" t="s">
        <v>66</v>
      </c>
      <c r="C84" s="5" t="s">
        <v>82</v>
      </c>
      <c r="D84" s="5">
        <v>3</v>
      </c>
      <c r="E84" s="5">
        <v>9</v>
      </c>
      <c r="F84" s="5">
        <v>33.299999999999997</v>
      </c>
      <c r="G84" s="5">
        <v>0</v>
      </c>
      <c r="H84" s="5">
        <v>0</v>
      </c>
      <c r="I84" s="5">
        <v>0</v>
      </c>
      <c r="J84" s="5">
        <v>2.6</v>
      </c>
      <c r="K84" s="6">
        <f>E84/(VLOOKUP(B84,'[1]2022 Team'!$B$2:$G$33,2,FALSE))</f>
        <v>1.1984021304926764E-2</v>
      </c>
    </row>
    <row r="85" spans="1:11" x14ac:dyDescent="0.25">
      <c r="A85" s="5" t="s">
        <v>143</v>
      </c>
      <c r="B85" s="5" t="s">
        <v>20</v>
      </c>
      <c r="C85" s="5" t="s">
        <v>82</v>
      </c>
      <c r="D85" s="5">
        <v>3</v>
      </c>
      <c r="E85" s="5">
        <v>3</v>
      </c>
      <c r="F85" s="5">
        <v>100</v>
      </c>
      <c r="G85" s="5">
        <v>0</v>
      </c>
      <c r="H85" s="5">
        <v>0</v>
      </c>
      <c r="I85" s="5">
        <v>0</v>
      </c>
      <c r="J85" s="5">
        <v>7.3</v>
      </c>
      <c r="K85" s="6">
        <f>E85/(VLOOKUP(B85,'[1]2022 Team'!$B$2:$G$33,2,FALSE))</f>
        <v>4.9180327868852463E-3</v>
      </c>
    </row>
    <row r="86" spans="1:11" x14ac:dyDescent="0.25">
      <c r="A86" s="5" t="s">
        <v>2083</v>
      </c>
      <c r="B86" s="5" t="s">
        <v>44</v>
      </c>
      <c r="C86" s="5" t="s">
        <v>165</v>
      </c>
      <c r="D86" s="5">
        <v>2</v>
      </c>
      <c r="E86" s="5">
        <v>2</v>
      </c>
      <c r="F86" s="5">
        <v>100</v>
      </c>
      <c r="G86" s="5">
        <v>0</v>
      </c>
      <c r="H86" s="5">
        <v>0</v>
      </c>
      <c r="I86" s="5">
        <v>0</v>
      </c>
      <c r="J86" s="5">
        <v>9</v>
      </c>
      <c r="K86" s="6">
        <f>E86/(VLOOKUP(B86,'[1]2022 Team'!$B$2:$G$33,2,FALSE))</f>
        <v>3.766478342749529E-3</v>
      </c>
    </row>
    <row r="87" spans="1:11" x14ac:dyDescent="0.25">
      <c r="A87" s="5" t="s">
        <v>745</v>
      </c>
      <c r="B87" s="5" t="s">
        <v>56</v>
      </c>
      <c r="C87" s="5" t="s">
        <v>165</v>
      </c>
      <c r="D87" s="5">
        <v>1</v>
      </c>
      <c r="E87" s="5">
        <v>2</v>
      </c>
      <c r="F87" s="5">
        <v>50</v>
      </c>
      <c r="G87" s="5">
        <v>0</v>
      </c>
      <c r="H87" s="5">
        <v>0</v>
      </c>
      <c r="I87" s="5">
        <v>0</v>
      </c>
      <c r="J87" s="5">
        <v>8.5</v>
      </c>
      <c r="K87" s="6">
        <f>E87/(VLOOKUP(B87,'[1]2022 Team'!$B$2:$G$33,2,FALSE))</f>
        <v>3.189792663476874E-3</v>
      </c>
    </row>
    <row r="88" spans="1:11" x14ac:dyDescent="0.25">
      <c r="A88" s="5" t="s">
        <v>2378</v>
      </c>
      <c r="B88" s="5" t="s">
        <v>48</v>
      </c>
      <c r="C88" s="5" t="s">
        <v>165</v>
      </c>
      <c r="D88" s="5">
        <v>1</v>
      </c>
      <c r="E88" s="5">
        <v>2</v>
      </c>
      <c r="F88" s="5">
        <v>50</v>
      </c>
      <c r="G88" s="5">
        <v>0</v>
      </c>
      <c r="H88" s="5">
        <v>0</v>
      </c>
      <c r="I88" s="5">
        <v>0</v>
      </c>
      <c r="J88" s="5">
        <v>6.5</v>
      </c>
      <c r="K88" s="6">
        <f>E88/(VLOOKUP(B88,'[1]2022 Team'!$B$2:$G$33,2,FALSE))</f>
        <v>2.976190476190476E-3</v>
      </c>
    </row>
    <row r="89" spans="1:11" x14ac:dyDescent="0.25">
      <c r="A89" s="5" t="s">
        <v>135</v>
      </c>
      <c r="B89" s="5" t="s">
        <v>62</v>
      </c>
      <c r="C89" s="5" t="s">
        <v>82</v>
      </c>
      <c r="D89" s="5">
        <v>1</v>
      </c>
      <c r="E89" s="5">
        <v>2</v>
      </c>
      <c r="F89" s="5">
        <v>50</v>
      </c>
      <c r="G89" s="5">
        <v>0</v>
      </c>
      <c r="H89" s="5">
        <v>0</v>
      </c>
      <c r="I89" s="5">
        <v>0</v>
      </c>
      <c r="J89" s="5">
        <v>5</v>
      </c>
      <c r="K89" s="6">
        <f>E89/(VLOOKUP(B89,'[1]2022 Team'!$B$2:$G$33,2,FALSE))</f>
        <v>3.90625E-3</v>
      </c>
    </row>
    <row r="90" spans="1:11" x14ac:dyDescent="0.25">
      <c r="A90" s="5" t="s">
        <v>1566</v>
      </c>
      <c r="B90" s="5" t="s">
        <v>14</v>
      </c>
      <c r="C90" s="5" t="s">
        <v>82</v>
      </c>
      <c r="D90" s="5">
        <v>2</v>
      </c>
      <c r="E90" s="5">
        <v>7</v>
      </c>
      <c r="F90" s="5">
        <v>28.6</v>
      </c>
      <c r="G90" s="5">
        <v>0</v>
      </c>
      <c r="H90" s="5">
        <v>0</v>
      </c>
      <c r="I90" s="5">
        <v>0</v>
      </c>
      <c r="J90" s="5">
        <v>1.1000000000000001</v>
      </c>
      <c r="K90" s="6">
        <f>E90/(VLOOKUP(B90,'[1]2022 Team'!$B$2:$G$33,2,FALSE))</f>
        <v>1.2195121951219513E-2</v>
      </c>
    </row>
    <row r="91" spans="1:11" x14ac:dyDescent="0.25">
      <c r="A91" s="5" t="s">
        <v>2081</v>
      </c>
      <c r="B91" s="5" t="s">
        <v>28</v>
      </c>
      <c r="C91" s="5" t="s">
        <v>165</v>
      </c>
      <c r="D91" s="5">
        <v>1</v>
      </c>
      <c r="E91" s="5">
        <v>1</v>
      </c>
      <c r="F91" s="5">
        <v>100</v>
      </c>
      <c r="G91" s="5">
        <v>0</v>
      </c>
      <c r="H91" s="5">
        <v>0</v>
      </c>
      <c r="I91" s="5">
        <v>0</v>
      </c>
      <c r="J91" s="5">
        <v>6</v>
      </c>
      <c r="K91" s="6">
        <f>E91/(VLOOKUP(B91,'[1]2022 Team'!$B$2:$G$33,2,FALSE))</f>
        <v>1.7006802721088435E-3</v>
      </c>
    </row>
    <row r="92" spans="1:11" x14ac:dyDescent="0.25">
      <c r="A92" s="5" t="s">
        <v>560</v>
      </c>
      <c r="B92" s="5" t="s">
        <v>60</v>
      </c>
      <c r="C92" s="5" t="s">
        <v>159</v>
      </c>
      <c r="D92" s="5">
        <v>1</v>
      </c>
      <c r="E92" s="5">
        <v>1</v>
      </c>
      <c r="F92" s="5">
        <v>100</v>
      </c>
      <c r="G92" s="5">
        <v>0</v>
      </c>
      <c r="H92" s="5">
        <v>0</v>
      </c>
      <c r="I92" s="5">
        <v>0</v>
      </c>
      <c r="J92" s="5">
        <v>4</v>
      </c>
      <c r="K92" s="6">
        <f>E92/(VLOOKUP(B92,'[1]2022 Team'!$B$2:$G$33,2,FALSE))</f>
        <v>1.7513134851138354E-3</v>
      </c>
    </row>
    <row r="93" spans="1:11" x14ac:dyDescent="0.25">
      <c r="A93" s="5" t="s">
        <v>166</v>
      </c>
      <c r="B93" s="5" t="s">
        <v>68</v>
      </c>
      <c r="C93" s="5" t="s">
        <v>159</v>
      </c>
      <c r="D93" s="5">
        <v>2</v>
      </c>
      <c r="E93" s="5">
        <v>2</v>
      </c>
      <c r="F93" s="5">
        <v>100</v>
      </c>
      <c r="G93" s="5">
        <v>0</v>
      </c>
      <c r="H93" s="5">
        <v>50</v>
      </c>
      <c r="I93" s="5">
        <v>0</v>
      </c>
      <c r="J93" s="5">
        <v>2</v>
      </c>
      <c r="K93" s="6">
        <f>E93/(VLOOKUP(B93,'[1]2022 Team'!$B$2:$G$33,2,FALSE))</f>
        <v>4.3859649122807015E-3</v>
      </c>
    </row>
    <row r="94" spans="1:11" x14ac:dyDescent="0.25">
      <c r="A94" s="5" t="s">
        <v>748</v>
      </c>
      <c r="B94" s="5" t="s">
        <v>40</v>
      </c>
      <c r="C94" s="5" t="s">
        <v>163</v>
      </c>
      <c r="D94" s="5">
        <v>1</v>
      </c>
      <c r="E94" s="5">
        <v>1</v>
      </c>
      <c r="F94" s="5">
        <v>100</v>
      </c>
      <c r="G94" s="5">
        <v>0</v>
      </c>
      <c r="H94" s="5">
        <v>0</v>
      </c>
      <c r="I94" s="5">
        <v>0</v>
      </c>
      <c r="J94" s="5">
        <v>4</v>
      </c>
      <c r="K94" s="6">
        <f>E94/(VLOOKUP(B94,'[1]2022 Team'!$B$2:$G$33,2,FALSE))</f>
        <v>1.7064846416382253E-3</v>
      </c>
    </row>
    <row r="95" spans="1:11" x14ac:dyDescent="0.25">
      <c r="A95" s="5" t="s">
        <v>2379</v>
      </c>
      <c r="B95" s="5" t="s">
        <v>8</v>
      </c>
      <c r="C95" s="5" t="s">
        <v>165</v>
      </c>
      <c r="D95" s="5">
        <v>1</v>
      </c>
      <c r="E95" s="5">
        <v>1</v>
      </c>
      <c r="F95" s="5">
        <v>100</v>
      </c>
      <c r="G95" s="5">
        <v>0</v>
      </c>
      <c r="H95" s="5">
        <v>0</v>
      </c>
      <c r="I95" s="5">
        <v>0</v>
      </c>
      <c r="J95" s="5">
        <v>4</v>
      </c>
      <c r="K95" s="6">
        <f>E95/(VLOOKUP(B95,'[1]2022 Team'!$B$2:$G$33,2,FALSE))</f>
        <v>1.5060240963855422E-3</v>
      </c>
    </row>
    <row r="96" spans="1:11" x14ac:dyDescent="0.25">
      <c r="A96" s="5" t="s">
        <v>885</v>
      </c>
      <c r="B96" s="5" t="s">
        <v>56</v>
      </c>
      <c r="C96" s="5" t="s">
        <v>163</v>
      </c>
      <c r="D96" s="5">
        <v>1</v>
      </c>
      <c r="E96" s="5">
        <v>1</v>
      </c>
      <c r="F96" s="5">
        <v>100</v>
      </c>
      <c r="G96" s="5">
        <v>0</v>
      </c>
      <c r="H96" s="5">
        <v>100</v>
      </c>
      <c r="I96" s="5">
        <v>0</v>
      </c>
      <c r="J96" s="5">
        <v>2</v>
      </c>
      <c r="K96" s="6">
        <f>E96/(VLOOKUP(B96,'[1]2022 Team'!$B$2:$G$33,2,FALSE))</f>
        <v>1.594896331738437E-3</v>
      </c>
    </row>
    <row r="97" spans="1:11" x14ac:dyDescent="0.25">
      <c r="A97" s="5" t="s">
        <v>1783</v>
      </c>
      <c r="B97" s="5" t="s">
        <v>60</v>
      </c>
      <c r="C97" s="5" t="s">
        <v>163</v>
      </c>
      <c r="D97" s="5">
        <v>1</v>
      </c>
      <c r="E97" s="5">
        <v>1</v>
      </c>
      <c r="F97" s="5">
        <v>100</v>
      </c>
      <c r="G97" s="5">
        <v>0</v>
      </c>
      <c r="H97" s="5">
        <v>100</v>
      </c>
      <c r="I97" s="5">
        <v>0</v>
      </c>
      <c r="J97" s="5">
        <v>1</v>
      </c>
      <c r="K97" s="6">
        <f>E97/(VLOOKUP(B97,'[1]2022 Team'!$B$2:$G$33,2,FALSE))</f>
        <v>1.7513134851138354E-3</v>
      </c>
    </row>
    <row r="98" spans="1:11" x14ac:dyDescent="0.25">
      <c r="A98" s="5" t="s">
        <v>924</v>
      </c>
      <c r="B98" s="5" t="s">
        <v>40</v>
      </c>
      <c r="C98" s="5" t="s">
        <v>163</v>
      </c>
      <c r="D98" s="5">
        <v>0</v>
      </c>
      <c r="E98" s="5">
        <v>0</v>
      </c>
      <c r="F98" s="5"/>
      <c r="G98" s="5">
        <v>10</v>
      </c>
      <c r="H98" s="5"/>
      <c r="I98" s="5"/>
      <c r="J98" s="5"/>
      <c r="K98" s="6">
        <f>E98/(VLOOKUP(B98,'[1]2022 Team'!$B$2:$G$33,2,FALSE))</f>
        <v>0</v>
      </c>
    </row>
    <row r="99" spans="1:11" x14ac:dyDescent="0.25">
      <c r="A99" s="5" t="s">
        <v>2380</v>
      </c>
      <c r="B99" s="5" t="s">
        <v>32</v>
      </c>
      <c r="C99" s="5" t="s">
        <v>159</v>
      </c>
      <c r="D99" s="5">
        <v>0</v>
      </c>
      <c r="E99" s="5">
        <v>1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6">
        <f>E99/(VLOOKUP(B99,'[1]2022 Team'!$B$2:$G$33,2,FALSE))</f>
        <v>1.7271157167530224E-3</v>
      </c>
    </row>
    <row r="100" spans="1:11" x14ac:dyDescent="0.25">
      <c r="A100" s="5" t="s">
        <v>1780</v>
      </c>
      <c r="B100" s="5" t="s">
        <v>54</v>
      </c>
      <c r="C100" s="5" t="s">
        <v>163</v>
      </c>
      <c r="D100" s="5">
        <v>0</v>
      </c>
      <c r="E100" s="5">
        <v>0</v>
      </c>
      <c r="F100" s="5"/>
      <c r="G100" s="5">
        <v>2</v>
      </c>
      <c r="H100" s="5"/>
      <c r="I100" s="5"/>
      <c r="J100" s="5"/>
      <c r="K100" s="6">
        <f>E100/(VLOOKUP(B100,'[1]2022 Team'!$B$2:$G$33,2,FALSE))</f>
        <v>0</v>
      </c>
    </row>
    <row r="101" spans="1:11" x14ac:dyDescent="0.25">
      <c r="A101" s="5" t="s">
        <v>693</v>
      </c>
      <c r="B101" s="5" t="s">
        <v>20</v>
      </c>
      <c r="C101" s="5" t="s">
        <v>163</v>
      </c>
      <c r="D101" s="5">
        <v>0</v>
      </c>
      <c r="E101" s="5">
        <v>0</v>
      </c>
      <c r="F101" s="5"/>
      <c r="G101" s="5">
        <v>9</v>
      </c>
      <c r="H101" s="5"/>
      <c r="I101" s="5"/>
      <c r="J101" s="5"/>
      <c r="K101" s="6">
        <f>E101/(VLOOKUP(B101,'[1]2022 Team'!$B$2:$G$33,2,FALSE))</f>
        <v>0</v>
      </c>
    </row>
    <row r="102" spans="1:11" x14ac:dyDescent="0.25">
      <c r="A102" s="5" t="s">
        <v>1669</v>
      </c>
      <c r="B102" s="5" t="s">
        <v>48</v>
      </c>
      <c r="C102" s="5" t="s">
        <v>159</v>
      </c>
      <c r="D102" s="5">
        <v>0</v>
      </c>
      <c r="E102" s="5">
        <v>0</v>
      </c>
      <c r="F102" s="5"/>
      <c r="G102" s="5">
        <v>5</v>
      </c>
      <c r="H102" s="5"/>
      <c r="I102" s="5"/>
      <c r="J102" s="5"/>
      <c r="K102" s="6">
        <f>E102/(VLOOKUP(B102,'[1]2022 Team'!$B$2:$G$33,2,FALSE))</f>
        <v>0</v>
      </c>
    </row>
    <row r="103" spans="1:11" x14ac:dyDescent="0.25">
      <c r="A103" s="5" t="s">
        <v>1787</v>
      </c>
      <c r="B103" s="5" t="s">
        <v>22</v>
      </c>
      <c r="C103" s="5" t="s">
        <v>163</v>
      </c>
      <c r="D103" s="5">
        <v>0</v>
      </c>
      <c r="E103" s="5">
        <v>1</v>
      </c>
      <c r="F103" s="5">
        <v>0</v>
      </c>
      <c r="G103" s="5">
        <v>0</v>
      </c>
      <c r="H103" s="5">
        <v>0</v>
      </c>
      <c r="I103" s="5">
        <v>100</v>
      </c>
      <c r="J103" s="5">
        <v>0</v>
      </c>
      <c r="K103" s="6">
        <f>E103/(VLOOKUP(B103,'[1]2022 Team'!$B$2:$G$33,2,FALSE))</f>
        <v>1.8518518518518519E-3</v>
      </c>
    </row>
    <row r="104" spans="1:11" x14ac:dyDescent="0.25">
      <c r="A104" s="5" t="s">
        <v>710</v>
      </c>
      <c r="B104" s="5" t="s">
        <v>64</v>
      </c>
      <c r="C104" s="5" t="s">
        <v>159</v>
      </c>
      <c r="D104" s="5">
        <v>0</v>
      </c>
      <c r="E104" s="5">
        <v>1</v>
      </c>
      <c r="F104" s="5">
        <v>0</v>
      </c>
      <c r="G104" s="5">
        <v>0</v>
      </c>
      <c r="H104" s="5">
        <v>0</v>
      </c>
      <c r="I104" s="5">
        <v>100</v>
      </c>
      <c r="J104" s="5">
        <v>0</v>
      </c>
      <c r="K104" s="6">
        <f>E104/(VLOOKUP(B104,'[1]2022 Team'!$B$2:$G$33,2,FALSE))</f>
        <v>1.7452006980802793E-3</v>
      </c>
    </row>
    <row r="105" spans="1:11" x14ac:dyDescent="0.25">
      <c r="A105" s="5" t="s">
        <v>1790</v>
      </c>
      <c r="B105" s="5" t="s">
        <v>32</v>
      </c>
      <c r="C105" s="5" t="s">
        <v>163</v>
      </c>
      <c r="D105" s="5">
        <v>0</v>
      </c>
      <c r="E105" s="5">
        <v>1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6">
        <f>E105/(VLOOKUP(B105,'[1]2022 Team'!$B$2:$G$33,2,FALSE))</f>
        <v>1.7271157167530224E-3</v>
      </c>
    </row>
    <row r="106" spans="1:11" x14ac:dyDescent="0.25">
      <c r="A106" s="5" t="s">
        <v>1704</v>
      </c>
      <c r="B106" s="5" t="s">
        <v>66</v>
      </c>
      <c r="C106" s="5" t="s">
        <v>159</v>
      </c>
      <c r="D106" s="5">
        <v>0</v>
      </c>
      <c r="E106" s="5">
        <v>1</v>
      </c>
      <c r="F106" s="5">
        <v>0</v>
      </c>
      <c r="G106" s="5">
        <v>0</v>
      </c>
      <c r="H106" s="5">
        <v>0</v>
      </c>
      <c r="I106" s="5">
        <v>100</v>
      </c>
      <c r="J106" s="5">
        <v>0</v>
      </c>
      <c r="K106" s="6">
        <f>E106/(VLOOKUP(B106,'[1]2022 Team'!$B$2:$G$33,2,FALSE))</f>
        <v>1.3315579227696406E-3</v>
      </c>
    </row>
    <row r="107" spans="1:11" x14ac:dyDescent="0.25">
      <c r="A107" s="5" t="s">
        <v>756</v>
      </c>
      <c r="B107" s="5" t="s">
        <v>54</v>
      </c>
      <c r="C107" s="5" t="s">
        <v>165</v>
      </c>
      <c r="D107" s="5">
        <v>0</v>
      </c>
      <c r="E107" s="5">
        <v>0</v>
      </c>
      <c r="F107" s="5"/>
      <c r="G107" s="5">
        <v>11</v>
      </c>
      <c r="H107" s="5"/>
      <c r="I107" s="5"/>
      <c r="J107" s="5"/>
      <c r="K107" s="6">
        <f>E107/(VLOOKUP(B107,'[1]2022 Team'!$B$2:$G$33,2,FALSE))</f>
        <v>0</v>
      </c>
    </row>
    <row r="108" spans="1:11" x14ac:dyDescent="0.25">
      <c r="A108" s="5" t="s">
        <v>2381</v>
      </c>
      <c r="B108" s="5" t="s">
        <v>38</v>
      </c>
      <c r="C108" s="5" t="s">
        <v>82</v>
      </c>
      <c r="D108" s="5">
        <v>0</v>
      </c>
      <c r="E108" s="5">
        <v>2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6">
        <f>E108/(VLOOKUP(B108,'[1]2022 Team'!$B$2:$G$33,2,FALSE))</f>
        <v>3.0721966205837174E-3</v>
      </c>
    </row>
    <row r="109" spans="1:11" x14ac:dyDescent="0.25">
      <c r="A109" s="5" t="s">
        <v>888</v>
      </c>
      <c r="B109" s="5" t="s">
        <v>36</v>
      </c>
      <c r="C109" s="5" t="s">
        <v>163</v>
      </c>
      <c r="D109" s="5">
        <v>0</v>
      </c>
      <c r="E109" s="5">
        <v>1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6">
        <f>E109/(VLOOKUP(B109,'[1]2022 Team'!$B$2:$G$33,2,FALSE))</f>
        <v>1.6778523489932886E-3</v>
      </c>
    </row>
    <row r="110" spans="1:11" x14ac:dyDescent="0.25">
      <c r="A110" s="5" t="s">
        <v>181</v>
      </c>
      <c r="B110" s="5" t="s">
        <v>44</v>
      </c>
      <c r="C110" s="5" t="s">
        <v>163</v>
      </c>
      <c r="D110" s="5">
        <v>0</v>
      </c>
      <c r="E110" s="5">
        <v>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6">
        <f>E110/(VLOOKUP(B110,'[1]2022 Team'!$B$2:$G$33,2,FALSE))</f>
        <v>1.8832391713747645E-3</v>
      </c>
    </row>
    <row r="111" spans="1:11" x14ac:dyDescent="0.25">
      <c r="A111" s="5" t="s">
        <v>1036</v>
      </c>
      <c r="B111" s="5" t="s">
        <v>12</v>
      </c>
      <c r="C111" s="5" t="s">
        <v>163</v>
      </c>
      <c r="D111" s="5">
        <v>0</v>
      </c>
      <c r="E111" s="5">
        <v>1</v>
      </c>
      <c r="F111" s="5">
        <v>0</v>
      </c>
      <c r="G111" s="5">
        <v>0</v>
      </c>
      <c r="H111" s="5">
        <v>0</v>
      </c>
      <c r="I111" s="5">
        <v>100</v>
      </c>
      <c r="J111" s="5">
        <v>0</v>
      </c>
      <c r="K111" s="6">
        <f>E111/(VLOOKUP(B111,'[1]2022 Team'!$B$2:$G$33,2,FALSE))</f>
        <v>2.0491803278688526E-3</v>
      </c>
    </row>
    <row r="112" spans="1:11" x14ac:dyDescent="0.25">
      <c r="A112" s="5" t="s">
        <v>2382</v>
      </c>
      <c r="B112" s="5" t="s">
        <v>28</v>
      </c>
      <c r="C112" s="5" t="s">
        <v>82</v>
      </c>
      <c r="D112" s="5">
        <v>0</v>
      </c>
      <c r="E112" s="5">
        <v>0</v>
      </c>
      <c r="F112" s="5"/>
      <c r="G112" s="5">
        <v>7</v>
      </c>
      <c r="H112" s="5"/>
      <c r="I112" s="5"/>
      <c r="J112" s="5"/>
      <c r="K112" s="6">
        <f>E112/(VLOOKUP(B112,'[1]2022 Team'!$B$2:$G$33,2,FALSE))</f>
        <v>0</v>
      </c>
    </row>
    <row r="113" spans="1:11" x14ac:dyDescent="0.25">
      <c r="A113" s="5" t="s">
        <v>1579</v>
      </c>
      <c r="B113" s="5" t="s">
        <v>38</v>
      </c>
      <c r="C113" s="5" t="s">
        <v>165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6">
        <f>E113/(VLOOKUP(B113,'[1]2022 Team'!$B$2:$G$33,2,FALSE))</f>
        <v>1.5360983102918587E-3</v>
      </c>
    </row>
    <row r="114" spans="1:11" x14ac:dyDescent="0.25">
      <c r="A114" s="5" t="s">
        <v>948</v>
      </c>
      <c r="B114" s="5" t="s">
        <v>46</v>
      </c>
      <c r="C114" s="5" t="s">
        <v>163</v>
      </c>
      <c r="D114" s="5">
        <v>0</v>
      </c>
      <c r="E114" s="5">
        <v>0</v>
      </c>
      <c r="F114" s="5"/>
      <c r="G114" s="5">
        <v>6</v>
      </c>
      <c r="H114" s="5"/>
      <c r="I114" s="5"/>
      <c r="J114" s="5"/>
      <c r="K114" s="6">
        <f>E114/(VLOOKUP(B114,'[1]2022 Team'!$B$2:$G$33,2,FALSE))</f>
        <v>0</v>
      </c>
    </row>
    <row r="115" spans="1:11" x14ac:dyDescent="0.25">
      <c r="A115" s="5" t="s">
        <v>986</v>
      </c>
      <c r="B115" s="5" t="s">
        <v>56</v>
      </c>
      <c r="C115" s="5" t="s">
        <v>163</v>
      </c>
      <c r="D115" s="5">
        <v>0</v>
      </c>
      <c r="E115" s="5">
        <v>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6">
        <f>E115/(VLOOKUP(B115,'[1]2022 Team'!$B$2:$G$33,2,FALSE))</f>
        <v>1.594896331738437E-3</v>
      </c>
    </row>
  </sheetData>
  <autoFilter ref="A1:K115" xr:uid="{7451306D-F9FC-4F40-94BF-158D3865F38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FEC6-4982-4CEF-9D2F-1225FE4B9E33}">
  <dimension ref="A1:K121"/>
  <sheetViews>
    <sheetView workbookViewId="0">
      <selection activeCell="A46" sqref="A46:XFD46"/>
    </sheetView>
  </sheetViews>
  <sheetFormatPr defaultRowHeight="15" x14ac:dyDescent="0.25"/>
  <sheetData>
    <row r="1" spans="1:11" x14ac:dyDescent="0.25">
      <c r="A1" t="s">
        <v>71</v>
      </c>
      <c r="B1" t="s">
        <v>0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 s="5" t="s">
        <v>2364</v>
      </c>
      <c r="B2" s="5" t="s">
        <v>66</v>
      </c>
      <c r="C2" s="5" t="s">
        <v>82</v>
      </c>
      <c r="D2" s="5">
        <v>485</v>
      </c>
      <c r="E2" s="5">
        <v>719</v>
      </c>
      <c r="F2" s="5">
        <v>67.5</v>
      </c>
      <c r="G2" s="5">
        <v>144</v>
      </c>
      <c r="H2" s="5">
        <v>6</v>
      </c>
      <c r="I2" s="5">
        <v>1.7</v>
      </c>
      <c r="J2" s="5">
        <v>7.4</v>
      </c>
      <c r="K2" s="6">
        <f>E2/(VLOOKUP(B2,'[1]2021 Team'!$B$2:$G$33,2,FALSE))</f>
        <v>0.98358413132694933</v>
      </c>
    </row>
    <row r="3" spans="1:11" x14ac:dyDescent="0.25">
      <c r="A3" s="5" t="s">
        <v>90</v>
      </c>
      <c r="B3" s="5" t="s">
        <v>42</v>
      </c>
      <c r="C3" s="5" t="s">
        <v>82</v>
      </c>
      <c r="D3" s="5">
        <v>443</v>
      </c>
      <c r="E3" s="5">
        <v>672</v>
      </c>
      <c r="F3" s="5">
        <v>65.900000000000006</v>
      </c>
      <c r="G3" s="5">
        <v>214</v>
      </c>
      <c r="H3" s="5">
        <v>5.7</v>
      </c>
      <c r="I3" s="5">
        <v>2.2000000000000002</v>
      </c>
      <c r="J3" s="5">
        <v>7.5</v>
      </c>
      <c r="K3" s="6">
        <f>E3/(VLOOKUP(B3,'[1]2021 Team'!$B$2:$G$33,2,FALSE))</f>
        <v>0.9970326409495549</v>
      </c>
    </row>
    <row r="4" spans="1:11" x14ac:dyDescent="0.25">
      <c r="A4" s="5" t="s">
        <v>84</v>
      </c>
      <c r="B4" s="5" t="s">
        <v>44</v>
      </c>
      <c r="C4" s="5" t="s">
        <v>82</v>
      </c>
      <c r="D4" s="5">
        <v>404</v>
      </c>
      <c r="E4" s="5">
        <v>601</v>
      </c>
      <c r="F4" s="5">
        <v>67.2</v>
      </c>
      <c r="G4" s="5">
        <v>243</v>
      </c>
      <c r="H4" s="5">
        <v>6.8</v>
      </c>
      <c r="I4" s="5">
        <v>2.8</v>
      </c>
      <c r="J4" s="5">
        <v>8.1</v>
      </c>
      <c r="K4" s="6">
        <f>E4/(VLOOKUP(B4,'[1]2021 Team'!$B$2:$G$33,2,FALSE))</f>
        <v>0.99011532125205926</v>
      </c>
    </row>
    <row r="5" spans="1:11" x14ac:dyDescent="0.25">
      <c r="A5" s="5" t="s">
        <v>91</v>
      </c>
      <c r="B5" s="5" t="s">
        <v>38</v>
      </c>
      <c r="C5" s="5" t="s">
        <v>82</v>
      </c>
      <c r="D5" s="5">
        <v>436</v>
      </c>
      <c r="E5" s="5">
        <v>658</v>
      </c>
      <c r="F5" s="5">
        <v>66.3</v>
      </c>
      <c r="G5" s="5">
        <v>146</v>
      </c>
      <c r="H5" s="5">
        <v>5.6</v>
      </c>
      <c r="I5" s="5">
        <v>2</v>
      </c>
      <c r="J5" s="5">
        <v>7.4</v>
      </c>
      <c r="K5" s="6">
        <f>E5/(VLOOKUP(B5,'[1]2021 Team'!$B$2:$G$33,2,FALSE))</f>
        <v>0.9748148148148148</v>
      </c>
    </row>
    <row r="6" spans="1:11" x14ac:dyDescent="0.25">
      <c r="A6" s="5" t="s">
        <v>1552</v>
      </c>
      <c r="B6" s="5" t="s">
        <v>40</v>
      </c>
      <c r="C6" s="5" t="s">
        <v>82</v>
      </c>
      <c r="D6" s="5">
        <v>428</v>
      </c>
      <c r="E6" s="5">
        <v>626</v>
      </c>
      <c r="F6" s="5">
        <v>68.400000000000006</v>
      </c>
      <c r="G6" s="5">
        <v>241</v>
      </c>
      <c r="H6" s="5">
        <v>3.7</v>
      </c>
      <c r="I6" s="5">
        <v>2.2000000000000002</v>
      </c>
      <c r="J6" s="5">
        <v>7.7</v>
      </c>
      <c r="K6" s="6">
        <f>E6/(VLOOKUP(B6,'[1]2021 Team'!$B$2:$G$33,2,FALSE))</f>
        <v>0.99681528662420382</v>
      </c>
    </row>
    <row r="7" spans="1:11" x14ac:dyDescent="0.25">
      <c r="A7" s="5" t="s">
        <v>111</v>
      </c>
      <c r="B7" s="5" t="s">
        <v>20</v>
      </c>
      <c r="C7" s="5" t="s">
        <v>82</v>
      </c>
      <c r="D7" s="5">
        <v>366</v>
      </c>
      <c r="E7" s="5">
        <v>520</v>
      </c>
      <c r="F7" s="5">
        <v>70.400000000000006</v>
      </c>
      <c r="G7" s="5">
        <v>370</v>
      </c>
      <c r="H7" s="5">
        <v>6.5</v>
      </c>
      <c r="I7" s="5">
        <v>2.7</v>
      </c>
      <c r="J7" s="5">
        <v>8.9</v>
      </c>
      <c r="K7" s="6">
        <f>E7/(VLOOKUP(B7,'[1]2021 Team'!$B$2:$G$33,2,FALSE))</f>
        <v>0.93693693693693691</v>
      </c>
    </row>
    <row r="8" spans="1:11" x14ac:dyDescent="0.25">
      <c r="A8" s="5" t="s">
        <v>83</v>
      </c>
      <c r="B8" s="5" t="s">
        <v>24</v>
      </c>
      <c r="C8" s="5" t="s">
        <v>82</v>
      </c>
      <c r="D8" s="5">
        <v>410</v>
      </c>
      <c r="E8" s="5">
        <v>596</v>
      </c>
      <c r="F8" s="5">
        <v>68.8</v>
      </c>
      <c r="G8" s="5">
        <v>144</v>
      </c>
      <c r="H8" s="5">
        <v>6.2</v>
      </c>
      <c r="I8" s="5">
        <v>1.7</v>
      </c>
      <c r="J8" s="5">
        <v>7.5</v>
      </c>
      <c r="K8" s="6">
        <f>E8/(VLOOKUP(B8,'[1]2021 Team'!$B$2:$G$33,2,FALSE))</f>
        <v>0.92117465224111283</v>
      </c>
    </row>
    <row r="9" spans="1:11" x14ac:dyDescent="0.25">
      <c r="A9" s="5" t="s">
        <v>97</v>
      </c>
      <c r="B9" s="5" t="s">
        <v>14</v>
      </c>
      <c r="C9" s="5" t="s">
        <v>82</v>
      </c>
      <c r="D9" s="5">
        <v>409</v>
      </c>
      <c r="E9" s="5">
        <v>646</v>
      </c>
      <c r="F9" s="5">
        <v>63.3</v>
      </c>
      <c r="G9" s="5">
        <v>164</v>
      </c>
      <c r="H9" s="5">
        <v>5.6</v>
      </c>
      <c r="I9" s="5">
        <v>2.2999999999999998</v>
      </c>
      <c r="J9" s="5">
        <v>6.8</v>
      </c>
      <c r="K9" s="6">
        <f>E9/(VLOOKUP(B9,'[1]2021 Team'!$B$2:$G$33,2,FALSE))</f>
        <v>0.98625954198473287</v>
      </c>
    </row>
    <row r="10" spans="1:11" x14ac:dyDescent="0.25">
      <c r="A10" s="5" t="s">
        <v>110</v>
      </c>
      <c r="B10" s="5" t="s">
        <v>48</v>
      </c>
      <c r="C10" s="5" t="s">
        <v>82</v>
      </c>
      <c r="D10" s="5">
        <v>372</v>
      </c>
      <c r="E10" s="5">
        <v>561</v>
      </c>
      <c r="F10" s="5">
        <v>66.3</v>
      </c>
      <c r="G10" s="5">
        <v>197</v>
      </c>
      <c r="H10" s="5">
        <v>5.9</v>
      </c>
      <c r="I10" s="5">
        <v>1.2</v>
      </c>
      <c r="J10" s="5">
        <v>7.5</v>
      </c>
      <c r="K10" s="6">
        <f>E10/(VLOOKUP(B10,'[1]2021 Team'!$B$2:$G$33,2,FALSE))</f>
        <v>0.92880794701986757</v>
      </c>
    </row>
    <row r="11" spans="1:11" x14ac:dyDescent="0.25">
      <c r="A11" s="5" t="s">
        <v>92</v>
      </c>
      <c r="B11" s="5" t="s">
        <v>30</v>
      </c>
      <c r="C11" s="5" t="s">
        <v>82</v>
      </c>
      <c r="D11" s="5">
        <v>366</v>
      </c>
      <c r="E11" s="5">
        <v>531</v>
      </c>
      <c r="F11" s="5">
        <v>68.900000000000006</v>
      </c>
      <c r="G11" s="5">
        <v>188</v>
      </c>
      <c r="H11" s="5">
        <v>7</v>
      </c>
      <c r="I11" s="5">
        <v>0.8</v>
      </c>
      <c r="J11" s="5">
        <v>7.7</v>
      </c>
      <c r="K11" s="6">
        <f>E11/(VLOOKUP(B11,'[1]2021 Team'!$B$2:$G$33,2,FALSE))</f>
        <v>0.89544688026981445</v>
      </c>
    </row>
    <row r="12" spans="1:11" x14ac:dyDescent="0.25">
      <c r="A12" s="5" t="s">
        <v>2365</v>
      </c>
      <c r="B12" s="5" t="s">
        <v>10</v>
      </c>
      <c r="C12" s="5" t="s">
        <v>82</v>
      </c>
      <c r="D12" s="5">
        <v>375</v>
      </c>
      <c r="E12" s="5">
        <v>560</v>
      </c>
      <c r="F12" s="5">
        <v>67</v>
      </c>
      <c r="G12" s="5">
        <v>274</v>
      </c>
      <c r="H12" s="5">
        <v>3.6</v>
      </c>
      <c r="I12" s="5">
        <v>2.1</v>
      </c>
      <c r="J12" s="5">
        <v>7.1</v>
      </c>
      <c r="K12" s="6">
        <f>E12/(VLOOKUP(B12,'[1]2021 Team'!$B$2:$G$33,2,FALSE))</f>
        <v>0.97731239092495636</v>
      </c>
    </row>
    <row r="13" spans="1:11" x14ac:dyDescent="0.25">
      <c r="A13" s="5" t="s">
        <v>617</v>
      </c>
      <c r="B13" s="5" t="s">
        <v>62</v>
      </c>
      <c r="C13" s="5" t="s">
        <v>82</v>
      </c>
      <c r="D13" s="5">
        <v>301</v>
      </c>
      <c r="E13" s="5">
        <v>441</v>
      </c>
      <c r="F13" s="5">
        <v>68.3</v>
      </c>
      <c r="G13" s="5">
        <v>201</v>
      </c>
      <c r="H13" s="5">
        <v>4.5</v>
      </c>
      <c r="I13" s="5">
        <v>2.7</v>
      </c>
      <c r="J13" s="5">
        <v>8.6</v>
      </c>
      <c r="K13" s="6">
        <f>E13/(VLOOKUP(B13,'[1]2021 Team'!$B$2:$G$33,2,FALSE))</f>
        <v>0.857976653696498</v>
      </c>
    </row>
    <row r="14" spans="1:11" x14ac:dyDescent="0.25">
      <c r="A14" s="5" t="s">
        <v>107</v>
      </c>
      <c r="B14" s="5" t="s">
        <v>50</v>
      </c>
      <c r="C14" s="5" t="s">
        <v>82</v>
      </c>
      <c r="D14" s="5">
        <v>352</v>
      </c>
      <c r="E14" s="5">
        <v>521</v>
      </c>
      <c r="F14" s="5">
        <v>67.599999999999994</v>
      </c>
      <c r="G14" s="5">
        <v>241</v>
      </c>
      <c r="H14" s="5">
        <v>4.2</v>
      </c>
      <c r="I14" s="5">
        <v>2.5</v>
      </c>
      <c r="J14" s="5">
        <v>7.3</v>
      </c>
      <c r="K14" s="6">
        <f>E14/(VLOOKUP(B14,'[1]2021 Team'!$B$2:$G$33,2,FALSE))</f>
        <v>0.9738317757009346</v>
      </c>
    </row>
    <row r="15" spans="1:11" x14ac:dyDescent="0.25">
      <c r="A15" s="5" t="s">
        <v>121</v>
      </c>
      <c r="B15" s="5" t="s">
        <v>8</v>
      </c>
      <c r="C15" s="5" t="s">
        <v>82</v>
      </c>
      <c r="D15" s="5">
        <v>333</v>
      </c>
      <c r="E15" s="5">
        <v>481</v>
      </c>
      <c r="F15" s="5">
        <v>69.2</v>
      </c>
      <c r="G15" s="5">
        <v>286</v>
      </c>
      <c r="H15" s="5">
        <v>5</v>
      </c>
      <c r="I15" s="5">
        <v>2.1</v>
      </c>
      <c r="J15" s="5">
        <v>7.9</v>
      </c>
      <c r="K15" s="6">
        <f>E15/(VLOOKUP(B15,'[1]2021 Team'!$B$2:$G$33,2,FALSE))</f>
        <v>0.81387478849407779</v>
      </c>
    </row>
    <row r="16" spans="1:11" x14ac:dyDescent="0.25">
      <c r="A16" s="5" t="s">
        <v>2383</v>
      </c>
      <c r="B16" s="5" t="s">
        <v>60</v>
      </c>
      <c r="C16" s="5" t="s">
        <v>82</v>
      </c>
      <c r="D16" s="5">
        <v>390</v>
      </c>
      <c r="E16" s="5">
        <v>605</v>
      </c>
      <c r="F16" s="5">
        <v>64.5</v>
      </c>
      <c r="G16" s="5">
        <v>239</v>
      </c>
      <c r="H16" s="5">
        <v>3.6</v>
      </c>
      <c r="I16" s="5">
        <v>1.7</v>
      </c>
      <c r="J16" s="5">
        <v>6.2</v>
      </c>
      <c r="K16" s="6">
        <f>E16/(VLOOKUP(B16,'[1]2021 Team'!$B$2:$G$33,2,FALSE))</f>
        <v>0.91114457831325302</v>
      </c>
    </row>
    <row r="17" spans="1:11" x14ac:dyDescent="0.25">
      <c r="A17" s="5" t="s">
        <v>1555</v>
      </c>
      <c r="B17" s="5" t="s">
        <v>68</v>
      </c>
      <c r="C17" s="5" t="s">
        <v>82</v>
      </c>
      <c r="D17" s="5">
        <v>357</v>
      </c>
      <c r="E17" s="5">
        <v>531</v>
      </c>
      <c r="F17" s="5">
        <v>67.2</v>
      </c>
      <c r="G17" s="5">
        <v>327</v>
      </c>
      <c r="H17" s="5">
        <v>4</v>
      </c>
      <c r="I17" s="5">
        <v>2.6</v>
      </c>
      <c r="J17" s="5">
        <v>7</v>
      </c>
      <c r="K17" s="6">
        <f>E17/(VLOOKUP(B17,'[1]2021 Team'!$B$2:$G$33,2,FALSE))</f>
        <v>0.99252336448598133</v>
      </c>
    </row>
    <row r="18" spans="1:11" x14ac:dyDescent="0.25">
      <c r="A18" s="5" t="s">
        <v>87</v>
      </c>
      <c r="B18" s="5" t="s">
        <v>36</v>
      </c>
      <c r="C18" s="5" t="s">
        <v>82</v>
      </c>
      <c r="D18" s="5">
        <v>359</v>
      </c>
      <c r="E18" s="5">
        <v>602</v>
      </c>
      <c r="F18" s="5">
        <v>59.6</v>
      </c>
      <c r="G18" s="5">
        <v>238</v>
      </c>
      <c r="H18" s="5">
        <v>2</v>
      </c>
      <c r="I18" s="5">
        <v>2.8</v>
      </c>
      <c r="J18" s="5">
        <v>6</v>
      </c>
      <c r="K18" s="6">
        <f>E18/(VLOOKUP(B18,'[1]2021 Team'!$B$2:$G$33,2,FALSE))</f>
        <v>0.99668874172185429</v>
      </c>
    </row>
    <row r="19" spans="1:11" x14ac:dyDescent="0.25">
      <c r="A19" s="5" t="s">
        <v>120</v>
      </c>
      <c r="B19" s="5" t="s">
        <v>34</v>
      </c>
      <c r="C19" s="5" t="s">
        <v>82</v>
      </c>
      <c r="D19" s="5">
        <v>322</v>
      </c>
      <c r="E19" s="5">
        <v>516</v>
      </c>
      <c r="F19" s="5">
        <v>62.4</v>
      </c>
      <c r="G19" s="5">
        <v>227</v>
      </c>
      <c r="H19" s="5">
        <v>5.2</v>
      </c>
      <c r="I19" s="5">
        <v>1.4</v>
      </c>
      <c r="J19" s="5">
        <v>6.9</v>
      </c>
      <c r="K19" s="6">
        <f>E19/(VLOOKUP(B19,'[1]2021 Team'!$B$2:$G$33,2,FALSE))</f>
        <v>0.99040307101727443</v>
      </c>
    </row>
    <row r="20" spans="1:11" x14ac:dyDescent="0.25">
      <c r="A20" s="5" t="s">
        <v>1560</v>
      </c>
      <c r="B20" s="5" t="s">
        <v>70</v>
      </c>
      <c r="C20" s="5" t="s">
        <v>82</v>
      </c>
      <c r="D20" s="5">
        <v>321</v>
      </c>
      <c r="E20" s="5">
        <v>494</v>
      </c>
      <c r="F20" s="5">
        <v>65</v>
      </c>
      <c r="G20" s="5">
        <v>278</v>
      </c>
      <c r="H20" s="5">
        <v>4</v>
      </c>
      <c r="I20" s="5">
        <v>3</v>
      </c>
      <c r="J20" s="5">
        <v>6.9</v>
      </c>
      <c r="K20" s="6">
        <f>E20/(VLOOKUP(B20,'[1]2021 Team'!$B$2:$G$33,2,FALSE))</f>
        <v>0.89818181818181819</v>
      </c>
    </row>
    <row r="21" spans="1:11" x14ac:dyDescent="0.25">
      <c r="A21" s="5" t="s">
        <v>85</v>
      </c>
      <c r="B21" s="5" t="s">
        <v>28</v>
      </c>
      <c r="C21" s="5" t="s">
        <v>82</v>
      </c>
      <c r="D21" s="5">
        <v>332</v>
      </c>
      <c r="E21" s="5">
        <v>494</v>
      </c>
      <c r="F21" s="5">
        <v>67.2</v>
      </c>
      <c r="G21" s="5">
        <v>280</v>
      </c>
      <c r="H21" s="5">
        <v>3.8</v>
      </c>
      <c r="I21" s="5">
        <v>1.6</v>
      </c>
      <c r="J21" s="5">
        <v>6.6</v>
      </c>
      <c r="K21" s="6">
        <f>E21/(VLOOKUP(B21,'[1]2021 Team'!$B$2:$G$33,2,FALSE))</f>
        <v>0.83305227655986513</v>
      </c>
    </row>
    <row r="22" spans="1:11" x14ac:dyDescent="0.25">
      <c r="A22" s="5" t="s">
        <v>98</v>
      </c>
      <c r="B22" s="5" t="s">
        <v>58</v>
      </c>
      <c r="C22" s="5" t="s">
        <v>82</v>
      </c>
      <c r="D22" s="5">
        <v>265</v>
      </c>
      <c r="E22" s="5">
        <v>432</v>
      </c>
      <c r="F22" s="5">
        <v>61.3</v>
      </c>
      <c r="G22" s="5">
        <v>150</v>
      </c>
      <c r="H22" s="5">
        <v>3.7</v>
      </c>
      <c r="I22" s="5">
        <v>2.1</v>
      </c>
      <c r="J22" s="5">
        <v>7.3</v>
      </c>
      <c r="K22" s="6">
        <f>E22/(VLOOKUP(B22,'[1]2021 Team'!$B$2:$G$33,2,FALSE))</f>
        <v>0.87449392712550611</v>
      </c>
    </row>
    <row r="23" spans="1:11" x14ac:dyDescent="0.25">
      <c r="A23" s="5" t="s">
        <v>126</v>
      </c>
      <c r="B23" s="5" t="s">
        <v>64</v>
      </c>
      <c r="C23" s="5" t="s">
        <v>82</v>
      </c>
      <c r="D23" s="5">
        <v>259</v>
      </c>
      <c r="E23" s="5">
        <v>400</v>
      </c>
      <c r="F23" s="5">
        <v>64.8</v>
      </c>
      <c r="G23" s="5">
        <v>266</v>
      </c>
      <c r="H23" s="5">
        <v>6.3</v>
      </c>
      <c r="I23" s="5">
        <v>1.5</v>
      </c>
      <c r="J23" s="5">
        <v>7.8</v>
      </c>
      <c r="K23" s="6">
        <f>E23/(VLOOKUP(B23,'[1]2021 Team'!$B$2:$G$33,2,FALSE))</f>
        <v>0.80808080808080807</v>
      </c>
    </row>
    <row r="24" spans="1:11" x14ac:dyDescent="0.25">
      <c r="A24" s="5" t="s">
        <v>147</v>
      </c>
      <c r="B24" s="5" t="s">
        <v>26</v>
      </c>
      <c r="C24" s="5" t="s">
        <v>82</v>
      </c>
      <c r="D24" s="5">
        <v>285</v>
      </c>
      <c r="E24" s="5">
        <v>426</v>
      </c>
      <c r="F24" s="5">
        <v>66.900000000000006</v>
      </c>
      <c r="G24" s="5">
        <v>211</v>
      </c>
      <c r="H24" s="5">
        <v>4.2</v>
      </c>
      <c r="I24" s="5">
        <v>1.6</v>
      </c>
      <c r="J24" s="5">
        <v>7.2</v>
      </c>
      <c r="K24" s="6">
        <f>E24/(VLOOKUP(B24,'[1]2021 Team'!$B$2:$G$33,2,FALSE))</f>
        <v>0.78743068391866911</v>
      </c>
    </row>
    <row r="25" spans="1:11" x14ac:dyDescent="0.25">
      <c r="A25" s="5" t="s">
        <v>88</v>
      </c>
      <c r="B25" s="5" t="s">
        <v>22</v>
      </c>
      <c r="C25" s="5" t="s">
        <v>82</v>
      </c>
      <c r="D25" s="5">
        <v>253</v>
      </c>
      <c r="E25" s="5">
        <v>418</v>
      </c>
      <c r="F25" s="5">
        <v>60.5</v>
      </c>
      <c r="G25" s="5">
        <v>269</v>
      </c>
      <c r="H25" s="5">
        <v>4.0999999999999996</v>
      </c>
      <c r="I25" s="5">
        <v>3.1</v>
      </c>
      <c r="J25" s="5">
        <v>7.2</v>
      </c>
      <c r="K25" s="6">
        <f>E25/(VLOOKUP(B25,'[1]2021 Team'!$B$2:$G$33,2,FALSE))</f>
        <v>0.80384615384615388</v>
      </c>
    </row>
    <row r="26" spans="1:11" x14ac:dyDescent="0.25">
      <c r="A26" s="5" t="s">
        <v>106</v>
      </c>
      <c r="B26" s="5" t="s">
        <v>12</v>
      </c>
      <c r="C26" s="5" t="s">
        <v>82</v>
      </c>
      <c r="D26" s="5">
        <v>246</v>
      </c>
      <c r="E26" s="5">
        <v>382</v>
      </c>
      <c r="F26" s="5">
        <v>64.400000000000006</v>
      </c>
      <c r="G26" s="5">
        <v>190</v>
      </c>
      <c r="H26" s="5">
        <v>4.2</v>
      </c>
      <c r="I26" s="5">
        <v>3.4</v>
      </c>
      <c r="J26" s="5">
        <v>7.5</v>
      </c>
      <c r="K26" s="6">
        <f>E26/(VLOOKUP(B26,'[1]2021 Team'!$B$2:$G$33,2,FALSE))</f>
        <v>0.62520458265139112</v>
      </c>
    </row>
    <row r="27" spans="1:11" x14ac:dyDescent="0.25">
      <c r="A27" s="5" t="s">
        <v>122</v>
      </c>
      <c r="B27" s="5" t="s">
        <v>32</v>
      </c>
      <c r="C27" s="5" t="s">
        <v>82</v>
      </c>
      <c r="D27" s="5">
        <v>263</v>
      </c>
      <c r="E27" s="5">
        <v>394</v>
      </c>
      <c r="F27" s="5">
        <v>66.8</v>
      </c>
      <c r="G27" s="5">
        <v>206</v>
      </c>
      <c r="H27" s="5">
        <v>4.0999999999999996</v>
      </c>
      <c r="I27" s="5">
        <v>2.5</v>
      </c>
      <c r="J27" s="5">
        <v>6.8</v>
      </c>
      <c r="K27" s="6">
        <f>E27/(VLOOKUP(B27,'[1]2021 Team'!$B$2:$G$33,2,FALSE))</f>
        <v>0.7216117216117216</v>
      </c>
    </row>
    <row r="28" spans="1:11" x14ac:dyDescent="0.25">
      <c r="A28" s="5" t="s">
        <v>103</v>
      </c>
      <c r="B28" s="5" t="s">
        <v>46</v>
      </c>
      <c r="C28" s="5" t="s">
        <v>82</v>
      </c>
      <c r="D28" s="5">
        <v>263</v>
      </c>
      <c r="E28" s="5">
        <v>388</v>
      </c>
      <c r="F28" s="5">
        <v>67.8</v>
      </c>
      <c r="G28" s="5">
        <v>152</v>
      </c>
      <c r="H28" s="5">
        <v>4.0999999999999996</v>
      </c>
      <c r="I28" s="5">
        <v>2.6</v>
      </c>
      <c r="J28" s="5">
        <v>6.8</v>
      </c>
      <c r="K28" s="6">
        <f>E28/(VLOOKUP(B28,'[1]2021 Team'!$B$2:$G$33,2,FALSE))</f>
        <v>0.6308943089430894</v>
      </c>
    </row>
    <row r="29" spans="1:11" x14ac:dyDescent="0.25">
      <c r="A29" s="5" t="s">
        <v>96</v>
      </c>
      <c r="B29" s="5" t="s">
        <v>16</v>
      </c>
      <c r="C29" s="5" t="s">
        <v>82</v>
      </c>
      <c r="D29" s="5">
        <v>243</v>
      </c>
      <c r="E29" s="5">
        <v>406</v>
      </c>
      <c r="F29" s="5">
        <v>59.9</v>
      </c>
      <c r="G29" s="5">
        <v>204</v>
      </c>
      <c r="H29" s="5">
        <v>2.2000000000000002</v>
      </c>
      <c r="I29" s="5">
        <v>3.2</v>
      </c>
      <c r="J29" s="5">
        <v>6.2</v>
      </c>
      <c r="K29" s="6">
        <f>E29/(VLOOKUP(B29,'[1]2021 Team'!$B$2:$G$33,2,FALSE))</f>
        <v>0.67779632721201999</v>
      </c>
    </row>
    <row r="30" spans="1:11" x14ac:dyDescent="0.25">
      <c r="A30" s="5" t="s">
        <v>102</v>
      </c>
      <c r="B30" s="5" t="s">
        <v>54</v>
      </c>
      <c r="C30" s="5" t="s">
        <v>82</v>
      </c>
      <c r="D30" s="5">
        <v>232</v>
      </c>
      <c r="E30" s="5">
        <v>361</v>
      </c>
      <c r="F30" s="5">
        <v>64.3</v>
      </c>
      <c r="G30" s="5">
        <v>160</v>
      </c>
      <c r="H30" s="5">
        <v>2.8</v>
      </c>
      <c r="I30" s="5">
        <v>1.9</v>
      </c>
      <c r="J30" s="5">
        <v>6.7</v>
      </c>
      <c r="K30" s="6">
        <f>E30/(VLOOKUP(B30,'[1]2021 Team'!$B$2:$G$33,2,FALSE))</f>
        <v>0.60876897133220909</v>
      </c>
    </row>
    <row r="31" spans="1:11" x14ac:dyDescent="0.25">
      <c r="A31" s="5" t="s">
        <v>150</v>
      </c>
      <c r="B31" s="5" t="s">
        <v>56</v>
      </c>
      <c r="C31" s="5" t="s">
        <v>82</v>
      </c>
      <c r="D31" s="5">
        <v>213</v>
      </c>
      <c r="E31" s="5">
        <v>383</v>
      </c>
      <c r="F31" s="5">
        <v>55.6</v>
      </c>
      <c r="G31" s="5">
        <v>370</v>
      </c>
      <c r="H31" s="5">
        <v>2.2999999999999998</v>
      </c>
      <c r="I31" s="5">
        <v>2.9</v>
      </c>
      <c r="J31" s="5">
        <v>6.1</v>
      </c>
      <c r="K31" s="6">
        <f>E31/(VLOOKUP(B31,'[1]2021 Team'!$B$2:$G$33,2,FALSE))</f>
        <v>0.63515754560530679</v>
      </c>
    </row>
    <row r="32" spans="1:11" x14ac:dyDescent="0.25">
      <c r="A32" s="5" t="s">
        <v>117</v>
      </c>
      <c r="B32" s="5" t="s">
        <v>18</v>
      </c>
      <c r="C32" s="5" t="s">
        <v>82</v>
      </c>
      <c r="D32" s="5">
        <v>159</v>
      </c>
      <c r="E32" s="5">
        <v>270</v>
      </c>
      <c r="F32" s="5">
        <v>58.9</v>
      </c>
      <c r="G32" s="5">
        <v>264</v>
      </c>
      <c r="H32" s="5">
        <v>2.6</v>
      </c>
      <c r="I32" s="5">
        <v>3.7</v>
      </c>
      <c r="J32" s="5">
        <v>6.9</v>
      </c>
      <c r="K32" s="6">
        <f>E32/(VLOOKUP(B32,'[1]2021 Team'!$B$2:$G$33,2,FALSE))</f>
        <v>0.49815498154981552</v>
      </c>
    </row>
    <row r="33" spans="1:11" x14ac:dyDescent="0.25">
      <c r="A33" s="5" t="s">
        <v>140</v>
      </c>
      <c r="B33" s="5" t="s">
        <v>18</v>
      </c>
      <c r="C33" s="5" t="s">
        <v>82</v>
      </c>
      <c r="D33" s="5">
        <v>149</v>
      </c>
      <c r="E33" s="5">
        <v>236</v>
      </c>
      <c r="F33" s="5">
        <v>63.1</v>
      </c>
      <c r="G33" s="5">
        <v>143</v>
      </c>
      <c r="H33" s="5">
        <v>3.4</v>
      </c>
      <c r="I33" s="5">
        <v>3.8</v>
      </c>
      <c r="J33" s="5">
        <v>6.4</v>
      </c>
      <c r="K33" s="6">
        <f>E33/(VLOOKUP(B33,'[1]2021 Team'!$B$2:$G$33,2,FALSE))</f>
        <v>0.43542435424354242</v>
      </c>
    </row>
    <row r="34" spans="1:11" x14ac:dyDescent="0.25">
      <c r="A34" s="5" t="s">
        <v>94</v>
      </c>
      <c r="B34" s="5" t="s">
        <v>46</v>
      </c>
      <c r="C34" s="5" t="s">
        <v>82</v>
      </c>
      <c r="D34" s="5">
        <v>141</v>
      </c>
      <c r="E34" s="5">
        <v>225</v>
      </c>
      <c r="F34" s="5">
        <v>62.7</v>
      </c>
      <c r="G34" s="5">
        <v>132</v>
      </c>
      <c r="H34" s="5">
        <v>2.2000000000000002</v>
      </c>
      <c r="I34" s="5">
        <v>1.8</v>
      </c>
      <c r="J34" s="5">
        <v>5.7</v>
      </c>
      <c r="K34" s="6">
        <f>E34/(VLOOKUP(B34,'[1]2021 Team'!$B$2:$G$33,2,FALSE))</f>
        <v>0.36585365853658536</v>
      </c>
    </row>
    <row r="35" spans="1:11" x14ac:dyDescent="0.25">
      <c r="A35" s="5" t="s">
        <v>132</v>
      </c>
      <c r="B35" s="5" t="s">
        <v>52</v>
      </c>
      <c r="C35" s="5" t="s">
        <v>82</v>
      </c>
      <c r="D35" s="5">
        <v>95</v>
      </c>
      <c r="E35" s="5">
        <v>161</v>
      </c>
      <c r="F35" s="5">
        <v>59</v>
      </c>
      <c r="G35" s="5">
        <v>69</v>
      </c>
      <c r="H35" s="5">
        <v>8.6999999999999993</v>
      </c>
      <c r="I35" s="5">
        <v>1.9</v>
      </c>
      <c r="J35" s="5">
        <v>7.3</v>
      </c>
      <c r="K35" s="6">
        <f>E35/(VLOOKUP(B35,'[1]2021 Team'!$B$2:$G$33,2,FALSE))</f>
        <v>0.31944444444444442</v>
      </c>
    </row>
    <row r="36" spans="1:11" x14ac:dyDescent="0.25">
      <c r="A36" s="5" t="s">
        <v>1561</v>
      </c>
      <c r="B36" s="5" t="s">
        <v>52</v>
      </c>
      <c r="C36" s="5" t="s">
        <v>82</v>
      </c>
      <c r="D36" s="5">
        <v>108</v>
      </c>
      <c r="E36" s="5">
        <v>188</v>
      </c>
      <c r="F36" s="5">
        <v>57.4</v>
      </c>
      <c r="G36" s="5">
        <v>64</v>
      </c>
      <c r="H36" s="5">
        <v>5.9</v>
      </c>
      <c r="I36" s="5">
        <v>1.6</v>
      </c>
      <c r="J36" s="5">
        <v>6.1</v>
      </c>
      <c r="K36" s="6">
        <f>E36/(VLOOKUP(B36,'[1]2021 Team'!$B$2:$G$33,2,FALSE))</f>
        <v>0.37301587301587302</v>
      </c>
    </row>
    <row r="37" spans="1:11" x14ac:dyDescent="0.25">
      <c r="A37" s="5" t="s">
        <v>130</v>
      </c>
      <c r="B37" s="5" t="s">
        <v>12</v>
      </c>
      <c r="C37" s="5" t="s">
        <v>82</v>
      </c>
      <c r="D37" s="5">
        <v>122</v>
      </c>
      <c r="E37" s="5">
        <v>188</v>
      </c>
      <c r="F37" s="5">
        <v>64.900000000000006</v>
      </c>
      <c r="G37" s="5">
        <v>107</v>
      </c>
      <c r="H37" s="5">
        <v>1.6</v>
      </c>
      <c r="I37" s="5">
        <v>2.1</v>
      </c>
      <c r="J37" s="5">
        <v>5.8</v>
      </c>
      <c r="K37" s="6">
        <f>E37/(VLOOKUP(B37,'[1]2021 Team'!$B$2:$G$33,2,FALSE))</f>
        <v>0.30769230769230771</v>
      </c>
    </row>
    <row r="38" spans="1:11" x14ac:dyDescent="0.25">
      <c r="A38" s="5" t="s">
        <v>152</v>
      </c>
      <c r="B38" s="5" t="s">
        <v>52</v>
      </c>
      <c r="C38" s="5" t="s">
        <v>2384</v>
      </c>
      <c r="D38" s="5">
        <v>78</v>
      </c>
      <c r="E38" s="5">
        <v>134</v>
      </c>
      <c r="F38" s="5">
        <v>58.2</v>
      </c>
      <c r="G38" s="5">
        <v>64</v>
      </c>
      <c r="H38" s="5">
        <v>3</v>
      </c>
      <c r="I38" s="5">
        <v>3.7</v>
      </c>
      <c r="J38" s="5">
        <v>7.3</v>
      </c>
      <c r="K38" s="6">
        <f>E38/(VLOOKUP(B38,'[1]2021 Team'!$B$2:$G$33,2,FALSE))</f>
        <v>0.26587301587301587</v>
      </c>
    </row>
    <row r="39" spans="1:11" x14ac:dyDescent="0.25">
      <c r="A39" s="5" t="s">
        <v>124</v>
      </c>
      <c r="B39" s="5" t="s">
        <v>32</v>
      </c>
      <c r="C39" s="5" t="s">
        <v>82</v>
      </c>
      <c r="D39" s="5">
        <v>91</v>
      </c>
      <c r="E39" s="5">
        <v>150</v>
      </c>
      <c r="F39" s="5">
        <v>60.7</v>
      </c>
      <c r="G39" s="5">
        <v>119</v>
      </c>
      <c r="H39" s="5">
        <v>3.3</v>
      </c>
      <c r="I39" s="5">
        <v>3.3</v>
      </c>
      <c r="J39" s="5">
        <v>6.4</v>
      </c>
      <c r="K39" s="6">
        <f>E39/(VLOOKUP(B39,'[1]2021 Team'!$B$2:$G$33,2,FALSE))</f>
        <v>0.27472527472527475</v>
      </c>
    </row>
    <row r="40" spans="1:11" x14ac:dyDescent="0.25">
      <c r="A40" s="5" t="s">
        <v>1572</v>
      </c>
      <c r="B40" s="5" t="s">
        <v>56</v>
      </c>
      <c r="C40" s="5" t="s">
        <v>82</v>
      </c>
      <c r="D40" s="5">
        <v>88</v>
      </c>
      <c r="E40" s="5">
        <v>132</v>
      </c>
      <c r="F40" s="5">
        <v>66.7</v>
      </c>
      <c r="G40" s="5">
        <v>18</v>
      </c>
      <c r="H40" s="5">
        <v>3.8</v>
      </c>
      <c r="I40" s="5">
        <v>6.1</v>
      </c>
      <c r="J40" s="5">
        <v>7.2</v>
      </c>
      <c r="K40" s="6">
        <f>E40/(VLOOKUP(B40,'[1]2021 Team'!$B$2:$G$33,2,FALSE))</f>
        <v>0.21890547263681592</v>
      </c>
    </row>
    <row r="41" spans="1:11" x14ac:dyDescent="0.25">
      <c r="A41" s="5" t="s">
        <v>2385</v>
      </c>
      <c r="B41" s="5" t="s">
        <v>54</v>
      </c>
      <c r="C41" s="5" t="s">
        <v>82</v>
      </c>
      <c r="D41" s="5">
        <v>90</v>
      </c>
      <c r="E41" s="5">
        <v>167</v>
      </c>
      <c r="F41" s="5">
        <v>53.9</v>
      </c>
      <c r="G41" s="5">
        <v>68</v>
      </c>
      <c r="H41" s="5">
        <v>2.4</v>
      </c>
      <c r="I41" s="5">
        <v>6</v>
      </c>
      <c r="J41" s="5">
        <v>4.7</v>
      </c>
      <c r="K41" s="6">
        <f>E41/(VLOOKUP(B41,'[1]2021 Team'!$B$2:$G$33,2,FALSE))</f>
        <v>0.28161888701517707</v>
      </c>
    </row>
    <row r="42" spans="1:11" x14ac:dyDescent="0.25">
      <c r="A42" s="5" t="s">
        <v>156</v>
      </c>
      <c r="B42" s="5" t="s">
        <v>26</v>
      </c>
      <c r="C42" s="5" t="s">
        <v>82</v>
      </c>
      <c r="D42" s="5">
        <v>67</v>
      </c>
      <c r="E42" s="5">
        <v>111</v>
      </c>
      <c r="F42" s="5">
        <v>60.4</v>
      </c>
      <c r="G42" s="5">
        <v>52</v>
      </c>
      <c r="H42" s="5">
        <v>1.8</v>
      </c>
      <c r="I42" s="5">
        <v>1.8</v>
      </c>
      <c r="J42" s="5">
        <v>7.1</v>
      </c>
      <c r="K42" s="6">
        <f>E42/(VLOOKUP(B42,'[1]2021 Team'!$B$2:$G$33,2,FALSE))</f>
        <v>0.20517560073937152</v>
      </c>
    </row>
    <row r="43" spans="1:11" x14ac:dyDescent="0.25">
      <c r="A43" s="5" t="s">
        <v>2366</v>
      </c>
      <c r="B43" s="5" t="s">
        <v>8</v>
      </c>
      <c r="C43" s="5" t="s">
        <v>82</v>
      </c>
      <c r="D43" s="5">
        <v>74</v>
      </c>
      <c r="E43" s="5">
        <v>99</v>
      </c>
      <c r="F43" s="5">
        <v>74.7</v>
      </c>
      <c r="G43" s="5">
        <v>40</v>
      </c>
      <c r="H43" s="5">
        <v>3</v>
      </c>
      <c r="I43" s="5">
        <v>1</v>
      </c>
      <c r="J43" s="5">
        <v>7.5</v>
      </c>
      <c r="K43" s="6">
        <f>E43/(VLOOKUP(B43,'[1]2021 Team'!$B$2:$G$33,2,FALSE))</f>
        <v>0.16751269035532995</v>
      </c>
    </row>
    <row r="44" spans="1:11" x14ac:dyDescent="0.25">
      <c r="A44" s="5" t="s">
        <v>99</v>
      </c>
      <c r="B44" s="5" t="s">
        <v>64</v>
      </c>
      <c r="C44" s="5" t="s">
        <v>82</v>
      </c>
      <c r="D44" s="5">
        <v>65</v>
      </c>
      <c r="E44" s="5">
        <v>95</v>
      </c>
      <c r="F44" s="5">
        <v>68.400000000000006</v>
      </c>
      <c r="G44" s="5">
        <v>117</v>
      </c>
      <c r="H44" s="5">
        <v>5.3</v>
      </c>
      <c r="I44" s="5">
        <v>1.1000000000000001</v>
      </c>
      <c r="J44" s="5">
        <v>7.4</v>
      </c>
      <c r="K44" s="6">
        <f>E44/(VLOOKUP(B44,'[1]2021 Team'!$B$2:$G$33,2,FALSE))</f>
        <v>0.19191919191919191</v>
      </c>
    </row>
    <row r="45" spans="1:11" x14ac:dyDescent="0.25">
      <c r="A45" s="5" t="s">
        <v>2386</v>
      </c>
      <c r="B45" s="5" t="s">
        <v>16</v>
      </c>
      <c r="C45" s="5" t="s">
        <v>82</v>
      </c>
      <c r="D45" s="5">
        <v>69</v>
      </c>
      <c r="E45" s="5">
        <v>126</v>
      </c>
      <c r="F45" s="5">
        <v>54.8</v>
      </c>
      <c r="G45" s="5">
        <v>83</v>
      </c>
      <c r="H45" s="5">
        <v>3.2</v>
      </c>
      <c r="I45" s="5">
        <v>4</v>
      </c>
      <c r="J45" s="5">
        <v>5.4</v>
      </c>
      <c r="K45" s="6">
        <f>E45/(VLOOKUP(B45,'[1]2021 Team'!$B$2:$G$33,2,FALSE))</f>
        <v>0.21035058430717862</v>
      </c>
    </row>
    <row r="46" spans="1:11" x14ac:dyDescent="0.25">
      <c r="A46" s="5" t="s">
        <v>135</v>
      </c>
      <c r="B46" s="5" t="s">
        <v>56</v>
      </c>
      <c r="C46" s="5" t="s">
        <v>82</v>
      </c>
      <c r="D46" s="5">
        <v>29</v>
      </c>
      <c r="E46" s="5">
        <v>45</v>
      </c>
      <c r="F46" s="5">
        <v>64.400000000000006</v>
      </c>
      <c r="G46" s="5">
        <v>14</v>
      </c>
      <c r="H46" s="5">
        <v>6.7</v>
      </c>
      <c r="I46" s="5">
        <v>2.2000000000000002</v>
      </c>
      <c r="J46" s="5">
        <v>7.4</v>
      </c>
      <c r="K46" s="6">
        <f>E46/(VLOOKUP(B46,'[1]2021 Team'!$B$2:$G$33,2,FALSE))</f>
        <v>7.4626865671641784E-2</v>
      </c>
    </row>
    <row r="47" spans="1:11" x14ac:dyDescent="0.25">
      <c r="A47" s="5" t="s">
        <v>135</v>
      </c>
      <c r="B47" s="5" t="s">
        <v>12</v>
      </c>
      <c r="C47" s="5" t="s">
        <v>82</v>
      </c>
      <c r="D47" s="5">
        <v>28</v>
      </c>
      <c r="E47" s="5">
        <v>40</v>
      </c>
      <c r="F47" s="5">
        <v>70</v>
      </c>
      <c r="G47" s="5">
        <v>9</v>
      </c>
      <c r="H47" s="5">
        <v>5</v>
      </c>
      <c r="I47" s="5">
        <v>2.5</v>
      </c>
      <c r="J47" s="5">
        <v>7.6</v>
      </c>
      <c r="K47" s="6">
        <f>E47/(VLOOKUP(B47,'[1]2021 Team'!$B$2:$G$33,2,FALSE))</f>
        <v>6.5466448445171854E-2</v>
      </c>
    </row>
    <row r="48" spans="1:11" x14ac:dyDescent="0.25">
      <c r="A48" s="5" t="s">
        <v>133</v>
      </c>
      <c r="B48" s="5" t="s">
        <v>62</v>
      </c>
      <c r="C48" s="5" t="s">
        <v>82</v>
      </c>
      <c r="D48" s="5">
        <v>41</v>
      </c>
      <c r="E48" s="5">
        <v>71</v>
      </c>
      <c r="F48" s="5">
        <v>57.7</v>
      </c>
      <c r="G48" s="5">
        <v>15</v>
      </c>
      <c r="H48" s="5">
        <v>7</v>
      </c>
      <c r="I48" s="5">
        <v>2.8</v>
      </c>
      <c r="J48" s="5">
        <v>8.5</v>
      </c>
      <c r="K48" s="6">
        <f>E48/(VLOOKUP(B48,'[1]2021 Team'!$B$2:$G$33,2,FALSE))</f>
        <v>0.13813229571984437</v>
      </c>
    </row>
    <row r="49" spans="1:11" x14ac:dyDescent="0.25">
      <c r="A49" s="5" t="s">
        <v>1564</v>
      </c>
      <c r="B49" s="5" t="s">
        <v>28</v>
      </c>
      <c r="C49" s="5" t="s">
        <v>82</v>
      </c>
      <c r="D49" s="5">
        <v>61</v>
      </c>
      <c r="E49" s="5">
        <v>94</v>
      </c>
      <c r="F49" s="5">
        <v>64.900000000000006</v>
      </c>
      <c r="G49" s="5">
        <v>0</v>
      </c>
      <c r="H49" s="5">
        <v>3.2</v>
      </c>
      <c r="I49" s="5">
        <v>6.4</v>
      </c>
      <c r="J49" s="5">
        <v>5.6</v>
      </c>
      <c r="K49" s="6">
        <f>E49/(VLOOKUP(B49,'[1]2021 Team'!$B$2:$G$33,2,FALSE))</f>
        <v>0.15851602023608768</v>
      </c>
    </row>
    <row r="50" spans="1:11" x14ac:dyDescent="0.25">
      <c r="A50" s="5" t="s">
        <v>1566</v>
      </c>
      <c r="B50" s="5" t="s">
        <v>22</v>
      </c>
      <c r="C50" s="5" t="s">
        <v>82</v>
      </c>
      <c r="D50" s="5">
        <v>47</v>
      </c>
      <c r="E50" s="5">
        <v>72</v>
      </c>
      <c r="F50" s="5">
        <v>65.3</v>
      </c>
      <c r="G50" s="5">
        <v>29</v>
      </c>
      <c r="H50" s="5">
        <v>4.2</v>
      </c>
      <c r="I50" s="5">
        <v>1.4</v>
      </c>
      <c r="J50" s="5">
        <v>6.4</v>
      </c>
      <c r="K50" s="6">
        <f>E50/(VLOOKUP(B50,'[1]2021 Team'!$B$2:$G$33,2,FALSE))</f>
        <v>0.13846153846153847</v>
      </c>
    </row>
    <row r="51" spans="1:11" x14ac:dyDescent="0.25">
      <c r="A51" s="5" t="s">
        <v>149</v>
      </c>
      <c r="B51" s="5" t="s">
        <v>58</v>
      </c>
      <c r="C51" s="5" t="s">
        <v>82</v>
      </c>
      <c r="D51" s="5">
        <v>41</v>
      </c>
      <c r="E51" s="5">
        <v>60</v>
      </c>
      <c r="F51" s="5">
        <v>68.3</v>
      </c>
      <c r="G51" s="5">
        <v>31</v>
      </c>
      <c r="H51" s="5">
        <v>6.7</v>
      </c>
      <c r="I51" s="5">
        <v>1.7</v>
      </c>
      <c r="J51" s="5">
        <v>7.3</v>
      </c>
      <c r="K51" s="6">
        <f>E51/(VLOOKUP(B51,'[1]2021 Team'!$B$2:$G$33,2,FALSE))</f>
        <v>0.1214574898785425</v>
      </c>
    </row>
    <row r="52" spans="1:11" x14ac:dyDescent="0.25">
      <c r="A52" s="5" t="s">
        <v>136</v>
      </c>
      <c r="B52" s="5" t="s">
        <v>24</v>
      </c>
      <c r="C52" s="5" t="s">
        <v>82</v>
      </c>
      <c r="D52" s="5">
        <v>30</v>
      </c>
      <c r="E52" s="5">
        <v>47</v>
      </c>
      <c r="F52" s="5">
        <v>63.8</v>
      </c>
      <c r="G52" s="5">
        <v>19</v>
      </c>
      <c r="H52" s="5">
        <v>6.4</v>
      </c>
      <c r="I52" s="5">
        <v>2.1</v>
      </c>
      <c r="J52" s="5">
        <v>9</v>
      </c>
      <c r="K52" s="6">
        <f>E52/(VLOOKUP(B52,'[1]2021 Team'!$B$2:$G$33,2,FALSE))</f>
        <v>7.2642967542503864E-2</v>
      </c>
    </row>
    <row r="53" spans="1:11" x14ac:dyDescent="0.25">
      <c r="A53" s="5" t="s">
        <v>100</v>
      </c>
      <c r="B53" s="5" t="s">
        <v>30</v>
      </c>
      <c r="C53" s="5" t="s">
        <v>82</v>
      </c>
      <c r="D53" s="5">
        <v>36</v>
      </c>
      <c r="E53" s="5">
        <v>62</v>
      </c>
      <c r="F53" s="5">
        <v>58.1</v>
      </c>
      <c r="G53" s="5">
        <v>23</v>
      </c>
      <c r="H53" s="5">
        <v>3.2</v>
      </c>
      <c r="I53" s="5">
        <v>4.8</v>
      </c>
      <c r="J53" s="5">
        <v>6.6</v>
      </c>
      <c r="K53" s="6">
        <f>E53/(VLOOKUP(B53,'[1]2021 Team'!$B$2:$G$33,2,FALSE))</f>
        <v>0.1045531197301855</v>
      </c>
    </row>
    <row r="54" spans="1:11" x14ac:dyDescent="0.25">
      <c r="A54" s="5" t="s">
        <v>1562</v>
      </c>
      <c r="B54" s="5" t="s">
        <v>16</v>
      </c>
      <c r="C54" s="5" t="s">
        <v>82</v>
      </c>
      <c r="D54" s="5">
        <v>36</v>
      </c>
      <c r="E54" s="5">
        <v>66</v>
      </c>
      <c r="F54" s="5">
        <v>54.5</v>
      </c>
      <c r="G54" s="5">
        <v>47</v>
      </c>
      <c r="H54" s="5">
        <v>1.5</v>
      </c>
      <c r="I54" s="5">
        <v>4.5</v>
      </c>
      <c r="J54" s="5">
        <v>5.5</v>
      </c>
      <c r="K54" s="6">
        <f>E54/(VLOOKUP(B54,'[1]2021 Team'!$B$2:$G$33,2,FALSE))</f>
        <v>0.11018363939899833</v>
      </c>
    </row>
    <row r="55" spans="1:11" x14ac:dyDescent="0.25">
      <c r="A55" s="5" t="s">
        <v>113</v>
      </c>
      <c r="B55" s="5" t="s">
        <v>56</v>
      </c>
      <c r="C55" s="5" t="s">
        <v>82</v>
      </c>
      <c r="D55" s="5">
        <v>27</v>
      </c>
      <c r="E55" s="5">
        <v>42</v>
      </c>
      <c r="F55" s="5">
        <v>64.3</v>
      </c>
      <c r="G55" s="5">
        <v>13</v>
      </c>
      <c r="H55" s="5">
        <v>7.1</v>
      </c>
      <c r="I55" s="5">
        <v>0</v>
      </c>
      <c r="J55" s="5">
        <v>8</v>
      </c>
      <c r="K55" s="6">
        <f>E55/(VLOOKUP(B55,'[1]2021 Team'!$B$2:$G$33,2,FALSE))</f>
        <v>6.965174129353234E-2</v>
      </c>
    </row>
    <row r="56" spans="1:11" x14ac:dyDescent="0.25">
      <c r="A56" s="5" t="s">
        <v>137</v>
      </c>
      <c r="B56" s="5" t="s">
        <v>60</v>
      </c>
      <c r="C56" s="5" t="s">
        <v>82</v>
      </c>
      <c r="D56" s="5">
        <v>35</v>
      </c>
      <c r="E56" s="5">
        <v>58</v>
      </c>
      <c r="F56" s="5">
        <v>60.3</v>
      </c>
      <c r="G56" s="5">
        <v>0</v>
      </c>
      <c r="H56" s="5">
        <v>1.7</v>
      </c>
      <c r="I56" s="5">
        <v>1.7</v>
      </c>
      <c r="J56" s="5">
        <v>4.8</v>
      </c>
      <c r="K56" s="6">
        <f>E56/(VLOOKUP(B56,'[1]2021 Team'!$B$2:$G$33,2,FALSE))</f>
        <v>8.7349397590361449E-2</v>
      </c>
    </row>
    <row r="57" spans="1:11" x14ac:dyDescent="0.25">
      <c r="A57" s="5" t="s">
        <v>2372</v>
      </c>
      <c r="B57" s="5" t="s">
        <v>18</v>
      </c>
      <c r="C57" s="5" t="s">
        <v>82</v>
      </c>
      <c r="D57" s="5">
        <v>24</v>
      </c>
      <c r="E57" s="5">
        <v>35</v>
      </c>
      <c r="F57" s="5">
        <v>68.599999999999994</v>
      </c>
      <c r="G57" s="5">
        <v>21</v>
      </c>
      <c r="H57" s="5">
        <v>2.9</v>
      </c>
      <c r="I57" s="5">
        <v>0</v>
      </c>
      <c r="J57" s="5">
        <v>7.1</v>
      </c>
      <c r="K57" s="6">
        <f>E57/(VLOOKUP(B57,'[1]2021 Team'!$B$2:$G$33,2,FALSE))</f>
        <v>6.4575645756457564E-2</v>
      </c>
    </row>
    <row r="58" spans="1:11" x14ac:dyDescent="0.25">
      <c r="A58" s="5" t="s">
        <v>1567</v>
      </c>
      <c r="B58" s="5" t="s">
        <v>50</v>
      </c>
      <c r="C58" s="5" t="s">
        <v>82</v>
      </c>
      <c r="D58" s="5">
        <v>9</v>
      </c>
      <c r="E58" s="5">
        <v>11</v>
      </c>
      <c r="F58" s="5">
        <v>81.8</v>
      </c>
      <c r="G58" s="5">
        <v>0</v>
      </c>
      <c r="H58" s="5">
        <v>9.1</v>
      </c>
      <c r="I58" s="5">
        <v>0</v>
      </c>
      <c r="J58" s="5">
        <v>20.6</v>
      </c>
      <c r="K58" s="6">
        <f>E58/(VLOOKUP(B58,'[1]2021 Team'!$B$2:$G$33,2,FALSE))</f>
        <v>2.0560747663551402E-2</v>
      </c>
    </row>
    <row r="59" spans="1:11" x14ac:dyDescent="0.25">
      <c r="A59" s="5" t="s">
        <v>2387</v>
      </c>
      <c r="B59" s="5" t="s">
        <v>54</v>
      </c>
      <c r="C59" s="5" t="s">
        <v>82</v>
      </c>
      <c r="D59" s="5">
        <v>27</v>
      </c>
      <c r="E59" s="5">
        <v>60</v>
      </c>
      <c r="F59" s="5">
        <v>45</v>
      </c>
      <c r="G59" s="5">
        <v>33</v>
      </c>
      <c r="H59" s="5">
        <v>1.7</v>
      </c>
      <c r="I59" s="5">
        <v>5</v>
      </c>
      <c r="J59" s="5">
        <v>3.5</v>
      </c>
      <c r="K59" s="6">
        <f>E59/(VLOOKUP(B59,'[1]2021 Team'!$B$2:$G$33,2,FALSE))</f>
        <v>0.10118043844856661</v>
      </c>
    </row>
    <row r="60" spans="1:11" x14ac:dyDescent="0.25">
      <c r="A60" s="5" t="s">
        <v>2388</v>
      </c>
      <c r="B60" s="5" t="s">
        <v>70</v>
      </c>
      <c r="C60" s="5" t="s">
        <v>82</v>
      </c>
      <c r="D60" s="5">
        <v>20</v>
      </c>
      <c r="E60" s="5">
        <v>31</v>
      </c>
      <c r="F60" s="5">
        <v>64.5</v>
      </c>
      <c r="G60" s="5">
        <v>20</v>
      </c>
      <c r="H60" s="5">
        <v>0</v>
      </c>
      <c r="I60" s="5">
        <v>0</v>
      </c>
      <c r="J60" s="5">
        <v>6.3</v>
      </c>
      <c r="K60" s="6">
        <f>E60/(VLOOKUP(B60,'[1]2021 Team'!$B$2:$G$33,2,FALSE))</f>
        <v>5.6363636363636366E-2</v>
      </c>
    </row>
    <row r="61" spans="1:11" x14ac:dyDescent="0.25">
      <c r="A61" s="5" t="s">
        <v>2389</v>
      </c>
      <c r="B61" s="5" t="s">
        <v>48</v>
      </c>
      <c r="C61" s="5" t="s">
        <v>82</v>
      </c>
      <c r="D61" s="5">
        <v>22</v>
      </c>
      <c r="E61" s="5">
        <v>36</v>
      </c>
      <c r="F61" s="5">
        <v>61.1</v>
      </c>
      <c r="G61" s="5">
        <v>15</v>
      </c>
      <c r="H61" s="5">
        <v>2.8</v>
      </c>
      <c r="I61" s="5">
        <v>0</v>
      </c>
      <c r="J61" s="5">
        <v>5.3</v>
      </c>
      <c r="K61" s="6">
        <f>E61/(VLOOKUP(B61,'[1]2021 Team'!$B$2:$G$33,2,FALSE))</f>
        <v>5.9602649006622516E-2</v>
      </c>
    </row>
    <row r="62" spans="1:11" x14ac:dyDescent="0.25">
      <c r="A62" s="5" t="s">
        <v>143</v>
      </c>
      <c r="B62" s="5" t="s">
        <v>20</v>
      </c>
      <c r="C62" s="5" t="s">
        <v>82</v>
      </c>
      <c r="D62" s="5">
        <v>17</v>
      </c>
      <c r="E62" s="5">
        <v>34</v>
      </c>
      <c r="F62" s="5">
        <v>50</v>
      </c>
      <c r="G62" s="5">
        <v>33</v>
      </c>
      <c r="H62" s="5">
        <v>5.9</v>
      </c>
      <c r="I62" s="5">
        <v>0</v>
      </c>
      <c r="J62" s="5">
        <v>4.4000000000000004</v>
      </c>
      <c r="K62" s="6">
        <f>E62/(VLOOKUP(B62,'[1]2021 Team'!$B$2:$G$33,2,FALSE))</f>
        <v>6.126126126126126E-2</v>
      </c>
    </row>
    <row r="63" spans="1:11" x14ac:dyDescent="0.25">
      <c r="A63" s="5" t="s">
        <v>155</v>
      </c>
      <c r="B63" s="5" t="s">
        <v>22</v>
      </c>
      <c r="C63" s="5" t="s">
        <v>82</v>
      </c>
      <c r="D63" s="5">
        <v>20</v>
      </c>
      <c r="E63" s="5">
        <v>30</v>
      </c>
      <c r="F63" s="5">
        <v>66.7</v>
      </c>
      <c r="G63" s="5">
        <v>0</v>
      </c>
      <c r="H63" s="5">
        <v>3.3</v>
      </c>
      <c r="I63" s="5">
        <v>0</v>
      </c>
      <c r="J63" s="5">
        <v>4.9000000000000004</v>
      </c>
      <c r="K63" s="6">
        <f>E63/(VLOOKUP(B63,'[1]2021 Team'!$B$2:$G$33,2,FALSE))</f>
        <v>5.7692307692307696E-2</v>
      </c>
    </row>
    <row r="64" spans="1:11" x14ac:dyDescent="0.25">
      <c r="A64" s="5" t="s">
        <v>2390</v>
      </c>
      <c r="B64" s="5" t="s">
        <v>52</v>
      </c>
      <c r="C64" s="5" t="s">
        <v>82</v>
      </c>
      <c r="D64" s="5">
        <v>12</v>
      </c>
      <c r="E64" s="5">
        <v>20</v>
      </c>
      <c r="F64" s="5">
        <v>60</v>
      </c>
      <c r="G64" s="5">
        <v>54</v>
      </c>
      <c r="H64" s="5">
        <v>0</v>
      </c>
      <c r="I64" s="5">
        <v>10</v>
      </c>
      <c r="J64" s="5">
        <v>6.8</v>
      </c>
      <c r="K64" s="6">
        <f>E64/(VLOOKUP(B64,'[1]2021 Team'!$B$2:$G$33,2,FALSE))</f>
        <v>3.968253968253968E-2</v>
      </c>
    </row>
    <row r="65" spans="1:11" x14ac:dyDescent="0.25">
      <c r="A65" s="5" t="s">
        <v>160</v>
      </c>
      <c r="B65" s="5" t="s">
        <v>70</v>
      </c>
      <c r="C65" s="5" t="s">
        <v>82</v>
      </c>
      <c r="D65" s="5">
        <v>12</v>
      </c>
      <c r="E65" s="5">
        <v>19</v>
      </c>
      <c r="F65" s="5">
        <v>63.2</v>
      </c>
      <c r="G65" s="5">
        <v>5</v>
      </c>
      <c r="H65" s="5">
        <v>5.3</v>
      </c>
      <c r="I65" s="5">
        <v>0</v>
      </c>
      <c r="J65" s="5">
        <v>6.3</v>
      </c>
      <c r="K65" s="6">
        <f>E65/(VLOOKUP(B65,'[1]2021 Team'!$B$2:$G$33,2,FALSE))</f>
        <v>3.4545454545454546E-2</v>
      </c>
    </row>
    <row r="66" spans="1:11" x14ac:dyDescent="0.25">
      <c r="A66" s="5" t="s">
        <v>948</v>
      </c>
      <c r="B66" s="5" t="s">
        <v>24</v>
      </c>
      <c r="C66" s="5" t="s">
        <v>163</v>
      </c>
      <c r="D66" s="5">
        <v>3</v>
      </c>
      <c r="E66" s="5">
        <v>3</v>
      </c>
      <c r="F66" s="5">
        <v>100</v>
      </c>
      <c r="G66" s="5">
        <v>0</v>
      </c>
      <c r="H66" s="5">
        <v>0</v>
      </c>
      <c r="I66" s="5">
        <v>0</v>
      </c>
      <c r="J66" s="5">
        <v>29.3</v>
      </c>
      <c r="K66" s="6">
        <f>E66/(VLOOKUP(B66,'[1]2021 Team'!$B$2:$G$33,2,FALSE))</f>
        <v>4.6367851622874804E-3</v>
      </c>
    </row>
    <row r="67" spans="1:11" x14ac:dyDescent="0.25">
      <c r="A67" s="5" t="s">
        <v>2381</v>
      </c>
      <c r="B67" s="5" t="s">
        <v>38</v>
      </c>
      <c r="C67" s="5" t="s">
        <v>82</v>
      </c>
      <c r="D67" s="5">
        <v>11</v>
      </c>
      <c r="E67" s="5">
        <v>16</v>
      </c>
      <c r="F67" s="5">
        <v>68.8</v>
      </c>
      <c r="G67" s="5">
        <v>0</v>
      </c>
      <c r="H67" s="5">
        <v>0</v>
      </c>
      <c r="I67" s="5">
        <v>0</v>
      </c>
      <c r="J67" s="5">
        <v>5.0999999999999996</v>
      </c>
      <c r="K67" s="6">
        <f>E67/(VLOOKUP(B67,'[1]2021 Team'!$B$2:$G$33,2,FALSE))</f>
        <v>2.3703703703703703E-2</v>
      </c>
    </row>
    <row r="68" spans="1:11" x14ac:dyDescent="0.25">
      <c r="A68" s="5" t="s">
        <v>872</v>
      </c>
      <c r="B68" s="5" t="s">
        <v>28</v>
      </c>
      <c r="C68" s="5" t="s">
        <v>163</v>
      </c>
      <c r="D68" s="5">
        <v>1</v>
      </c>
      <c r="E68" s="5">
        <v>1</v>
      </c>
      <c r="F68" s="5">
        <v>100</v>
      </c>
      <c r="G68" s="5">
        <v>0</v>
      </c>
      <c r="H68" s="5">
        <v>100</v>
      </c>
      <c r="I68" s="5">
        <v>0</v>
      </c>
      <c r="J68" s="5">
        <v>75</v>
      </c>
      <c r="K68" s="6">
        <f>E68/(VLOOKUP(B68,'[1]2021 Team'!$B$2:$G$33,2,FALSE))</f>
        <v>1.6863406408094434E-3</v>
      </c>
    </row>
    <row r="69" spans="1:11" x14ac:dyDescent="0.25">
      <c r="A69" s="5" t="s">
        <v>1568</v>
      </c>
      <c r="B69" s="5" t="s">
        <v>66</v>
      </c>
      <c r="C69" s="5" t="s">
        <v>82</v>
      </c>
      <c r="D69" s="5">
        <v>7</v>
      </c>
      <c r="E69" s="5">
        <v>11</v>
      </c>
      <c r="F69" s="5">
        <v>63.6</v>
      </c>
      <c r="G69" s="5">
        <v>10</v>
      </c>
      <c r="H69" s="5">
        <v>0</v>
      </c>
      <c r="I69" s="5">
        <v>0</v>
      </c>
      <c r="J69" s="5">
        <v>6.1</v>
      </c>
      <c r="K69" s="6">
        <f>E69/(VLOOKUP(B69,'[1]2021 Team'!$B$2:$G$33,2,FALSE))</f>
        <v>1.5047879616963064E-2</v>
      </c>
    </row>
    <row r="70" spans="1:11" x14ac:dyDescent="0.25">
      <c r="A70" s="5" t="s">
        <v>1582</v>
      </c>
      <c r="B70" s="5" t="s">
        <v>20</v>
      </c>
      <c r="C70" s="5" t="s">
        <v>163</v>
      </c>
      <c r="D70" s="5">
        <v>1</v>
      </c>
      <c r="E70" s="5">
        <v>1</v>
      </c>
      <c r="F70" s="5">
        <v>100</v>
      </c>
      <c r="G70" s="5">
        <v>0</v>
      </c>
      <c r="H70" s="5">
        <v>0</v>
      </c>
      <c r="I70" s="5">
        <v>0</v>
      </c>
      <c r="J70" s="5">
        <v>46</v>
      </c>
      <c r="K70" s="6">
        <f>E70/(VLOOKUP(B70,'[1]2021 Team'!$B$2:$G$33,2,FALSE))</f>
        <v>1.8018018018018018E-3</v>
      </c>
    </row>
    <row r="71" spans="1:11" x14ac:dyDescent="0.25">
      <c r="A71" s="5" t="s">
        <v>654</v>
      </c>
      <c r="B71" s="5" t="s">
        <v>50</v>
      </c>
      <c r="C71" s="5" t="s">
        <v>163</v>
      </c>
      <c r="D71" s="5">
        <v>2</v>
      </c>
      <c r="E71" s="5">
        <v>2</v>
      </c>
      <c r="F71" s="5">
        <v>100</v>
      </c>
      <c r="G71" s="5">
        <v>0</v>
      </c>
      <c r="H71" s="5">
        <v>0</v>
      </c>
      <c r="I71" s="5">
        <v>0</v>
      </c>
      <c r="J71" s="5">
        <v>22.5</v>
      </c>
      <c r="K71" s="6">
        <f>E71/(VLOOKUP(B71,'[1]2021 Team'!$B$2:$G$33,2,FALSE))</f>
        <v>3.7383177570093459E-3</v>
      </c>
    </row>
    <row r="72" spans="1:11" x14ac:dyDescent="0.25">
      <c r="A72" s="5" t="s">
        <v>141</v>
      </c>
      <c r="B72" s="5" t="s">
        <v>14</v>
      </c>
      <c r="C72" s="5" t="s">
        <v>82</v>
      </c>
      <c r="D72" s="5">
        <v>6</v>
      </c>
      <c r="E72" s="5">
        <v>8</v>
      </c>
      <c r="F72" s="5">
        <v>75</v>
      </c>
      <c r="G72" s="5">
        <v>0</v>
      </c>
      <c r="H72" s="5">
        <v>0</v>
      </c>
      <c r="I72" s="5">
        <v>12.5</v>
      </c>
      <c r="J72" s="5">
        <v>5.4</v>
      </c>
      <c r="K72" s="6">
        <f>E72/(VLOOKUP(B72,'[1]2021 Team'!$B$2:$G$33,2,FALSE))</f>
        <v>1.2213740458015267E-2</v>
      </c>
    </row>
    <row r="73" spans="1:11" x14ac:dyDescent="0.25">
      <c r="A73" s="5" t="s">
        <v>2081</v>
      </c>
      <c r="B73" s="5" t="s">
        <v>28</v>
      </c>
      <c r="C73" s="5" t="s">
        <v>165</v>
      </c>
      <c r="D73" s="5">
        <v>2</v>
      </c>
      <c r="E73" s="5">
        <v>3</v>
      </c>
      <c r="F73" s="5">
        <v>66.7</v>
      </c>
      <c r="G73" s="5">
        <v>0</v>
      </c>
      <c r="H73" s="5">
        <v>0</v>
      </c>
      <c r="I73" s="5">
        <v>0</v>
      </c>
      <c r="J73" s="5">
        <v>12.7</v>
      </c>
      <c r="K73" s="6">
        <f>E73/(VLOOKUP(B73,'[1]2021 Team'!$B$2:$G$33,2,FALSE))</f>
        <v>5.0590219224283303E-3</v>
      </c>
    </row>
    <row r="74" spans="1:11" x14ac:dyDescent="0.25">
      <c r="A74" s="5" t="s">
        <v>2375</v>
      </c>
      <c r="B74" s="5" t="s">
        <v>8</v>
      </c>
      <c r="C74" s="5" t="s">
        <v>82</v>
      </c>
      <c r="D74" s="5">
        <v>6</v>
      </c>
      <c r="E74" s="5">
        <v>9</v>
      </c>
      <c r="F74" s="5">
        <v>66.7</v>
      </c>
      <c r="G74" s="5">
        <v>17</v>
      </c>
      <c r="H74" s="5">
        <v>0</v>
      </c>
      <c r="I74" s="5">
        <v>0</v>
      </c>
      <c r="J74" s="5">
        <v>4</v>
      </c>
      <c r="K74" s="6">
        <f>E74/(VLOOKUP(B74,'[1]2021 Team'!$B$2:$G$33,2,FALSE))</f>
        <v>1.5228426395939087E-2</v>
      </c>
    </row>
    <row r="75" spans="1:11" x14ac:dyDescent="0.25">
      <c r="A75" s="5" t="s">
        <v>700</v>
      </c>
      <c r="B75" s="5" t="s">
        <v>48</v>
      </c>
      <c r="C75" s="5" t="s">
        <v>163</v>
      </c>
      <c r="D75" s="5">
        <v>2</v>
      </c>
      <c r="E75" s="5">
        <v>4</v>
      </c>
      <c r="F75" s="5">
        <v>50</v>
      </c>
      <c r="G75" s="5">
        <v>0</v>
      </c>
      <c r="H75" s="5">
        <v>0</v>
      </c>
      <c r="I75" s="5">
        <v>0</v>
      </c>
      <c r="J75" s="5">
        <v>8.8000000000000007</v>
      </c>
      <c r="K75" s="6">
        <f>E75/(VLOOKUP(B75,'[1]2021 Team'!$B$2:$G$33,2,FALSE))</f>
        <v>6.6225165562913907E-3</v>
      </c>
    </row>
    <row r="76" spans="1:11" x14ac:dyDescent="0.25">
      <c r="A76" s="5" t="s">
        <v>1565</v>
      </c>
      <c r="B76" s="5" t="s">
        <v>36</v>
      </c>
      <c r="C76" s="5" t="s">
        <v>82</v>
      </c>
      <c r="D76" s="5">
        <v>2</v>
      </c>
      <c r="E76" s="5">
        <v>2</v>
      </c>
      <c r="F76" s="5">
        <v>100</v>
      </c>
      <c r="G76" s="5">
        <v>0</v>
      </c>
      <c r="H76" s="5">
        <v>0</v>
      </c>
      <c r="I76" s="5">
        <v>0</v>
      </c>
      <c r="J76" s="5">
        <v>16.5</v>
      </c>
      <c r="K76" s="6">
        <f>E76/(VLOOKUP(B76,'[1]2021 Team'!$B$2:$G$33,2,FALSE))</f>
        <v>3.3112582781456954E-3</v>
      </c>
    </row>
    <row r="77" spans="1:11" x14ac:dyDescent="0.25">
      <c r="A77" s="5" t="s">
        <v>888</v>
      </c>
      <c r="B77" s="5" t="s">
        <v>8</v>
      </c>
      <c r="C77" s="5" t="s">
        <v>163</v>
      </c>
      <c r="D77" s="5">
        <v>1</v>
      </c>
      <c r="E77" s="5">
        <v>1</v>
      </c>
      <c r="F77" s="5">
        <v>100</v>
      </c>
      <c r="G77" s="5">
        <v>0</v>
      </c>
      <c r="H77" s="5">
        <v>0</v>
      </c>
      <c r="I77" s="5">
        <v>0</v>
      </c>
      <c r="J77" s="5">
        <v>33</v>
      </c>
      <c r="K77" s="6">
        <f>E77/(VLOOKUP(B77,'[1]2021 Team'!$B$2:$G$33,2,FALSE))</f>
        <v>1.6920473773265651E-3</v>
      </c>
    </row>
    <row r="78" spans="1:11" x14ac:dyDescent="0.25">
      <c r="A78" s="5" t="s">
        <v>1014</v>
      </c>
      <c r="B78" s="5" t="s">
        <v>50</v>
      </c>
      <c r="C78" s="5" t="s">
        <v>163</v>
      </c>
      <c r="D78" s="5">
        <v>1</v>
      </c>
      <c r="E78" s="5">
        <v>1</v>
      </c>
      <c r="F78" s="5">
        <v>100</v>
      </c>
      <c r="G78" s="5">
        <v>0</v>
      </c>
      <c r="H78" s="5">
        <v>100</v>
      </c>
      <c r="I78" s="5">
        <v>0</v>
      </c>
      <c r="J78" s="5">
        <v>25</v>
      </c>
      <c r="K78" s="6">
        <f>E78/(VLOOKUP(B78,'[1]2021 Team'!$B$2:$G$33,2,FALSE))</f>
        <v>1.869158878504673E-3</v>
      </c>
    </row>
    <row r="79" spans="1:11" x14ac:dyDescent="0.25">
      <c r="A79" s="5" t="s">
        <v>2376</v>
      </c>
      <c r="B79" s="5" t="s">
        <v>34</v>
      </c>
      <c r="C79" s="5" t="s">
        <v>82</v>
      </c>
      <c r="D79" s="5">
        <v>2</v>
      </c>
      <c r="E79" s="5">
        <v>5</v>
      </c>
      <c r="F79" s="5">
        <v>40</v>
      </c>
      <c r="G79" s="5">
        <v>0</v>
      </c>
      <c r="H79" s="5">
        <v>0</v>
      </c>
      <c r="I79" s="5">
        <v>20</v>
      </c>
      <c r="J79" s="5">
        <v>5</v>
      </c>
      <c r="K79" s="6">
        <f>E79/(VLOOKUP(B79,'[1]2021 Team'!$B$2:$G$33,2,FALSE))</f>
        <v>9.5969289827255271E-3</v>
      </c>
    </row>
    <row r="80" spans="1:11" x14ac:dyDescent="0.25">
      <c r="A80" s="5" t="s">
        <v>534</v>
      </c>
      <c r="B80" s="5" t="s">
        <v>62</v>
      </c>
      <c r="C80" s="5" t="s">
        <v>163</v>
      </c>
      <c r="D80" s="5">
        <v>1</v>
      </c>
      <c r="E80" s="5">
        <v>2</v>
      </c>
      <c r="F80" s="5">
        <v>50</v>
      </c>
      <c r="G80" s="5">
        <v>0</v>
      </c>
      <c r="H80" s="5">
        <v>50</v>
      </c>
      <c r="I80" s="5">
        <v>0</v>
      </c>
      <c r="J80" s="5">
        <v>12</v>
      </c>
      <c r="K80" s="6">
        <f>E80/(VLOOKUP(B80,'[1]2021 Team'!$B$2:$G$33,2,FALSE))</f>
        <v>3.8910505836575876E-3</v>
      </c>
    </row>
    <row r="81" spans="1:11" x14ac:dyDescent="0.25">
      <c r="A81" s="5" t="s">
        <v>2391</v>
      </c>
      <c r="B81" s="5" t="s">
        <v>8</v>
      </c>
      <c r="C81" s="5" t="s">
        <v>980</v>
      </c>
      <c r="D81" s="5">
        <v>1</v>
      </c>
      <c r="E81" s="5">
        <v>1</v>
      </c>
      <c r="F81" s="5">
        <v>100</v>
      </c>
      <c r="G81" s="5">
        <v>0</v>
      </c>
      <c r="H81" s="5">
        <v>0</v>
      </c>
      <c r="I81" s="5">
        <v>0</v>
      </c>
      <c r="J81" s="5">
        <v>23</v>
      </c>
      <c r="K81" s="6">
        <f>E81/(VLOOKUP(B81,'[1]2021 Team'!$B$2:$G$33,2,FALSE))</f>
        <v>1.6920473773265651E-3</v>
      </c>
    </row>
    <row r="82" spans="1:11" x14ac:dyDescent="0.25">
      <c r="A82" s="5" t="s">
        <v>2392</v>
      </c>
      <c r="B82" s="5" t="s">
        <v>10</v>
      </c>
      <c r="C82" s="5" t="s">
        <v>82</v>
      </c>
      <c r="D82" s="5">
        <v>2</v>
      </c>
      <c r="E82" s="5">
        <v>11</v>
      </c>
      <c r="F82" s="5">
        <v>18.2</v>
      </c>
      <c r="G82" s="5">
        <v>0</v>
      </c>
      <c r="H82" s="5">
        <v>0</v>
      </c>
      <c r="I82" s="5">
        <v>18.2</v>
      </c>
      <c r="J82" s="5">
        <v>1.7</v>
      </c>
      <c r="K82" s="6">
        <f>E82/(VLOOKUP(B82,'[1]2021 Team'!$B$2:$G$33,2,FALSE))</f>
        <v>1.9197207678883072E-2</v>
      </c>
    </row>
    <row r="83" spans="1:11" x14ac:dyDescent="0.25">
      <c r="A83" s="5" t="s">
        <v>1586</v>
      </c>
      <c r="B83" s="5" t="s">
        <v>54</v>
      </c>
      <c r="C83" s="5" t="s">
        <v>163</v>
      </c>
      <c r="D83" s="5">
        <v>1</v>
      </c>
      <c r="E83" s="5">
        <v>3</v>
      </c>
      <c r="F83" s="5">
        <v>33.299999999999997</v>
      </c>
      <c r="G83" s="5">
        <v>6</v>
      </c>
      <c r="H83" s="5">
        <v>0</v>
      </c>
      <c r="I83" s="5">
        <v>0</v>
      </c>
      <c r="J83" s="5">
        <v>6.3</v>
      </c>
      <c r="K83" s="6">
        <f>E83/(VLOOKUP(B83,'[1]2021 Team'!$B$2:$G$33,2,FALSE))</f>
        <v>5.0590219224283303E-3</v>
      </c>
    </row>
    <row r="84" spans="1:11" x14ac:dyDescent="0.25">
      <c r="A84" s="5" t="s">
        <v>959</v>
      </c>
      <c r="B84" s="5" t="s">
        <v>54</v>
      </c>
      <c r="C84" s="5" t="s">
        <v>163</v>
      </c>
      <c r="D84" s="5">
        <v>1</v>
      </c>
      <c r="E84" s="5">
        <v>1</v>
      </c>
      <c r="F84" s="5">
        <v>100</v>
      </c>
      <c r="G84" s="5">
        <v>0</v>
      </c>
      <c r="H84" s="5">
        <v>0</v>
      </c>
      <c r="I84" s="5">
        <v>0</v>
      </c>
      <c r="J84" s="5">
        <v>16</v>
      </c>
      <c r="K84" s="6">
        <f>E84/(VLOOKUP(B84,'[1]2021 Team'!$B$2:$G$33,2,FALSE))</f>
        <v>1.6863406408094434E-3</v>
      </c>
    </row>
    <row r="85" spans="1:11" x14ac:dyDescent="0.25">
      <c r="A85" s="5" t="s">
        <v>184</v>
      </c>
      <c r="B85" s="5" t="s">
        <v>26</v>
      </c>
      <c r="C85" s="5" t="s">
        <v>163</v>
      </c>
      <c r="D85" s="5">
        <v>1</v>
      </c>
      <c r="E85" s="5">
        <v>1</v>
      </c>
      <c r="F85" s="5">
        <v>100</v>
      </c>
      <c r="G85" s="5">
        <v>0</v>
      </c>
      <c r="H85" s="5">
        <v>0</v>
      </c>
      <c r="I85" s="5">
        <v>0</v>
      </c>
      <c r="J85" s="5">
        <v>16</v>
      </c>
      <c r="K85" s="6">
        <f>E85/(VLOOKUP(B85,'[1]2021 Team'!$B$2:$G$33,2,FALSE))</f>
        <v>1.8484288354898336E-3</v>
      </c>
    </row>
    <row r="86" spans="1:11" x14ac:dyDescent="0.25">
      <c r="A86" s="5" t="s">
        <v>1579</v>
      </c>
      <c r="B86" s="5" t="s">
        <v>38</v>
      </c>
      <c r="C86" s="5" t="s">
        <v>165</v>
      </c>
      <c r="D86" s="5">
        <v>1</v>
      </c>
      <c r="E86" s="5">
        <v>1</v>
      </c>
      <c r="F86" s="5">
        <v>100</v>
      </c>
      <c r="G86" s="5">
        <v>0</v>
      </c>
      <c r="H86" s="5">
        <v>0</v>
      </c>
      <c r="I86" s="5">
        <v>0</v>
      </c>
      <c r="J86" s="5">
        <v>16</v>
      </c>
      <c r="K86" s="6">
        <f>E86/(VLOOKUP(B86,'[1]2021 Team'!$B$2:$G$33,2,FALSE))</f>
        <v>1.4814814814814814E-3</v>
      </c>
    </row>
    <row r="87" spans="1:11" x14ac:dyDescent="0.25">
      <c r="A87" s="5" t="s">
        <v>2393</v>
      </c>
      <c r="B87" s="5" t="s">
        <v>70</v>
      </c>
      <c r="C87" s="5" t="s">
        <v>82</v>
      </c>
      <c r="D87" s="5">
        <v>3</v>
      </c>
      <c r="E87" s="5">
        <v>6</v>
      </c>
      <c r="F87" s="5">
        <v>50</v>
      </c>
      <c r="G87" s="5">
        <v>2</v>
      </c>
      <c r="H87" s="5">
        <v>0</v>
      </c>
      <c r="I87" s="5">
        <v>0</v>
      </c>
      <c r="J87" s="5">
        <v>2.2000000000000002</v>
      </c>
      <c r="K87" s="6">
        <f>E87/(VLOOKUP(B87,'[1]2021 Team'!$B$2:$G$33,2,FALSE))</f>
        <v>1.090909090909091E-2</v>
      </c>
    </row>
    <row r="88" spans="1:11" x14ac:dyDescent="0.25">
      <c r="A88" s="5" t="s">
        <v>2394</v>
      </c>
      <c r="B88" s="5" t="s">
        <v>68</v>
      </c>
      <c r="C88" s="5" t="s">
        <v>980</v>
      </c>
      <c r="D88" s="5">
        <v>1</v>
      </c>
      <c r="E88" s="5">
        <v>1</v>
      </c>
      <c r="F88" s="5">
        <v>100</v>
      </c>
      <c r="G88" s="5">
        <v>0</v>
      </c>
      <c r="H88" s="5">
        <v>0</v>
      </c>
      <c r="I88" s="5">
        <v>0</v>
      </c>
      <c r="J88" s="5">
        <v>6</v>
      </c>
      <c r="K88" s="6">
        <f>E88/(VLOOKUP(B88,'[1]2021 Team'!$B$2:$G$33,2,FALSE))</f>
        <v>1.869158878504673E-3</v>
      </c>
    </row>
    <row r="89" spans="1:11" x14ac:dyDescent="0.25">
      <c r="A89" s="5" t="s">
        <v>166</v>
      </c>
      <c r="B89" s="5" t="s">
        <v>68</v>
      </c>
      <c r="C89" s="5" t="s">
        <v>159</v>
      </c>
      <c r="D89" s="5">
        <v>1</v>
      </c>
      <c r="E89" s="5">
        <v>1</v>
      </c>
      <c r="F89" s="5">
        <v>100</v>
      </c>
      <c r="G89" s="5">
        <v>0</v>
      </c>
      <c r="H89" s="5">
        <v>100</v>
      </c>
      <c r="I89" s="5">
        <v>0</v>
      </c>
      <c r="J89" s="5">
        <v>5</v>
      </c>
      <c r="K89" s="6">
        <f>E89/(VLOOKUP(B89,'[1]2021 Team'!$B$2:$G$33,2,FALSE))</f>
        <v>1.869158878504673E-3</v>
      </c>
    </row>
    <row r="90" spans="1:11" x14ac:dyDescent="0.25">
      <c r="A90" s="5" t="s">
        <v>2395</v>
      </c>
      <c r="B90" s="5" t="s">
        <v>48</v>
      </c>
      <c r="C90" s="5" t="s">
        <v>82</v>
      </c>
      <c r="D90" s="5">
        <v>2</v>
      </c>
      <c r="E90" s="5">
        <v>3</v>
      </c>
      <c r="F90" s="5">
        <v>66.7</v>
      </c>
      <c r="G90" s="5">
        <v>0</v>
      </c>
      <c r="H90" s="5">
        <v>0</v>
      </c>
      <c r="I90" s="5">
        <v>0</v>
      </c>
      <c r="J90" s="5">
        <v>1.7</v>
      </c>
      <c r="K90" s="6">
        <f>E90/(VLOOKUP(B90,'[1]2021 Team'!$B$2:$G$33,2,FALSE))</f>
        <v>4.9668874172185433E-3</v>
      </c>
    </row>
    <row r="91" spans="1:11" x14ac:dyDescent="0.25">
      <c r="A91" s="5" t="s">
        <v>2370</v>
      </c>
      <c r="B91" s="5" t="s">
        <v>44</v>
      </c>
      <c r="C91" s="5" t="s">
        <v>82</v>
      </c>
      <c r="D91" s="5">
        <v>1</v>
      </c>
      <c r="E91" s="5">
        <v>4</v>
      </c>
      <c r="F91" s="5">
        <v>25</v>
      </c>
      <c r="G91" s="5">
        <v>8</v>
      </c>
      <c r="H91" s="5">
        <v>0</v>
      </c>
      <c r="I91" s="5">
        <v>25</v>
      </c>
      <c r="J91" s="5">
        <v>1.3</v>
      </c>
      <c r="K91" s="6">
        <f>E91/(VLOOKUP(B91,'[1]2021 Team'!$B$2:$G$33,2,FALSE))</f>
        <v>6.5897858319604614E-3</v>
      </c>
    </row>
    <row r="92" spans="1:11" x14ac:dyDescent="0.25">
      <c r="A92" s="5" t="s">
        <v>1627</v>
      </c>
      <c r="B92" s="5" t="s">
        <v>24</v>
      </c>
      <c r="C92" s="5" t="s">
        <v>159</v>
      </c>
      <c r="D92" s="5">
        <v>1</v>
      </c>
      <c r="E92" s="5">
        <v>1</v>
      </c>
      <c r="F92" s="5">
        <v>100</v>
      </c>
      <c r="G92" s="5">
        <v>0</v>
      </c>
      <c r="H92" s="5">
        <v>0</v>
      </c>
      <c r="I92" s="5">
        <v>0</v>
      </c>
      <c r="J92" s="5">
        <v>4</v>
      </c>
      <c r="K92" s="6">
        <f>E92/(VLOOKUP(B92,'[1]2021 Team'!$B$2:$G$33,2,FALSE))</f>
        <v>1.5455950540958269E-3</v>
      </c>
    </row>
    <row r="93" spans="1:11" x14ac:dyDescent="0.25">
      <c r="A93" s="5" t="s">
        <v>115</v>
      </c>
      <c r="B93" s="5" t="s">
        <v>40</v>
      </c>
      <c r="C93" s="5" t="s">
        <v>82</v>
      </c>
      <c r="D93" s="5">
        <v>1</v>
      </c>
      <c r="E93" s="5">
        <v>2</v>
      </c>
      <c r="F93" s="5">
        <v>50</v>
      </c>
      <c r="G93" s="5">
        <v>0</v>
      </c>
      <c r="H93" s="5">
        <v>0</v>
      </c>
      <c r="I93" s="5">
        <v>0</v>
      </c>
      <c r="J93" s="5">
        <v>2</v>
      </c>
      <c r="K93" s="6">
        <f>E93/(VLOOKUP(B93,'[1]2021 Team'!$B$2:$G$33,2,FALSE))</f>
        <v>3.1847133757961785E-3</v>
      </c>
    </row>
    <row r="94" spans="1:11" x14ac:dyDescent="0.25">
      <c r="A94" s="5" t="s">
        <v>1580</v>
      </c>
      <c r="B94" s="5" t="s">
        <v>44</v>
      </c>
      <c r="C94" s="5" t="s">
        <v>165</v>
      </c>
      <c r="D94" s="5">
        <v>1</v>
      </c>
      <c r="E94" s="5">
        <v>1</v>
      </c>
      <c r="F94" s="5">
        <v>100</v>
      </c>
      <c r="G94" s="5">
        <v>0</v>
      </c>
      <c r="H94" s="5">
        <v>0</v>
      </c>
      <c r="I94" s="5">
        <v>0</v>
      </c>
      <c r="J94" s="5">
        <v>2</v>
      </c>
      <c r="K94" s="6">
        <f>E94/(VLOOKUP(B94,'[1]2021 Team'!$B$2:$G$33,2,FALSE))</f>
        <v>1.6474464579901153E-3</v>
      </c>
    </row>
    <row r="95" spans="1:11" x14ac:dyDescent="0.25">
      <c r="A95" s="5" t="s">
        <v>2396</v>
      </c>
      <c r="B95" s="5" t="s">
        <v>58</v>
      </c>
      <c r="C95" s="5" t="s">
        <v>163</v>
      </c>
      <c r="D95" s="5">
        <v>1</v>
      </c>
      <c r="E95" s="5">
        <v>2</v>
      </c>
      <c r="F95" s="5">
        <v>50</v>
      </c>
      <c r="G95" s="5">
        <v>0</v>
      </c>
      <c r="H95" s="5">
        <v>0</v>
      </c>
      <c r="I95" s="5">
        <v>0</v>
      </c>
      <c r="J95" s="5">
        <v>1</v>
      </c>
      <c r="K95" s="6">
        <f>E95/(VLOOKUP(B95,'[1]2021 Team'!$B$2:$G$33,2,FALSE))</f>
        <v>4.048582995951417E-3</v>
      </c>
    </row>
    <row r="96" spans="1:11" x14ac:dyDescent="0.25">
      <c r="A96" s="5" t="s">
        <v>2397</v>
      </c>
      <c r="B96" s="5" t="s">
        <v>26</v>
      </c>
      <c r="C96" s="5" t="s">
        <v>163</v>
      </c>
      <c r="D96" s="5">
        <v>1</v>
      </c>
      <c r="E96" s="5">
        <v>1</v>
      </c>
      <c r="F96" s="5">
        <v>100</v>
      </c>
      <c r="G96" s="5">
        <v>0</v>
      </c>
      <c r="H96" s="5">
        <v>0</v>
      </c>
      <c r="I96" s="5">
        <v>0</v>
      </c>
      <c r="J96" s="5">
        <v>1</v>
      </c>
      <c r="K96" s="6">
        <f>E96/(VLOOKUP(B96,'[1]2021 Team'!$B$2:$G$33,2,FALSE))</f>
        <v>1.8484288354898336E-3</v>
      </c>
    </row>
    <row r="97" spans="1:11" x14ac:dyDescent="0.25">
      <c r="A97" s="5" t="s">
        <v>916</v>
      </c>
      <c r="B97" s="5" t="s">
        <v>42</v>
      </c>
      <c r="C97" s="5" t="s">
        <v>163</v>
      </c>
      <c r="D97" s="5">
        <v>0</v>
      </c>
      <c r="E97" s="5">
        <v>1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6">
        <f>E97/(VLOOKUP(B97,'[1]2021 Team'!$B$2:$G$33,2,FALSE))</f>
        <v>1.483679525222552E-3</v>
      </c>
    </row>
    <row r="98" spans="1:11" x14ac:dyDescent="0.25">
      <c r="A98" s="5" t="s">
        <v>2398</v>
      </c>
      <c r="B98" s="5" t="s">
        <v>32</v>
      </c>
      <c r="C98" s="5" t="s">
        <v>163</v>
      </c>
      <c r="D98" s="5">
        <v>0</v>
      </c>
      <c r="E98" s="5">
        <v>1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6">
        <f>E98/(VLOOKUP(B98,'[1]2021 Team'!$B$2:$G$33,2,FALSE))</f>
        <v>1.8315018315018315E-3</v>
      </c>
    </row>
    <row r="99" spans="1:11" x14ac:dyDescent="0.25">
      <c r="A99" s="5" t="s">
        <v>2399</v>
      </c>
      <c r="B99" s="5" t="s">
        <v>14</v>
      </c>
      <c r="C99" s="5" t="s">
        <v>163</v>
      </c>
      <c r="D99" s="5">
        <v>0</v>
      </c>
      <c r="E99" s="5">
        <v>1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6">
        <f>E99/(VLOOKUP(B99,'[1]2021 Team'!$B$2:$G$33,2,FALSE))</f>
        <v>1.5267175572519084E-3</v>
      </c>
    </row>
    <row r="100" spans="1:11" x14ac:dyDescent="0.25">
      <c r="A100" s="5" t="s">
        <v>2369</v>
      </c>
      <c r="B100" s="5" t="s">
        <v>28</v>
      </c>
      <c r="C100" s="5" t="s">
        <v>82</v>
      </c>
      <c r="D100" s="5">
        <v>0</v>
      </c>
      <c r="E100" s="5">
        <v>0</v>
      </c>
      <c r="F100" s="5"/>
      <c r="G100" s="5">
        <v>6</v>
      </c>
      <c r="H100" s="5"/>
      <c r="I100" s="5"/>
      <c r="J100" s="5"/>
      <c r="K100" s="6">
        <f>E100/(VLOOKUP(B100,'[1]2021 Team'!$B$2:$G$33,2,FALSE))</f>
        <v>0</v>
      </c>
    </row>
    <row r="101" spans="1:11" x14ac:dyDescent="0.25">
      <c r="A101" s="5" t="s">
        <v>2400</v>
      </c>
      <c r="B101" s="5" t="s">
        <v>60</v>
      </c>
      <c r="C101" s="5" t="s">
        <v>174</v>
      </c>
      <c r="D101" s="5">
        <v>0</v>
      </c>
      <c r="E101" s="5">
        <v>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6">
        <f>E101/(VLOOKUP(B101,'[1]2021 Team'!$B$2:$G$33,2,FALSE))</f>
        <v>1.5060240963855422E-3</v>
      </c>
    </row>
    <row r="102" spans="1:11" x14ac:dyDescent="0.25">
      <c r="A102" s="5" t="s">
        <v>988</v>
      </c>
      <c r="B102" s="5" t="s">
        <v>68</v>
      </c>
      <c r="C102" s="5" t="s">
        <v>163</v>
      </c>
      <c r="D102" s="5">
        <v>0</v>
      </c>
      <c r="E102" s="5">
        <v>2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6">
        <f>E102/(VLOOKUP(B102,'[1]2021 Team'!$B$2:$G$33,2,FALSE))</f>
        <v>3.7383177570093459E-3</v>
      </c>
    </row>
    <row r="103" spans="1:11" x14ac:dyDescent="0.25">
      <c r="A103" s="5" t="s">
        <v>2380</v>
      </c>
      <c r="B103" s="5" t="s">
        <v>32</v>
      </c>
      <c r="C103" s="5" t="s">
        <v>159</v>
      </c>
      <c r="D103" s="5">
        <v>0</v>
      </c>
      <c r="E103" s="5">
        <v>1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6">
        <f>E103/(VLOOKUP(B103,'[1]2021 Team'!$B$2:$G$33,2,FALSE))</f>
        <v>1.8315018315018315E-3</v>
      </c>
    </row>
    <row r="104" spans="1:11" x14ac:dyDescent="0.25">
      <c r="A104" s="5" t="s">
        <v>2401</v>
      </c>
      <c r="B104" s="5" t="s">
        <v>56</v>
      </c>
      <c r="C104" s="5" t="s">
        <v>163</v>
      </c>
      <c r="D104" s="5">
        <v>0</v>
      </c>
      <c r="E104" s="5">
        <v>1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6">
        <f>E104/(VLOOKUP(B104,'[1]2021 Team'!$B$2:$G$33,2,FALSE))</f>
        <v>1.658374792703151E-3</v>
      </c>
    </row>
    <row r="105" spans="1:11" x14ac:dyDescent="0.25">
      <c r="A105" s="5" t="s">
        <v>1789</v>
      </c>
      <c r="B105" s="5" t="s">
        <v>56</v>
      </c>
      <c r="C105" s="5" t="s">
        <v>163</v>
      </c>
      <c r="D105" s="5">
        <v>0</v>
      </c>
      <c r="E105" s="5">
        <v>0</v>
      </c>
      <c r="F105" s="5"/>
      <c r="G105" s="5">
        <v>3</v>
      </c>
      <c r="H105" s="5"/>
      <c r="I105" s="5"/>
      <c r="J105" s="5"/>
      <c r="K105" s="6">
        <f>E105/(VLOOKUP(B105,'[1]2021 Team'!$B$2:$G$33,2,FALSE))</f>
        <v>0</v>
      </c>
    </row>
    <row r="106" spans="1:11" x14ac:dyDescent="0.25">
      <c r="A106" s="5" t="s">
        <v>965</v>
      </c>
      <c r="B106" s="5" t="s">
        <v>14</v>
      </c>
      <c r="C106" s="5" t="s">
        <v>163</v>
      </c>
      <c r="D106" s="5">
        <v>0</v>
      </c>
      <c r="E106" s="5">
        <v>0</v>
      </c>
      <c r="F106" s="5"/>
      <c r="G106" s="5">
        <v>2</v>
      </c>
      <c r="H106" s="5"/>
      <c r="I106" s="5"/>
      <c r="J106" s="5"/>
      <c r="K106" s="6">
        <f>E106/(VLOOKUP(B106,'[1]2021 Team'!$B$2:$G$33,2,FALSE))</f>
        <v>0</v>
      </c>
    </row>
    <row r="107" spans="1:11" x14ac:dyDescent="0.25">
      <c r="A107" s="5" t="s">
        <v>2083</v>
      </c>
      <c r="B107" s="5" t="s">
        <v>54</v>
      </c>
      <c r="C107" s="5" t="s">
        <v>165</v>
      </c>
      <c r="D107" s="5">
        <v>0</v>
      </c>
      <c r="E107" s="5">
        <v>1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6">
        <f>E107/(VLOOKUP(B107,'[1]2021 Team'!$B$2:$G$33,2,FALSE))</f>
        <v>1.6863406408094434E-3</v>
      </c>
    </row>
    <row r="108" spans="1:11" x14ac:dyDescent="0.25">
      <c r="A108" s="5" t="s">
        <v>1704</v>
      </c>
      <c r="B108" s="5" t="s">
        <v>66</v>
      </c>
      <c r="C108" s="5" t="s">
        <v>159</v>
      </c>
      <c r="D108" s="5">
        <v>0</v>
      </c>
      <c r="E108" s="5">
        <v>1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6">
        <f>E108/(VLOOKUP(B108,'[1]2021 Team'!$B$2:$G$33,2,FALSE))</f>
        <v>1.3679890560875513E-3</v>
      </c>
    </row>
    <row r="109" spans="1:11" x14ac:dyDescent="0.25">
      <c r="A109" s="5" t="s">
        <v>705</v>
      </c>
      <c r="B109" s="5" t="s">
        <v>10</v>
      </c>
      <c r="C109" s="5" t="s">
        <v>82</v>
      </c>
      <c r="D109" s="5">
        <v>0</v>
      </c>
      <c r="E109" s="5">
        <v>1</v>
      </c>
      <c r="F109" s="5">
        <v>0</v>
      </c>
      <c r="G109" s="5">
        <v>0</v>
      </c>
      <c r="H109" s="5">
        <v>0</v>
      </c>
      <c r="I109" s="5">
        <v>100</v>
      </c>
      <c r="J109" s="5">
        <v>0</v>
      </c>
      <c r="K109" s="6">
        <f>E109/(VLOOKUP(B109,'[1]2021 Team'!$B$2:$G$33,2,FALSE))</f>
        <v>1.7452006980802793E-3</v>
      </c>
    </row>
    <row r="110" spans="1:11" x14ac:dyDescent="0.25">
      <c r="A110" s="5" t="s">
        <v>844</v>
      </c>
      <c r="B110" s="5" t="s">
        <v>46</v>
      </c>
      <c r="C110" s="5" t="s">
        <v>153</v>
      </c>
      <c r="D110" s="5">
        <v>0</v>
      </c>
      <c r="E110" s="5">
        <v>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6">
        <f>E110/(VLOOKUP(B110,'[1]2021 Team'!$B$2:$G$33,2,FALSE))</f>
        <v>1.6260162601626016E-3</v>
      </c>
    </row>
    <row r="111" spans="1:11" x14ac:dyDescent="0.25">
      <c r="A111" s="5" t="s">
        <v>1745</v>
      </c>
      <c r="B111" s="5" t="s">
        <v>52</v>
      </c>
      <c r="C111" s="5" t="s">
        <v>165</v>
      </c>
      <c r="D111" s="5">
        <v>0</v>
      </c>
      <c r="E111" s="5">
        <v>1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6">
        <f>E111/(VLOOKUP(B111,'[1]2021 Team'!$B$2:$G$33,2,FALSE))</f>
        <v>1.984126984126984E-3</v>
      </c>
    </row>
    <row r="112" spans="1:11" x14ac:dyDescent="0.25">
      <c r="A112" s="5" t="s">
        <v>2402</v>
      </c>
      <c r="B112" s="5" t="s">
        <v>12</v>
      </c>
      <c r="C112" s="5" t="s">
        <v>165</v>
      </c>
      <c r="D112" s="5">
        <v>0</v>
      </c>
      <c r="E112" s="5">
        <v>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6">
        <f>E112/(VLOOKUP(B112,'[1]2021 Team'!$B$2:$G$33,2,FALSE))</f>
        <v>1.6366612111292963E-3</v>
      </c>
    </row>
    <row r="113" spans="1:11" x14ac:dyDescent="0.25">
      <c r="A113" s="5" t="s">
        <v>181</v>
      </c>
      <c r="B113" s="5" t="s">
        <v>44</v>
      </c>
      <c r="C113" s="5" t="s">
        <v>163</v>
      </c>
      <c r="D113" s="5">
        <v>0</v>
      </c>
      <c r="E113" s="5">
        <v>1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6">
        <f>E113/(VLOOKUP(B113,'[1]2021 Team'!$B$2:$G$33,2,FALSE))</f>
        <v>1.6474464579901153E-3</v>
      </c>
    </row>
    <row r="114" spans="1:11" x14ac:dyDescent="0.25">
      <c r="A114" s="5" t="s">
        <v>2403</v>
      </c>
      <c r="B114" s="5" t="s">
        <v>22</v>
      </c>
      <c r="C114" s="5" t="s">
        <v>163</v>
      </c>
      <c r="D114" s="5">
        <v>0</v>
      </c>
      <c r="E114" s="5">
        <v>0</v>
      </c>
      <c r="F114" s="5"/>
      <c r="G114" s="5">
        <v>1</v>
      </c>
      <c r="H114" s="5"/>
      <c r="I114" s="5"/>
      <c r="J114" s="5"/>
      <c r="K114" s="6">
        <f>E114/(VLOOKUP(B114,'[1]2021 Team'!$B$2:$G$33,2,FALSE))</f>
        <v>0</v>
      </c>
    </row>
    <row r="115" spans="1:11" x14ac:dyDescent="0.25">
      <c r="A115" s="5" t="s">
        <v>2404</v>
      </c>
      <c r="B115" s="5" t="s">
        <v>42</v>
      </c>
      <c r="C115" s="5" t="s">
        <v>165</v>
      </c>
      <c r="D115" s="5">
        <v>0</v>
      </c>
      <c r="E115" s="5">
        <v>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6">
        <f>E115/(VLOOKUP(B115,'[1]2021 Team'!$B$2:$G$33,2,FALSE))</f>
        <v>1.483679525222552E-3</v>
      </c>
    </row>
    <row r="116" spans="1:11" x14ac:dyDescent="0.25">
      <c r="A116" s="5" t="s">
        <v>158</v>
      </c>
      <c r="B116" s="5" t="s">
        <v>18</v>
      </c>
      <c r="C116" s="5" t="s">
        <v>159</v>
      </c>
      <c r="D116" s="5">
        <v>0</v>
      </c>
      <c r="E116" s="5">
        <v>1</v>
      </c>
      <c r="F116" s="5">
        <v>0</v>
      </c>
      <c r="G116" s="5">
        <v>0</v>
      </c>
      <c r="H116" s="5">
        <v>0</v>
      </c>
      <c r="I116" s="5">
        <v>100</v>
      </c>
      <c r="J116" s="5">
        <v>0</v>
      </c>
      <c r="K116" s="6">
        <f>E116/(VLOOKUP(B116,'[1]2021 Team'!$B$2:$G$33,2,FALSE))</f>
        <v>1.8450184501845018E-3</v>
      </c>
    </row>
    <row r="117" spans="1:11" x14ac:dyDescent="0.25">
      <c r="A117" s="5" t="s">
        <v>1674</v>
      </c>
      <c r="B117" s="5" t="s">
        <v>10</v>
      </c>
      <c r="C117" s="5" t="s">
        <v>159</v>
      </c>
      <c r="D117" s="5">
        <v>0</v>
      </c>
      <c r="E117" s="5">
        <v>1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6">
        <f>E117/(VLOOKUP(B117,'[1]2021 Team'!$B$2:$G$33,2,FALSE))</f>
        <v>1.7452006980802793E-3</v>
      </c>
    </row>
    <row r="118" spans="1:11" x14ac:dyDescent="0.25">
      <c r="A118" s="5" t="s">
        <v>183</v>
      </c>
      <c r="B118" s="5" t="s">
        <v>26</v>
      </c>
      <c r="C118" s="5" t="s">
        <v>82</v>
      </c>
      <c r="D118" s="5">
        <v>0</v>
      </c>
      <c r="E118" s="5">
        <v>2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6">
        <f>E118/(VLOOKUP(B118,'[1]2021 Team'!$B$2:$G$33,2,FALSE))</f>
        <v>3.6968576709796672E-3</v>
      </c>
    </row>
    <row r="119" spans="1:11" x14ac:dyDescent="0.25">
      <c r="A119" s="5" t="s">
        <v>267</v>
      </c>
      <c r="B119" s="5" t="s">
        <v>28</v>
      </c>
      <c r="C119" s="5" t="s">
        <v>159</v>
      </c>
      <c r="D119" s="5">
        <v>0</v>
      </c>
      <c r="E119" s="5">
        <v>1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6">
        <f>E119/(VLOOKUP(B119,'[1]2021 Team'!$B$2:$G$33,2,FALSE))</f>
        <v>1.6863406408094434E-3</v>
      </c>
    </row>
    <row r="120" spans="1:11" x14ac:dyDescent="0.25">
      <c r="A120" s="5" t="s">
        <v>2405</v>
      </c>
      <c r="B120" s="5" t="s">
        <v>46</v>
      </c>
      <c r="C120" s="5" t="s">
        <v>163</v>
      </c>
      <c r="D120" s="5">
        <v>0</v>
      </c>
      <c r="E120" s="5">
        <v>1</v>
      </c>
      <c r="F120" s="5">
        <v>0</v>
      </c>
      <c r="G120" s="5">
        <v>1</v>
      </c>
      <c r="H120" s="5">
        <v>0</v>
      </c>
      <c r="I120" s="5">
        <v>0</v>
      </c>
      <c r="J120" s="5">
        <v>0</v>
      </c>
      <c r="K120" s="6">
        <f>E120/(VLOOKUP(B120,'[1]2021 Team'!$B$2:$G$33,2,FALSE))</f>
        <v>1.6260162601626016E-3</v>
      </c>
    </row>
    <row r="121" spans="1:11" x14ac:dyDescent="0.25">
      <c r="A121" s="5" t="s">
        <v>2406</v>
      </c>
      <c r="B121" s="5" t="s">
        <v>16</v>
      </c>
      <c r="C121" s="5" t="s">
        <v>163</v>
      </c>
      <c r="D121" s="5">
        <v>0</v>
      </c>
      <c r="E121" s="5">
        <v>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6">
        <f>E121/(VLOOKUP(B121,'[1]2021 Team'!$B$2:$G$33,2,FALSE))</f>
        <v>1.6694490818030051E-3</v>
      </c>
    </row>
  </sheetData>
  <autoFilter ref="A1:K121" xr:uid="{72A509EE-1930-426A-BBB0-6F123746EAD7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6"/>
  <sheetViews>
    <sheetView workbookViewId="0">
      <selection activeCell="B1" sqref="B1"/>
    </sheetView>
  </sheetViews>
  <sheetFormatPr defaultRowHeight="15" x14ac:dyDescent="0.25"/>
  <cols>
    <col min="1" max="1" width="24.28515625" customWidth="1"/>
    <col min="2" max="6" width="9.140625" customWidth="1"/>
    <col min="7" max="7" width="9.140625" style="2" customWidth="1"/>
    <col min="8" max="8" width="9.140625" customWidth="1"/>
    <col min="9" max="9" width="15.85546875" style="3" customWidth="1"/>
  </cols>
  <sheetData>
    <row r="1" spans="1:9" x14ac:dyDescent="0.25">
      <c r="A1" t="s">
        <v>71</v>
      </c>
      <c r="B1" t="s">
        <v>0</v>
      </c>
      <c r="C1" t="s">
        <v>72</v>
      </c>
      <c r="D1" t="s">
        <v>74</v>
      </c>
      <c r="E1" t="s">
        <v>76</v>
      </c>
      <c r="F1" t="s">
        <v>188</v>
      </c>
      <c r="G1" s="2" t="s">
        <v>189</v>
      </c>
      <c r="H1" t="s">
        <v>79</v>
      </c>
      <c r="I1" s="3" t="s">
        <v>190</v>
      </c>
    </row>
    <row r="2" spans="1:9" x14ac:dyDescent="0.25">
      <c r="A2" t="s">
        <v>166</v>
      </c>
      <c r="B2" t="s">
        <v>12</v>
      </c>
      <c r="C2" t="s">
        <v>159</v>
      </c>
      <c r="D2" t="s">
        <v>191</v>
      </c>
      <c r="E2" t="s">
        <v>192</v>
      </c>
      <c r="F2" t="s">
        <v>193</v>
      </c>
      <c r="G2" s="3">
        <f t="shared" ref="G2:G65" si="0">F2/D2</f>
        <v>5.2117263843648211E-2</v>
      </c>
      <c r="H2" t="s">
        <v>194</v>
      </c>
      <c r="I2" s="3">
        <f>D2/(VLOOKUP(B2,'2025 Team'!$B$2:$G$33,3,FALSE))</f>
        <v>0.60552268244575935</v>
      </c>
    </row>
    <row r="3" spans="1:9" x14ac:dyDescent="0.25">
      <c r="A3" t="s">
        <v>195</v>
      </c>
      <c r="B3" t="s">
        <v>14</v>
      </c>
      <c r="C3" t="s">
        <v>159</v>
      </c>
      <c r="D3" t="s">
        <v>196</v>
      </c>
      <c r="E3" t="s">
        <v>197</v>
      </c>
      <c r="F3" t="s">
        <v>198</v>
      </c>
      <c r="G3" s="3">
        <f t="shared" si="0"/>
        <v>3.8834951456310676E-2</v>
      </c>
      <c r="H3" t="s">
        <v>194</v>
      </c>
      <c r="I3" s="3">
        <f>D3/(VLOOKUP(B3,'2025 Team'!$B$2:$G$33,3,FALSE))</f>
        <v>0.56489945155393051</v>
      </c>
    </row>
    <row r="4" spans="1:9" x14ac:dyDescent="0.25">
      <c r="A4" t="s">
        <v>199</v>
      </c>
      <c r="B4" t="s">
        <v>34</v>
      </c>
      <c r="C4" t="s">
        <v>159</v>
      </c>
      <c r="D4" t="s">
        <v>200</v>
      </c>
      <c r="E4" t="s">
        <v>201</v>
      </c>
      <c r="F4" t="s">
        <v>202</v>
      </c>
      <c r="G4" s="3">
        <f t="shared" si="0"/>
        <v>5.5727554179566562E-2</v>
      </c>
      <c r="H4" t="s">
        <v>203</v>
      </c>
      <c r="I4" s="3">
        <f>D4/(VLOOKUP(B4,'2025 Team'!$B$2:$G$33,3,FALSE))</f>
        <v>0.73076923076923073</v>
      </c>
    </row>
    <row r="5" spans="1:9" x14ac:dyDescent="0.25">
      <c r="A5" t="s">
        <v>204</v>
      </c>
      <c r="B5" t="s">
        <v>58</v>
      </c>
      <c r="C5" t="s">
        <v>159</v>
      </c>
      <c r="D5" t="s">
        <v>205</v>
      </c>
      <c r="E5" t="s">
        <v>206</v>
      </c>
      <c r="F5" t="s">
        <v>207</v>
      </c>
      <c r="G5" s="3">
        <f t="shared" si="0"/>
        <v>2.5000000000000001E-2</v>
      </c>
      <c r="H5" t="s">
        <v>208</v>
      </c>
      <c r="I5" s="3">
        <f>D5/(VLOOKUP(B5,'2025 Team'!$B$2:$G$33,3,FALSE))</f>
        <v>0.58577405857740583</v>
      </c>
    </row>
    <row r="6" spans="1:9" x14ac:dyDescent="0.25">
      <c r="A6" t="s">
        <v>182</v>
      </c>
      <c r="B6" t="s">
        <v>62</v>
      </c>
      <c r="C6" t="s">
        <v>159</v>
      </c>
      <c r="D6" t="s">
        <v>209</v>
      </c>
      <c r="E6" t="s">
        <v>210</v>
      </c>
      <c r="F6" t="s">
        <v>211</v>
      </c>
      <c r="G6" s="3">
        <f t="shared" si="0"/>
        <v>3.215434083601286E-2</v>
      </c>
      <c r="H6" t="s">
        <v>212</v>
      </c>
      <c r="I6" s="3">
        <f>D6/(VLOOKUP(B6,'2025 Team'!$B$2:$G$33,3,FALSE))</f>
        <v>0.64656964656964655</v>
      </c>
    </row>
    <row r="7" spans="1:9" x14ac:dyDescent="0.25">
      <c r="A7" t="s">
        <v>213</v>
      </c>
      <c r="B7" t="s">
        <v>10</v>
      </c>
      <c r="C7" t="s">
        <v>159</v>
      </c>
      <c r="D7" t="s">
        <v>214</v>
      </c>
      <c r="E7" t="s">
        <v>215</v>
      </c>
      <c r="F7" t="s">
        <v>207</v>
      </c>
      <c r="G7" s="3">
        <f t="shared" si="0"/>
        <v>2.4390243902439025E-2</v>
      </c>
      <c r="H7" t="s">
        <v>216</v>
      </c>
      <c r="I7" s="3">
        <f>D7/(VLOOKUP(B7,'2025 Team'!$B$2:$G$33,3,FALSE))</f>
        <v>0.60167714884696022</v>
      </c>
    </row>
    <row r="8" spans="1:9" x14ac:dyDescent="0.25">
      <c r="A8" t="s">
        <v>217</v>
      </c>
      <c r="B8" t="s">
        <v>40</v>
      </c>
      <c r="C8" t="s">
        <v>159</v>
      </c>
      <c r="D8" t="s">
        <v>218</v>
      </c>
      <c r="E8" t="s">
        <v>219</v>
      </c>
      <c r="F8" t="s">
        <v>220</v>
      </c>
      <c r="G8" s="3">
        <f t="shared" si="0"/>
        <v>1.8796992481203006E-2</v>
      </c>
      <c r="H8" t="s">
        <v>221</v>
      </c>
      <c r="I8" s="3">
        <f>D8/(VLOOKUP(B8,'2025 Team'!$B$2:$G$33,3,FALSE))</f>
        <v>0.72086720867208676</v>
      </c>
    </row>
    <row r="9" spans="1:9" x14ac:dyDescent="0.25">
      <c r="A9" t="s">
        <v>222</v>
      </c>
      <c r="B9" t="s">
        <v>46</v>
      </c>
      <c r="C9" t="s">
        <v>159</v>
      </c>
      <c r="D9" t="s">
        <v>223</v>
      </c>
      <c r="E9" t="s">
        <v>224</v>
      </c>
      <c r="F9" t="s">
        <v>225</v>
      </c>
      <c r="G9" s="3">
        <f t="shared" si="0"/>
        <v>3.3613445378151259E-2</v>
      </c>
      <c r="H9" t="s">
        <v>226</v>
      </c>
      <c r="I9" s="3">
        <f>D9/(VLOOKUP(B9,'2025 Team'!$B$2:$G$33,3,FALSE))</f>
        <v>0.55092592592592593</v>
      </c>
    </row>
    <row r="10" spans="1:9" x14ac:dyDescent="0.25">
      <c r="A10" t="s">
        <v>178</v>
      </c>
      <c r="B10" t="s">
        <v>56</v>
      </c>
      <c r="C10" t="s">
        <v>159</v>
      </c>
      <c r="D10" t="s">
        <v>227</v>
      </c>
      <c r="E10" t="s">
        <v>228</v>
      </c>
      <c r="F10" t="s">
        <v>229</v>
      </c>
      <c r="G10" s="3">
        <f t="shared" si="0"/>
        <v>1.646090534979424E-2</v>
      </c>
      <c r="H10" t="s">
        <v>230</v>
      </c>
      <c r="I10" s="3">
        <f>D10/(VLOOKUP(B10,'2025 Team'!$B$2:$G$33,3,FALSE))</f>
        <v>0.53289473684210531</v>
      </c>
    </row>
    <row r="11" spans="1:9" x14ac:dyDescent="0.25">
      <c r="A11" t="s">
        <v>231</v>
      </c>
      <c r="B11" t="s">
        <v>30</v>
      </c>
      <c r="C11" t="s">
        <v>159</v>
      </c>
      <c r="D11" t="s">
        <v>232</v>
      </c>
      <c r="E11" t="s">
        <v>233</v>
      </c>
      <c r="F11" t="s">
        <v>234</v>
      </c>
      <c r="G11" s="3">
        <f t="shared" si="0"/>
        <v>5.5555555555555552E-2</v>
      </c>
      <c r="H11" t="s">
        <v>235</v>
      </c>
      <c r="I11" s="3">
        <f>D11/(VLOOKUP(B11,'2025 Team'!$B$2:$G$33,3,FALSE))</f>
        <v>0.47560975609756095</v>
      </c>
    </row>
    <row r="12" spans="1:9" x14ac:dyDescent="0.25">
      <c r="A12" t="s">
        <v>236</v>
      </c>
      <c r="B12" t="s">
        <v>36</v>
      </c>
      <c r="C12" t="s">
        <v>159</v>
      </c>
      <c r="D12" t="s">
        <v>237</v>
      </c>
      <c r="E12" t="s">
        <v>238</v>
      </c>
      <c r="F12" t="s">
        <v>207</v>
      </c>
      <c r="G12" s="3">
        <f t="shared" si="0"/>
        <v>2.6923076923076925E-2</v>
      </c>
      <c r="H12" t="s">
        <v>239</v>
      </c>
      <c r="I12" s="3">
        <f>D12/(VLOOKUP(B12,'2025 Team'!$B$2:$G$33,3,FALSE))</f>
        <v>0.5316973415132924</v>
      </c>
    </row>
    <row r="13" spans="1:9" x14ac:dyDescent="0.25">
      <c r="A13" t="s">
        <v>240</v>
      </c>
      <c r="B13" t="s">
        <v>64</v>
      </c>
      <c r="C13" t="s">
        <v>159</v>
      </c>
      <c r="D13" t="s">
        <v>241</v>
      </c>
      <c r="E13" t="s">
        <v>242</v>
      </c>
      <c r="F13" t="s">
        <v>220</v>
      </c>
      <c r="G13" s="3">
        <f t="shared" si="0"/>
        <v>2.2624434389140271E-2</v>
      </c>
      <c r="H13" t="s">
        <v>243</v>
      </c>
      <c r="I13" s="3">
        <f>D13/(VLOOKUP(B13,'2025 Team'!$B$2:$G$33,3,FALSE))</f>
        <v>0.4358974358974359</v>
      </c>
    </row>
    <row r="14" spans="1:9" x14ac:dyDescent="0.25">
      <c r="A14" t="s">
        <v>244</v>
      </c>
      <c r="B14" t="s">
        <v>16</v>
      </c>
      <c r="C14" t="s">
        <v>159</v>
      </c>
      <c r="D14" t="s">
        <v>245</v>
      </c>
      <c r="E14" t="s">
        <v>246</v>
      </c>
      <c r="F14" t="s">
        <v>247</v>
      </c>
      <c r="G14" s="3">
        <f t="shared" si="0"/>
        <v>2.5423728813559324E-2</v>
      </c>
      <c r="H14" t="s">
        <v>243</v>
      </c>
      <c r="I14" s="3">
        <f>D14/(VLOOKUP(B14,'2025 Team'!$B$2:$G$33,3,FALSE))</f>
        <v>0.51193058568329719</v>
      </c>
    </row>
    <row r="15" spans="1:9" x14ac:dyDescent="0.25">
      <c r="A15" t="s">
        <v>248</v>
      </c>
      <c r="B15" t="s">
        <v>44</v>
      </c>
      <c r="C15" t="s">
        <v>159</v>
      </c>
      <c r="D15" t="s">
        <v>249</v>
      </c>
      <c r="E15" t="s">
        <v>250</v>
      </c>
      <c r="F15" t="s">
        <v>211</v>
      </c>
      <c r="G15" s="3">
        <f t="shared" si="0"/>
        <v>3.8610038610038609E-2</v>
      </c>
      <c r="H15" t="s">
        <v>251</v>
      </c>
      <c r="I15" s="3">
        <f>D15/(VLOOKUP(B15,'2025 Team'!$B$2:$G$33,3,FALSE))</f>
        <v>0.55698924731182797</v>
      </c>
    </row>
    <row r="16" spans="1:9" x14ac:dyDescent="0.25">
      <c r="A16" t="s">
        <v>252</v>
      </c>
      <c r="B16" t="s">
        <v>68</v>
      </c>
      <c r="C16" t="s">
        <v>159</v>
      </c>
      <c r="D16" t="s">
        <v>253</v>
      </c>
      <c r="E16" t="s">
        <v>254</v>
      </c>
      <c r="F16" t="s">
        <v>220</v>
      </c>
      <c r="G16" s="3">
        <f t="shared" si="0"/>
        <v>2.0661157024793389E-2</v>
      </c>
      <c r="H16" t="s">
        <v>255</v>
      </c>
      <c r="I16" s="3">
        <f>D16/(VLOOKUP(B16,'2025 Team'!$B$2:$G$33,3,FALSE))</f>
        <v>0.64021164021164023</v>
      </c>
    </row>
    <row r="17" spans="1:9" x14ac:dyDescent="0.25">
      <c r="A17" t="s">
        <v>256</v>
      </c>
      <c r="B17" t="s">
        <v>28</v>
      </c>
      <c r="C17" t="s">
        <v>159</v>
      </c>
      <c r="D17" t="s">
        <v>227</v>
      </c>
      <c r="E17" t="s">
        <v>257</v>
      </c>
      <c r="F17" t="s">
        <v>234</v>
      </c>
      <c r="G17" s="3">
        <f t="shared" si="0"/>
        <v>5.3497942386831275E-2</v>
      </c>
      <c r="H17" t="s">
        <v>258</v>
      </c>
      <c r="I17" s="3">
        <f>D17/(VLOOKUP(B17,'2025 Team'!$B$2:$G$33,3,FALSE))</f>
        <v>0.54977375565610864</v>
      </c>
    </row>
    <row r="18" spans="1:9" x14ac:dyDescent="0.25">
      <c r="A18" t="s">
        <v>259</v>
      </c>
      <c r="B18" t="s">
        <v>22</v>
      </c>
      <c r="C18" t="s">
        <v>159</v>
      </c>
      <c r="D18" t="s">
        <v>260</v>
      </c>
      <c r="E18" t="s">
        <v>261</v>
      </c>
      <c r="F18" t="s">
        <v>207</v>
      </c>
      <c r="G18" s="3">
        <f t="shared" si="0"/>
        <v>3.0434782608695653E-2</v>
      </c>
      <c r="H18" t="s">
        <v>262</v>
      </c>
      <c r="I18" s="3">
        <f>D18/(VLOOKUP(B18,'2025 Team'!$B$2:$G$33,3,FALSE))</f>
        <v>0.54631828978622332</v>
      </c>
    </row>
    <row r="19" spans="1:9" x14ac:dyDescent="0.25">
      <c r="A19" t="s">
        <v>263</v>
      </c>
      <c r="B19" t="s">
        <v>24</v>
      </c>
      <c r="C19" t="s">
        <v>159</v>
      </c>
      <c r="D19" t="s">
        <v>264</v>
      </c>
      <c r="E19" t="s">
        <v>265</v>
      </c>
      <c r="F19" t="s">
        <v>266</v>
      </c>
      <c r="G19" s="3">
        <f t="shared" si="0"/>
        <v>4.3650793650793648E-2</v>
      </c>
      <c r="H19" t="s">
        <v>251</v>
      </c>
      <c r="I19" s="3">
        <f>D19/(VLOOKUP(B19,'2025 Team'!$B$2:$G$33,3,FALSE))</f>
        <v>0.54193548387096779</v>
      </c>
    </row>
    <row r="20" spans="1:9" x14ac:dyDescent="0.25">
      <c r="A20" t="s">
        <v>267</v>
      </c>
      <c r="B20" t="s">
        <v>18</v>
      </c>
      <c r="C20" t="s">
        <v>159</v>
      </c>
      <c r="D20" t="s">
        <v>268</v>
      </c>
      <c r="E20" t="s">
        <v>269</v>
      </c>
      <c r="F20" t="s">
        <v>270</v>
      </c>
      <c r="G20" s="3">
        <f t="shared" si="0"/>
        <v>4.0358744394618833E-2</v>
      </c>
      <c r="H20" t="s">
        <v>203</v>
      </c>
      <c r="I20" s="3">
        <f>D20/(VLOOKUP(B20,'2025 Team'!$B$2:$G$33,3,FALSE))</f>
        <v>0.44158415841584159</v>
      </c>
    </row>
    <row r="21" spans="1:9" x14ac:dyDescent="0.25">
      <c r="A21" t="s">
        <v>271</v>
      </c>
      <c r="B21" t="s">
        <v>60</v>
      </c>
      <c r="C21" t="s">
        <v>159</v>
      </c>
      <c r="D21" t="s">
        <v>272</v>
      </c>
      <c r="E21" t="s">
        <v>273</v>
      </c>
      <c r="F21" t="s">
        <v>247</v>
      </c>
      <c r="G21" s="3">
        <f t="shared" si="0"/>
        <v>2.843601895734597E-2</v>
      </c>
      <c r="H21" t="s">
        <v>255</v>
      </c>
      <c r="I21" s="3">
        <f>D21/(VLOOKUP(B21,'2025 Team'!$B$2:$G$33,3,FALSE))</f>
        <v>0.51842751842751844</v>
      </c>
    </row>
    <row r="22" spans="1:9" x14ac:dyDescent="0.25">
      <c r="A22" t="s">
        <v>274</v>
      </c>
      <c r="B22" t="s">
        <v>64</v>
      </c>
      <c r="C22" t="s">
        <v>159</v>
      </c>
      <c r="D22" t="s">
        <v>275</v>
      </c>
      <c r="E22" t="s">
        <v>276</v>
      </c>
      <c r="F22" t="s">
        <v>198</v>
      </c>
      <c r="G22" s="3">
        <f t="shared" si="0"/>
        <v>6.5217391304347824E-2</v>
      </c>
      <c r="H22" t="s">
        <v>235</v>
      </c>
      <c r="I22" s="3">
        <f>D22/(VLOOKUP(B22,'2025 Team'!$B$2:$G$33,3,FALSE))</f>
        <v>0.3629191321499014</v>
      </c>
    </row>
    <row r="23" spans="1:9" x14ac:dyDescent="0.25">
      <c r="A23" t="s">
        <v>277</v>
      </c>
      <c r="B23" t="s">
        <v>70</v>
      </c>
      <c r="C23" t="s">
        <v>159</v>
      </c>
      <c r="D23" t="s">
        <v>278</v>
      </c>
      <c r="E23" t="s">
        <v>279</v>
      </c>
      <c r="F23" t="s">
        <v>225</v>
      </c>
      <c r="G23" s="3">
        <f t="shared" si="0"/>
        <v>4.5714285714285714E-2</v>
      </c>
      <c r="H23" t="s">
        <v>243</v>
      </c>
      <c r="I23" s="3">
        <f>D23/(VLOOKUP(B23,'2025 Team'!$B$2:$G$33,3,FALSE))</f>
        <v>0.36157024793388431</v>
      </c>
    </row>
    <row r="24" spans="1:9" x14ac:dyDescent="0.25">
      <c r="A24" t="s">
        <v>280</v>
      </c>
      <c r="B24" t="s">
        <v>20</v>
      </c>
      <c r="C24" t="s">
        <v>159</v>
      </c>
      <c r="D24" t="s">
        <v>281</v>
      </c>
      <c r="E24" t="s">
        <v>282</v>
      </c>
      <c r="F24" t="s">
        <v>247</v>
      </c>
      <c r="G24" s="3">
        <f t="shared" si="0"/>
        <v>2.5862068965517241E-2</v>
      </c>
      <c r="H24" t="s">
        <v>230</v>
      </c>
      <c r="I24" s="3">
        <f>D24/(VLOOKUP(B24,'2025 Team'!$B$2:$G$33,3,FALSE))</f>
        <v>0.60892388451443569</v>
      </c>
    </row>
    <row r="25" spans="1:9" x14ac:dyDescent="0.25">
      <c r="A25" t="s">
        <v>283</v>
      </c>
      <c r="B25" t="s">
        <v>50</v>
      </c>
      <c r="C25" t="s">
        <v>159</v>
      </c>
      <c r="D25" t="s">
        <v>284</v>
      </c>
      <c r="E25" t="s">
        <v>285</v>
      </c>
      <c r="F25" t="s">
        <v>270</v>
      </c>
      <c r="G25" s="3">
        <f t="shared" si="0"/>
        <v>0.05</v>
      </c>
      <c r="H25" t="s">
        <v>216</v>
      </c>
      <c r="I25" s="3">
        <f>D25/(VLOOKUP(B25,'2025 Team'!$B$2:$G$33,3,FALSE))</f>
        <v>0.36437246963562753</v>
      </c>
    </row>
    <row r="26" spans="1:9" x14ac:dyDescent="0.25">
      <c r="A26" t="s">
        <v>286</v>
      </c>
      <c r="B26" t="s">
        <v>32</v>
      </c>
      <c r="C26" t="s">
        <v>159</v>
      </c>
      <c r="D26" t="s">
        <v>287</v>
      </c>
      <c r="E26" t="s">
        <v>288</v>
      </c>
      <c r="F26" t="s">
        <v>289</v>
      </c>
      <c r="G26" s="3">
        <f t="shared" si="0"/>
        <v>1.020408163265306E-2</v>
      </c>
      <c r="H26" t="s">
        <v>262</v>
      </c>
      <c r="I26" s="3">
        <f>D26/(VLOOKUP(B26,'2025 Team'!$B$2:$G$33,3,FALSE))</f>
        <v>0.4126315789473684</v>
      </c>
    </row>
    <row r="27" spans="1:9" x14ac:dyDescent="0.25">
      <c r="A27" t="s">
        <v>290</v>
      </c>
      <c r="B27" t="s">
        <v>54</v>
      </c>
      <c r="C27" t="s">
        <v>159</v>
      </c>
      <c r="D27" t="s">
        <v>291</v>
      </c>
      <c r="E27" t="s">
        <v>292</v>
      </c>
      <c r="F27" t="s">
        <v>289</v>
      </c>
      <c r="G27" s="3">
        <f t="shared" si="0"/>
        <v>1.1363636363636364E-2</v>
      </c>
      <c r="H27" t="s">
        <v>293</v>
      </c>
      <c r="I27" s="3">
        <f>D27/(VLOOKUP(B27,'2025 Team'!$B$2:$G$33,3,FALSE))</f>
        <v>0.34442270058708413</v>
      </c>
    </row>
    <row r="28" spans="1:9" x14ac:dyDescent="0.25">
      <c r="A28" t="s">
        <v>294</v>
      </c>
      <c r="B28" t="s">
        <v>48</v>
      </c>
      <c r="C28" t="s">
        <v>159</v>
      </c>
      <c r="D28" t="s">
        <v>295</v>
      </c>
      <c r="E28" t="s">
        <v>296</v>
      </c>
      <c r="F28" t="s">
        <v>247</v>
      </c>
      <c r="G28" s="3">
        <f t="shared" si="0"/>
        <v>3.7735849056603772E-2</v>
      </c>
      <c r="H28" t="s">
        <v>251</v>
      </c>
      <c r="I28" s="3">
        <f>D28/(VLOOKUP(B28,'2025 Team'!$B$2:$G$33,3,FALSE))</f>
        <v>0.3878048780487805</v>
      </c>
    </row>
    <row r="29" spans="1:9" x14ac:dyDescent="0.25">
      <c r="A29" t="s">
        <v>297</v>
      </c>
      <c r="B29" t="s">
        <v>66</v>
      </c>
      <c r="C29" t="s">
        <v>159</v>
      </c>
      <c r="D29" t="s">
        <v>298</v>
      </c>
      <c r="E29" t="s">
        <v>299</v>
      </c>
      <c r="F29" t="s">
        <v>300</v>
      </c>
      <c r="G29" s="3">
        <f t="shared" si="0"/>
        <v>5.7803468208092483E-3</v>
      </c>
      <c r="H29" t="s">
        <v>301</v>
      </c>
      <c r="I29" s="3">
        <f>D29/(VLOOKUP(B29,'2025 Team'!$B$2:$G$33,3,FALSE))</f>
        <v>0.36652542372881358</v>
      </c>
    </row>
    <row r="30" spans="1:9" x14ac:dyDescent="0.25">
      <c r="A30" t="s">
        <v>302</v>
      </c>
      <c r="B30" t="s">
        <v>18</v>
      </c>
      <c r="C30" t="s">
        <v>159</v>
      </c>
      <c r="D30" t="s">
        <v>303</v>
      </c>
      <c r="E30" t="s">
        <v>304</v>
      </c>
      <c r="F30" t="s">
        <v>220</v>
      </c>
      <c r="G30" s="3">
        <f t="shared" si="0"/>
        <v>2.9585798816568046E-2</v>
      </c>
      <c r="H30" t="s">
        <v>243</v>
      </c>
      <c r="I30" s="3">
        <f>D30/(VLOOKUP(B30,'2025 Team'!$B$2:$G$33,3,FALSE))</f>
        <v>0.33465346534653467</v>
      </c>
    </row>
    <row r="31" spans="1:9" x14ac:dyDescent="0.25">
      <c r="A31" t="s">
        <v>305</v>
      </c>
      <c r="B31" t="s">
        <v>38</v>
      </c>
      <c r="C31" t="s">
        <v>159</v>
      </c>
      <c r="D31" t="s">
        <v>306</v>
      </c>
      <c r="E31" t="s">
        <v>307</v>
      </c>
      <c r="F31" t="s">
        <v>225</v>
      </c>
      <c r="G31" s="3">
        <f t="shared" si="0"/>
        <v>4.9079754601226995E-2</v>
      </c>
      <c r="H31" t="s">
        <v>221</v>
      </c>
      <c r="I31" s="3">
        <f>D31/(VLOOKUP(B31,'2025 Team'!$B$2:$G$33,3,FALSE))</f>
        <v>0.37906976744186044</v>
      </c>
    </row>
    <row r="32" spans="1:9" x14ac:dyDescent="0.25">
      <c r="A32" t="s">
        <v>308</v>
      </c>
      <c r="B32" t="s">
        <v>48</v>
      </c>
      <c r="C32" t="s">
        <v>159</v>
      </c>
      <c r="D32" t="s">
        <v>309</v>
      </c>
      <c r="E32" t="s">
        <v>310</v>
      </c>
      <c r="F32" t="s">
        <v>289</v>
      </c>
      <c r="G32" s="3">
        <f t="shared" si="0"/>
        <v>1.5151515151515152E-2</v>
      </c>
      <c r="H32" t="s">
        <v>293</v>
      </c>
      <c r="I32" s="3">
        <f>D32/(VLOOKUP(B32,'2025 Team'!$B$2:$G$33,3,FALSE))</f>
        <v>0.32195121951219513</v>
      </c>
    </row>
    <row r="33" spans="1:9" x14ac:dyDescent="0.25">
      <c r="A33" t="s">
        <v>311</v>
      </c>
      <c r="B33" t="s">
        <v>42</v>
      </c>
      <c r="C33" t="s">
        <v>159</v>
      </c>
      <c r="D33" t="s">
        <v>312</v>
      </c>
      <c r="E33" t="s">
        <v>313</v>
      </c>
      <c r="F33" t="s">
        <v>314</v>
      </c>
      <c r="G33" s="3">
        <f t="shared" si="0"/>
        <v>1.935483870967742E-2</v>
      </c>
      <c r="H33" t="s">
        <v>208</v>
      </c>
      <c r="I33" s="3">
        <f>D33/(VLOOKUP(B33,'2025 Team'!$B$2:$G$33,3,FALSE))</f>
        <v>0.33261802575107297</v>
      </c>
    </row>
    <row r="34" spans="1:9" x14ac:dyDescent="0.25">
      <c r="A34" t="s">
        <v>158</v>
      </c>
      <c r="B34" t="s">
        <v>28</v>
      </c>
      <c r="C34" t="s">
        <v>159</v>
      </c>
      <c r="D34" t="s">
        <v>315</v>
      </c>
      <c r="E34" t="s">
        <v>316</v>
      </c>
      <c r="F34" t="s">
        <v>225</v>
      </c>
      <c r="G34" s="3">
        <f t="shared" si="0"/>
        <v>5.0632911392405063E-2</v>
      </c>
      <c r="H34" t="s">
        <v>255</v>
      </c>
      <c r="I34" s="3">
        <f>D34/(VLOOKUP(B34,'2025 Team'!$B$2:$G$33,3,FALSE))</f>
        <v>0.3574660633484163</v>
      </c>
    </row>
    <row r="35" spans="1:9" x14ac:dyDescent="0.25">
      <c r="A35" t="s">
        <v>317</v>
      </c>
      <c r="B35" t="s">
        <v>10</v>
      </c>
      <c r="C35" t="s">
        <v>159</v>
      </c>
      <c r="D35" t="s">
        <v>318</v>
      </c>
      <c r="E35" t="s">
        <v>319</v>
      </c>
      <c r="F35" t="s">
        <v>225</v>
      </c>
      <c r="G35" s="3">
        <f t="shared" si="0"/>
        <v>5.5944055944055944E-2</v>
      </c>
      <c r="H35" t="s">
        <v>262</v>
      </c>
      <c r="I35" s="3">
        <f>D35/(VLOOKUP(B35,'2025 Team'!$B$2:$G$33,3,FALSE))</f>
        <v>0.29979035639412999</v>
      </c>
    </row>
    <row r="36" spans="1:9" x14ac:dyDescent="0.25">
      <c r="A36" t="s">
        <v>320</v>
      </c>
      <c r="B36" t="s">
        <v>16</v>
      </c>
      <c r="C36" t="s">
        <v>159</v>
      </c>
      <c r="D36" t="s">
        <v>321</v>
      </c>
      <c r="E36" t="s">
        <v>322</v>
      </c>
      <c r="F36" t="s">
        <v>300</v>
      </c>
      <c r="G36" s="3">
        <f t="shared" si="0"/>
        <v>7.462686567164179E-3</v>
      </c>
      <c r="H36" t="s">
        <v>323</v>
      </c>
      <c r="I36" s="3">
        <f>D36/(VLOOKUP(B36,'2025 Team'!$B$2:$G$33,3,FALSE))</f>
        <v>0.29067245119305857</v>
      </c>
    </row>
    <row r="37" spans="1:9" x14ac:dyDescent="0.25">
      <c r="A37" t="s">
        <v>324</v>
      </c>
      <c r="B37" t="s">
        <v>50</v>
      </c>
      <c r="C37" t="s">
        <v>159</v>
      </c>
      <c r="D37" t="s">
        <v>325</v>
      </c>
      <c r="E37" t="s">
        <v>326</v>
      </c>
      <c r="F37" t="s">
        <v>207</v>
      </c>
      <c r="G37" s="3">
        <f t="shared" si="0"/>
        <v>5.3846153846153849E-2</v>
      </c>
      <c r="H37" t="s">
        <v>243</v>
      </c>
      <c r="I37" s="3">
        <f>D37/(VLOOKUP(B37,'2025 Team'!$B$2:$G$33,3,FALSE))</f>
        <v>0.26315789473684209</v>
      </c>
    </row>
    <row r="38" spans="1:9" x14ac:dyDescent="0.25">
      <c r="A38" t="s">
        <v>327</v>
      </c>
      <c r="B38" t="s">
        <v>30</v>
      </c>
      <c r="C38" t="s">
        <v>159</v>
      </c>
      <c r="D38" t="s">
        <v>328</v>
      </c>
      <c r="E38" t="s">
        <v>329</v>
      </c>
      <c r="F38" t="s">
        <v>314</v>
      </c>
      <c r="G38" s="3">
        <f t="shared" si="0"/>
        <v>2.4E-2</v>
      </c>
      <c r="H38" t="s">
        <v>235</v>
      </c>
      <c r="I38" s="3">
        <f>D38/(VLOOKUP(B38,'2025 Team'!$B$2:$G$33,3,FALSE))</f>
        <v>0.25406504065040653</v>
      </c>
    </row>
    <row r="39" spans="1:9" x14ac:dyDescent="0.25">
      <c r="A39" t="s">
        <v>330</v>
      </c>
      <c r="B39" t="s">
        <v>26</v>
      </c>
      <c r="C39" t="s">
        <v>159</v>
      </c>
      <c r="D39" t="s">
        <v>331</v>
      </c>
      <c r="E39" t="s">
        <v>332</v>
      </c>
      <c r="F39" t="s">
        <v>229</v>
      </c>
      <c r="G39" s="3">
        <f t="shared" si="0"/>
        <v>2.6143790849673203E-2</v>
      </c>
      <c r="H39" t="s">
        <v>258</v>
      </c>
      <c r="I39" s="3">
        <f>D39/(VLOOKUP(B39,'2025 Team'!$B$2:$G$33,3,FALSE))</f>
        <v>0.33552631578947367</v>
      </c>
    </row>
    <row r="40" spans="1:9" x14ac:dyDescent="0.25">
      <c r="A40" t="s">
        <v>333</v>
      </c>
      <c r="B40" t="s">
        <v>44</v>
      </c>
      <c r="C40" t="s">
        <v>159</v>
      </c>
      <c r="D40" t="s">
        <v>334</v>
      </c>
      <c r="E40" t="s">
        <v>335</v>
      </c>
      <c r="F40" t="s">
        <v>247</v>
      </c>
      <c r="G40" s="3">
        <f t="shared" si="0"/>
        <v>4.1379310344827586E-2</v>
      </c>
      <c r="H40" t="s">
        <v>216</v>
      </c>
      <c r="I40" s="3">
        <f>D40/(VLOOKUP(B40,'2025 Team'!$B$2:$G$33,3,FALSE))</f>
        <v>0.31182795698924731</v>
      </c>
    </row>
    <row r="41" spans="1:9" x14ac:dyDescent="0.25">
      <c r="A41" t="s">
        <v>336</v>
      </c>
      <c r="B41" t="s">
        <v>70</v>
      </c>
      <c r="C41" t="s">
        <v>159</v>
      </c>
      <c r="D41" t="s">
        <v>337</v>
      </c>
      <c r="E41" t="s">
        <v>338</v>
      </c>
      <c r="F41" t="s">
        <v>247</v>
      </c>
      <c r="G41" s="3">
        <f t="shared" si="0"/>
        <v>5.3571428571428568E-2</v>
      </c>
      <c r="H41" t="s">
        <v>255</v>
      </c>
      <c r="I41" s="3">
        <f>D41/(VLOOKUP(B41,'2025 Team'!$B$2:$G$33,3,FALSE))</f>
        <v>0.23140495867768596</v>
      </c>
    </row>
    <row r="42" spans="1:9" x14ac:dyDescent="0.25">
      <c r="A42" t="s">
        <v>170</v>
      </c>
      <c r="B42" t="s">
        <v>26</v>
      </c>
      <c r="C42" t="s">
        <v>159</v>
      </c>
      <c r="D42" t="s">
        <v>339</v>
      </c>
      <c r="E42" t="s">
        <v>340</v>
      </c>
      <c r="F42" t="s">
        <v>207</v>
      </c>
      <c r="G42" s="3">
        <f t="shared" si="0"/>
        <v>4.7945205479452052E-2</v>
      </c>
      <c r="H42" t="s">
        <v>221</v>
      </c>
      <c r="I42" s="3">
        <f>D42/(VLOOKUP(B42,'2025 Team'!$B$2:$G$33,3,FALSE))</f>
        <v>0.32017543859649122</v>
      </c>
    </row>
    <row r="43" spans="1:9" x14ac:dyDescent="0.25">
      <c r="A43" t="s">
        <v>341</v>
      </c>
      <c r="B43" t="s">
        <v>66</v>
      </c>
      <c r="C43" t="s">
        <v>159</v>
      </c>
      <c r="D43" t="s">
        <v>309</v>
      </c>
      <c r="E43" t="s">
        <v>342</v>
      </c>
      <c r="F43" t="s">
        <v>229</v>
      </c>
      <c r="G43" s="3">
        <f t="shared" si="0"/>
        <v>3.0303030303030304E-2</v>
      </c>
      <c r="H43" t="s">
        <v>239</v>
      </c>
      <c r="I43" s="3">
        <f>D43/(VLOOKUP(B43,'2025 Team'!$B$2:$G$33,3,FALSE))</f>
        <v>0.27966101694915252</v>
      </c>
    </row>
    <row r="44" spans="1:9" x14ac:dyDescent="0.25">
      <c r="A44" t="s">
        <v>97</v>
      </c>
      <c r="B44" t="s">
        <v>14</v>
      </c>
      <c r="C44" t="s">
        <v>82</v>
      </c>
      <c r="D44" t="s">
        <v>337</v>
      </c>
      <c r="E44" t="s">
        <v>343</v>
      </c>
      <c r="F44" t="s">
        <v>344</v>
      </c>
      <c r="G44" s="3">
        <f t="shared" si="0"/>
        <v>0.125</v>
      </c>
      <c r="H44" t="s">
        <v>194</v>
      </c>
      <c r="I44" s="3">
        <f>D44/(VLOOKUP(B44,'2025 Team'!$B$2:$G$33,3,FALSE))</f>
        <v>0.20475319926873858</v>
      </c>
    </row>
    <row r="45" spans="1:9" x14ac:dyDescent="0.25">
      <c r="A45" t="s">
        <v>345</v>
      </c>
      <c r="B45" t="s">
        <v>54</v>
      </c>
      <c r="C45" t="s">
        <v>159</v>
      </c>
      <c r="D45" t="s">
        <v>346</v>
      </c>
      <c r="E45" t="s">
        <v>347</v>
      </c>
      <c r="F45" t="s">
        <v>220</v>
      </c>
      <c r="G45" s="3">
        <f t="shared" si="0"/>
        <v>4.2016806722689079E-2</v>
      </c>
      <c r="H45" t="s">
        <v>221</v>
      </c>
      <c r="I45" s="3">
        <f>D45/(VLOOKUP(B45,'2025 Team'!$B$2:$G$33,3,FALSE))</f>
        <v>0.23287671232876711</v>
      </c>
    </row>
    <row r="46" spans="1:9" x14ac:dyDescent="0.25">
      <c r="A46" t="s">
        <v>348</v>
      </c>
      <c r="B46" t="s">
        <v>52</v>
      </c>
      <c r="C46" t="s">
        <v>159</v>
      </c>
      <c r="D46" t="s">
        <v>349</v>
      </c>
      <c r="E46" t="s">
        <v>350</v>
      </c>
      <c r="F46" t="s">
        <v>300</v>
      </c>
      <c r="G46" s="3">
        <f t="shared" si="0"/>
        <v>7.6335877862595417E-3</v>
      </c>
      <c r="H46" t="s">
        <v>262</v>
      </c>
      <c r="I46" s="3">
        <f>D46/(VLOOKUP(B46,'2025 Team'!$B$2:$G$33,3,FALSE))</f>
        <v>0.30114942528735633</v>
      </c>
    </row>
    <row r="47" spans="1:9" x14ac:dyDescent="0.25">
      <c r="A47" t="s">
        <v>351</v>
      </c>
      <c r="B47" t="s">
        <v>42</v>
      </c>
      <c r="C47" t="s">
        <v>159</v>
      </c>
      <c r="D47" t="s">
        <v>352</v>
      </c>
      <c r="E47" t="s">
        <v>353</v>
      </c>
      <c r="F47" t="s">
        <v>229</v>
      </c>
      <c r="G47" s="3">
        <f t="shared" si="0"/>
        <v>3.2258064516129031E-2</v>
      </c>
      <c r="H47" t="s">
        <v>230</v>
      </c>
      <c r="I47" s="3">
        <f>D47/(VLOOKUP(B47,'2025 Team'!$B$2:$G$33,3,FALSE))</f>
        <v>0.26609442060085836</v>
      </c>
    </row>
    <row r="48" spans="1:9" x14ac:dyDescent="0.25">
      <c r="A48" t="s">
        <v>98</v>
      </c>
      <c r="B48" t="s">
        <v>58</v>
      </c>
      <c r="C48" t="s">
        <v>82</v>
      </c>
      <c r="D48" t="s">
        <v>354</v>
      </c>
      <c r="E48" t="s">
        <v>355</v>
      </c>
      <c r="F48" t="s">
        <v>225</v>
      </c>
      <c r="G48" s="3">
        <f t="shared" si="0"/>
        <v>7.6190476190476197E-2</v>
      </c>
      <c r="H48" t="s">
        <v>235</v>
      </c>
      <c r="I48" s="3">
        <f>D48/(VLOOKUP(B48,'2025 Team'!$B$2:$G$33,3,FALSE))</f>
        <v>0.21966527196652719</v>
      </c>
    </row>
    <row r="49" spans="1:9" x14ac:dyDescent="0.25">
      <c r="A49" t="s">
        <v>356</v>
      </c>
      <c r="B49" t="s">
        <v>32</v>
      </c>
      <c r="C49" t="s">
        <v>159</v>
      </c>
      <c r="D49" t="s">
        <v>357</v>
      </c>
      <c r="E49" t="s">
        <v>358</v>
      </c>
      <c r="F49" t="s">
        <v>314</v>
      </c>
      <c r="G49" s="3">
        <f t="shared" si="0"/>
        <v>2.4590163934426229E-2</v>
      </c>
      <c r="H49" t="s">
        <v>208</v>
      </c>
      <c r="I49" s="3">
        <f>D49/(VLOOKUP(B49,'2025 Team'!$B$2:$G$33,3,FALSE))</f>
        <v>0.25684210526315787</v>
      </c>
    </row>
    <row r="50" spans="1:9" x14ac:dyDescent="0.25">
      <c r="A50" t="s">
        <v>359</v>
      </c>
      <c r="B50" t="s">
        <v>60</v>
      </c>
      <c r="C50" t="s">
        <v>159</v>
      </c>
      <c r="D50" t="s">
        <v>360</v>
      </c>
      <c r="E50" t="s">
        <v>361</v>
      </c>
      <c r="F50" t="s">
        <v>220</v>
      </c>
      <c r="G50" s="3">
        <f t="shared" si="0"/>
        <v>4.3859649122807015E-2</v>
      </c>
      <c r="H50" t="s">
        <v>362</v>
      </c>
      <c r="I50" s="3">
        <f>D50/(VLOOKUP(B50,'2025 Team'!$B$2:$G$33,3,FALSE))</f>
        <v>0.28009828009828008</v>
      </c>
    </row>
    <row r="51" spans="1:9" x14ac:dyDescent="0.25">
      <c r="A51" t="s">
        <v>93</v>
      </c>
      <c r="B51" t="s">
        <v>50</v>
      </c>
      <c r="C51" t="s">
        <v>82</v>
      </c>
      <c r="D51" t="s">
        <v>363</v>
      </c>
      <c r="E51" t="s">
        <v>364</v>
      </c>
      <c r="F51" t="s">
        <v>229</v>
      </c>
      <c r="G51" s="3">
        <f t="shared" si="0"/>
        <v>3.8834951456310676E-2</v>
      </c>
      <c r="H51" t="s">
        <v>230</v>
      </c>
      <c r="I51" s="3">
        <f>D51/(VLOOKUP(B51,'2025 Team'!$B$2:$G$33,3,FALSE))</f>
        <v>0.20850202429149797</v>
      </c>
    </row>
    <row r="52" spans="1:9" x14ac:dyDescent="0.25">
      <c r="A52" t="s">
        <v>365</v>
      </c>
      <c r="B52" t="s">
        <v>38</v>
      </c>
      <c r="C52" t="s">
        <v>159</v>
      </c>
      <c r="D52" t="s">
        <v>366</v>
      </c>
      <c r="E52" t="s">
        <v>367</v>
      </c>
      <c r="F52" t="s">
        <v>300</v>
      </c>
      <c r="G52" s="3">
        <f t="shared" si="0"/>
        <v>8.4745762711864406E-3</v>
      </c>
      <c r="H52" t="s">
        <v>212</v>
      </c>
      <c r="I52" s="3">
        <f>D52/(VLOOKUP(B52,'2025 Team'!$B$2:$G$33,3,FALSE))</f>
        <v>0.2744186046511628</v>
      </c>
    </row>
    <row r="53" spans="1:9" x14ac:dyDescent="0.25">
      <c r="A53" t="s">
        <v>368</v>
      </c>
      <c r="B53" t="s">
        <v>54</v>
      </c>
      <c r="C53" t="s">
        <v>159</v>
      </c>
      <c r="D53" t="s">
        <v>369</v>
      </c>
      <c r="E53" t="s">
        <v>370</v>
      </c>
      <c r="F53" t="s">
        <v>220</v>
      </c>
      <c r="G53" s="3">
        <f t="shared" si="0"/>
        <v>4.9504950495049507E-2</v>
      </c>
      <c r="H53" t="s">
        <v>208</v>
      </c>
      <c r="I53" s="3">
        <f>D53/(VLOOKUP(B53,'2025 Team'!$B$2:$G$33,3,FALSE))</f>
        <v>0.19765166340508805</v>
      </c>
    </row>
    <row r="54" spans="1:9" x14ac:dyDescent="0.25">
      <c r="A54" t="s">
        <v>104</v>
      </c>
      <c r="B54" t="s">
        <v>54</v>
      </c>
      <c r="C54" t="s">
        <v>82</v>
      </c>
      <c r="D54" t="s">
        <v>371</v>
      </c>
      <c r="E54" t="s">
        <v>372</v>
      </c>
      <c r="F54" t="s">
        <v>270</v>
      </c>
      <c r="G54" s="3">
        <f t="shared" si="0"/>
        <v>0.10465116279069768</v>
      </c>
      <c r="H54" t="s">
        <v>226</v>
      </c>
      <c r="I54" s="3">
        <f>D54/(VLOOKUP(B54,'2025 Team'!$B$2:$G$33,3,FALSE))</f>
        <v>0.16829745596868884</v>
      </c>
    </row>
    <row r="55" spans="1:9" x14ac:dyDescent="0.25">
      <c r="A55" t="s">
        <v>373</v>
      </c>
      <c r="B55" t="s">
        <v>62</v>
      </c>
      <c r="C55" t="s">
        <v>159</v>
      </c>
      <c r="D55" t="s">
        <v>374</v>
      </c>
      <c r="E55" t="s">
        <v>375</v>
      </c>
      <c r="F55" t="s">
        <v>289</v>
      </c>
      <c r="G55" s="3">
        <f t="shared" si="0"/>
        <v>2.1739130434782608E-2</v>
      </c>
      <c r="H55" t="s">
        <v>239</v>
      </c>
      <c r="I55" s="3">
        <f>D55/(VLOOKUP(B55,'2025 Team'!$B$2:$G$33,3,FALSE))</f>
        <v>0.19126819126819128</v>
      </c>
    </row>
    <row r="56" spans="1:9" x14ac:dyDescent="0.25">
      <c r="A56" t="s">
        <v>106</v>
      </c>
      <c r="B56" t="s">
        <v>12</v>
      </c>
      <c r="C56" t="s">
        <v>82</v>
      </c>
      <c r="D56" t="s">
        <v>376</v>
      </c>
      <c r="E56" t="s">
        <v>377</v>
      </c>
      <c r="F56" t="s">
        <v>289</v>
      </c>
      <c r="G56" s="3">
        <f t="shared" si="0"/>
        <v>2.9850746268656716E-2</v>
      </c>
      <c r="H56" t="s">
        <v>194</v>
      </c>
      <c r="I56" s="3">
        <f>D56/(VLOOKUP(B56,'2025 Team'!$B$2:$G$33,3,FALSE))</f>
        <v>0.13214990138067062</v>
      </c>
    </row>
    <row r="57" spans="1:9" x14ac:dyDescent="0.25">
      <c r="A57" t="s">
        <v>378</v>
      </c>
      <c r="B57" t="s">
        <v>66</v>
      </c>
      <c r="C57" t="s">
        <v>159</v>
      </c>
      <c r="D57" t="s">
        <v>371</v>
      </c>
      <c r="E57" t="s">
        <v>379</v>
      </c>
      <c r="F57" t="s">
        <v>207</v>
      </c>
      <c r="G57" s="3">
        <f t="shared" si="0"/>
        <v>8.1395348837209308E-2</v>
      </c>
      <c r="H57" t="s">
        <v>221</v>
      </c>
      <c r="I57" s="3">
        <f>D57/(VLOOKUP(B57,'2025 Team'!$B$2:$G$33,3,FALSE))</f>
        <v>0.18220338983050846</v>
      </c>
    </row>
    <row r="58" spans="1:9" x14ac:dyDescent="0.25">
      <c r="A58" t="s">
        <v>380</v>
      </c>
      <c r="B58" t="s">
        <v>36</v>
      </c>
      <c r="C58" t="s">
        <v>159</v>
      </c>
      <c r="D58" t="s">
        <v>381</v>
      </c>
      <c r="E58" t="s">
        <v>191</v>
      </c>
      <c r="F58" t="s">
        <v>220</v>
      </c>
      <c r="G58" s="3">
        <f t="shared" si="0"/>
        <v>6.0240963855421686E-2</v>
      </c>
      <c r="H58" t="s">
        <v>221</v>
      </c>
      <c r="I58" s="3">
        <f>D58/(VLOOKUP(B58,'2025 Team'!$B$2:$G$33,3,FALSE))</f>
        <v>0.16973415132924335</v>
      </c>
    </row>
    <row r="59" spans="1:9" x14ac:dyDescent="0.25">
      <c r="A59" t="s">
        <v>382</v>
      </c>
      <c r="B59" t="s">
        <v>46</v>
      </c>
      <c r="C59" t="s">
        <v>159</v>
      </c>
      <c r="D59" t="s">
        <v>383</v>
      </c>
      <c r="E59" t="s">
        <v>384</v>
      </c>
      <c r="F59" t="s">
        <v>314</v>
      </c>
      <c r="G59" s="3">
        <f t="shared" si="0"/>
        <v>4.2857142857142858E-2</v>
      </c>
      <c r="H59" t="s">
        <v>385</v>
      </c>
      <c r="I59" s="3">
        <f>D59/(VLOOKUP(B59,'2025 Team'!$B$2:$G$33,3,FALSE))</f>
        <v>0.16203703703703703</v>
      </c>
    </row>
    <row r="60" spans="1:9" x14ac:dyDescent="0.25">
      <c r="A60" t="s">
        <v>386</v>
      </c>
      <c r="B60" t="s">
        <v>46</v>
      </c>
      <c r="C60" t="s">
        <v>159</v>
      </c>
      <c r="D60" t="s">
        <v>383</v>
      </c>
      <c r="E60" t="s">
        <v>387</v>
      </c>
      <c r="F60" t="s">
        <v>289</v>
      </c>
      <c r="G60" s="3">
        <f t="shared" si="0"/>
        <v>2.8571428571428571E-2</v>
      </c>
      <c r="H60" t="s">
        <v>208</v>
      </c>
      <c r="I60" s="3">
        <f>D60/(VLOOKUP(B60,'2025 Team'!$B$2:$G$33,3,FALSE))</f>
        <v>0.16203703703703703</v>
      </c>
    </row>
    <row r="61" spans="1:9" x14ac:dyDescent="0.25">
      <c r="A61" t="s">
        <v>90</v>
      </c>
      <c r="B61" t="s">
        <v>42</v>
      </c>
      <c r="C61" t="s">
        <v>82</v>
      </c>
      <c r="D61" t="s">
        <v>381</v>
      </c>
      <c r="E61" t="s">
        <v>388</v>
      </c>
      <c r="F61" t="s">
        <v>289</v>
      </c>
      <c r="G61" s="3">
        <f t="shared" si="0"/>
        <v>2.4096385542168676E-2</v>
      </c>
      <c r="H61" t="s">
        <v>389</v>
      </c>
      <c r="I61" s="3">
        <f>D61/(VLOOKUP(B61,'2025 Team'!$B$2:$G$33,3,FALSE))</f>
        <v>0.17811158798283261</v>
      </c>
    </row>
    <row r="62" spans="1:9" x14ac:dyDescent="0.25">
      <c r="A62" t="s">
        <v>87</v>
      </c>
      <c r="B62" t="s">
        <v>36</v>
      </c>
      <c r="C62" t="s">
        <v>82</v>
      </c>
      <c r="D62" t="s">
        <v>390</v>
      </c>
      <c r="E62" t="s">
        <v>391</v>
      </c>
      <c r="F62" t="s">
        <v>270</v>
      </c>
      <c r="G62" s="3">
        <f t="shared" si="0"/>
        <v>0.10975609756097561</v>
      </c>
      <c r="H62" t="s">
        <v>230</v>
      </c>
      <c r="I62" s="3">
        <f>D62/(VLOOKUP(B62,'2025 Team'!$B$2:$G$33,3,FALSE))</f>
        <v>0.16768916155419222</v>
      </c>
    </row>
    <row r="63" spans="1:9" x14ac:dyDescent="0.25">
      <c r="A63" t="s">
        <v>117</v>
      </c>
      <c r="B63" t="s">
        <v>56</v>
      </c>
      <c r="C63" t="s">
        <v>82</v>
      </c>
      <c r="D63" t="s">
        <v>392</v>
      </c>
      <c r="E63" t="s">
        <v>393</v>
      </c>
      <c r="F63" t="s">
        <v>229</v>
      </c>
      <c r="G63" s="3">
        <f t="shared" si="0"/>
        <v>5.6338028169014086E-2</v>
      </c>
      <c r="H63" t="s">
        <v>394</v>
      </c>
      <c r="I63" s="3">
        <f>D63/(VLOOKUP(B63,'2025 Team'!$B$2:$G$33,3,FALSE))</f>
        <v>0.15570175438596492</v>
      </c>
    </row>
    <row r="64" spans="1:9" x14ac:dyDescent="0.25">
      <c r="A64" t="s">
        <v>395</v>
      </c>
      <c r="B64" t="s">
        <v>8</v>
      </c>
      <c r="C64" t="s">
        <v>159</v>
      </c>
      <c r="D64" t="s">
        <v>374</v>
      </c>
      <c r="E64" t="s">
        <v>396</v>
      </c>
      <c r="F64" t="s">
        <v>300</v>
      </c>
      <c r="G64" s="3">
        <f t="shared" si="0"/>
        <v>1.0869565217391304E-2</v>
      </c>
      <c r="H64" t="s">
        <v>262</v>
      </c>
      <c r="I64" s="3">
        <f>D64/(VLOOKUP(B64,'2025 Team'!$B$2:$G$33,3,FALSE))</f>
        <v>0.25136612021857924</v>
      </c>
    </row>
    <row r="65" spans="1:9" x14ac:dyDescent="0.25">
      <c r="A65" t="s">
        <v>397</v>
      </c>
      <c r="B65" t="s">
        <v>12</v>
      </c>
      <c r="C65" t="s">
        <v>159</v>
      </c>
      <c r="D65" t="s">
        <v>398</v>
      </c>
      <c r="E65" t="s">
        <v>399</v>
      </c>
      <c r="F65" t="s">
        <v>300</v>
      </c>
      <c r="G65" s="3">
        <f t="shared" si="0"/>
        <v>1.6949152542372881E-2</v>
      </c>
      <c r="H65" t="s">
        <v>400</v>
      </c>
      <c r="I65" s="3">
        <f>D65/(VLOOKUP(B65,'2025 Team'!$B$2:$G$33,3,FALSE))</f>
        <v>0.11637080867850098</v>
      </c>
    </row>
    <row r="66" spans="1:9" x14ac:dyDescent="0.25">
      <c r="A66" t="s">
        <v>81</v>
      </c>
      <c r="B66" t="s">
        <v>26</v>
      </c>
      <c r="C66" t="s">
        <v>82</v>
      </c>
      <c r="D66" t="s">
        <v>381</v>
      </c>
      <c r="E66" t="s">
        <v>401</v>
      </c>
      <c r="F66" t="s">
        <v>220</v>
      </c>
      <c r="G66" s="3">
        <f t="shared" ref="G66:G129" si="1">F66/D66</f>
        <v>6.0240963855421686E-2</v>
      </c>
      <c r="H66" t="s">
        <v>239</v>
      </c>
      <c r="I66" s="3">
        <f>D66/(VLOOKUP(B66,'2025 Team'!$B$2:$G$33,3,FALSE))</f>
        <v>0.18201754385964913</v>
      </c>
    </row>
    <row r="67" spans="1:9" x14ac:dyDescent="0.25">
      <c r="A67" t="s">
        <v>86</v>
      </c>
      <c r="B67" t="s">
        <v>18</v>
      </c>
      <c r="C67" t="s">
        <v>82</v>
      </c>
      <c r="D67" t="s">
        <v>402</v>
      </c>
      <c r="E67" t="s">
        <v>403</v>
      </c>
      <c r="F67" t="s">
        <v>314</v>
      </c>
      <c r="G67" s="3">
        <f t="shared" si="1"/>
        <v>3.896103896103896E-2</v>
      </c>
      <c r="H67" t="s">
        <v>258</v>
      </c>
      <c r="I67" s="3">
        <f>D67/(VLOOKUP(B67,'2025 Team'!$B$2:$G$33,3,FALSE))</f>
        <v>0.15247524752475247</v>
      </c>
    </row>
    <row r="68" spans="1:9" x14ac:dyDescent="0.25">
      <c r="A68" t="s">
        <v>404</v>
      </c>
      <c r="B68" t="s">
        <v>20</v>
      </c>
      <c r="C68" t="s">
        <v>159</v>
      </c>
      <c r="D68" t="s">
        <v>405</v>
      </c>
      <c r="E68" t="s">
        <v>406</v>
      </c>
      <c r="F68" t="s">
        <v>314</v>
      </c>
      <c r="G68" s="3">
        <f t="shared" si="1"/>
        <v>3.5714285714285712E-2</v>
      </c>
      <c r="H68" t="s">
        <v>255</v>
      </c>
      <c r="I68" s="3">
        <f>D68/(VLOOKUP(B68,'2025 Team'!$B$2:$G$33,3,FALSE))</f>
        <v>0.22047244094488189</v>
      </c>
    </row>
    <row r="69" spans="1:9" x14ac:dyDescent="0.25">
      <c r="A69" t="s">
        <v>407</v>
      </c>
      <c r="B69" t="s">
        <v>8</v>
      </c>
      <c r="C69" t="s">
        <v>159</v>
      </c>
      <c r="D69" t="s">
        <v>390</v>
      </c>
      <c r="E69" t="s">
        <v>408</v>
      </c>
      <c r="F69" t="s">
        <v>229</v>
      </c>
      <c r="G69" s="3">
        <f t="shared" si="1"/>
        <v>4.878048780487805E-2</v>
      </c>
      <c r="H69" t="s">
        <v>409</v>
      </c>
      <c r="I69" s="3">
        <f>D69/(VLOOKUP(B69,'2025 Team'!$B$2:$G$33,3,FALSE))</f>
        <v>0.22404371584699453</v>
      </c>
    </row>
    <row r="70" spans="1:9" x14ac:dyDescent="0.25">
      <c r="A70" t="s">
        <v>410</v>
      </c>
      <c r="B70" t="s">
        <v>68</v>
      </c>
      <c r="C70" t="s">
        <v>159</v>
      </c>
      <c r="D70" t="s">
        <v>411</v>
      </c>
      <c r="E70" t="s">
        <v>412</v>
      </c>
      <c r="F70" t="s">
        <v>289</v>
      </c>
      <c r="G70" s="3">
        <f t="shared" si="1"/>
        <v>2.7777777777777776E-2</v>
      </c>
      <c r="H70" t="s">
        <v>212</v>
      </c>
      <c r="I70" s="3">
        <f>D70/(VLOOKUP(B70,'2025 Team'!$B$2:$G$33,3,FALSE))</f>
        <v>0.19047619047619047</v>
      </c>
    </row>
    <row r="71" spans="1:9" x14ac:dyDescent="0.25">
      <c r="A71" t="s">
        <v>118</v>
      </c>
      <c r="B71" t="s">
        <v>70</v>
      </c>
      <c r="C71" t="s">
        <v>82</v>
      </c>
      <c r="D71" t="s">
        <v>413</v>
      </c>
      <c r="E71" t="s">
        <v>414</v>
      </c>
      <c r="F71" t="s">
        <v>289</v>
      </c>
      <c r="G71" s="3">
        <f t="shared" si="1"/>
        <v>3.4482758620689655E-2</v>
      </c>
      <c r="H71" t="s">
        <v>251</v>
      </c>
      <c r="I71" s="3">
        <f>D71/(VLOOKUP(B71,'2025 Team'!$B$2:$G$33,3,FALSE))</f>
        <v>0.11983471074380166</v>
      </c>
    </row>
    <row r="72" spans="1:9" x14ac:dyDescent="0.25">
      <c r="A72" t="s">
        <v>415</v>
      </c>
      <c r="B72" t="s">
        <v>14</v>
      </c>
      <c r="C72" t="s">
        <v>159</v>
      </c>
      <c r="D72" t="s">
        <v>413</v>
      </c>
      <c r="E72" t="s">
        <v>416</v>
      </c>
      <c r="F72" t="s">
        <v>417</v>
      </c>
      <c r="G72" s="3">
        <f t="shared" si="1"/>
        <v>0</v>
      </c>
      <c r="H72" t="s">
        <v>362</v>
      </c>
      <c r="I72" s="3">
        <f>D72/(VLOOKUP(B72,'2025 Team'!$B$2:$G$33,3,FALSE))</f>
        <v>0.10603290676416818</v>
      </c>
    </row>
    <row r="73" spans="1:9" x14ac:dyDescent="0.25">
      <c r="A73" t="s">
        <v>418</v>
      </c>
      <c r="B73" t="s">
        <v>58</v>
      </c>
      <c r="C73" t="s">
        <v>159</v>
      </c>
      <c r="D73" t="s">
        <v>413</v>
      </c>
      <c r="E73" t="s">
        <v>419</v>
      </c>
      <c r="F73" t="s">
        <v>289</v>
      </c>
      <c r="G73" s="3">
        <f t="shared" si="1"/>
        <v>3.4482758620689655E-2</v>
      </c>
      <c r="H73" t="s">
        <v>420</v>
      </c>
      <c r="I73" s="3">
        <f>D73/(VLOOKUP(B73,'2025 Team'!$B$2:$G$33,3,FALSE))</f>
        <v>0.12133891213389121</v>
      </c>
    </row>
    <row r="74" spans="1:9" x14ac:dyDescent="0.25">
      <c r="A74" t="s">
        <v>421</v>
      </c>
      <c r="B74" t="s">
        <v>22</v>
      </c>
      <c r="C74" t="s">
        <v>159</v>
      </c>
      <c r="D74" t="s">
        <v>422</v>
      </c>
      <c r="E74" t="s">
        <v>278</v>
      </c>
      <c r="F74" t="s">
        <v>417</v>
      </c>
      <c r="G74" s="3">
        <f t="shared" si="1"/>
        <v>0</v>
      </c>
      <c r="H74" t="s">
        <v>423</v>
      </c>
      <c r="I74" s="3">
        <f>D74/(VLOOKUP(B74,'2025 Team'!$B$2:$G$33,3,FALSE))</f>
        <v>0.15439429928741091</v>
      </c>
    </row>
    <row r="75" spans="1:9" x14ac:dyDescent="0.25">
      <c r="A75" t="s">
        <v>91</v>
      </c>
      <c r="B75" t="s">
        <v>38</v>
      </c>
      <c r="C75" t="s">
        <v>82</v>
      </c>
      <c r="D75" t="s">
        <v>424</v>
      </c>
      <c r="E75" t="s">
        <v>425</v>
      </c>
      <c r="F75" t="s">
        <v>220</v>
      </c>
      <c r="G75" s="3">
        <f t="shared" si="1"/>
        <v>7.8125E-2</v>
      </c>
      <c r="H75" t="s">
        <v>426</v>
      </c>
      <c r="I75" s="3">
        <f>D75/(VLOOKUP(B75,'2025 Team'!$B$2:$G$33,3,FALSE))</f>
        <v>0.14883720930232558</v>
      </c>
    </row>
    <row r="76" spans="1:9" x14ac:dyDescent="0.25">
      <c r="A76" t="s">
        <v>115</v>
      </c>
      <c r="B76" t="s">
        <v>70</v>
      </c>
      <c r="C76" t="s">
        <v>82</v>
      </c>
      <c r="D76" t="s">
        <v>427</v>
      </c>
      <c r="E76" t="s">
        <v>428</v>
      </c>
      <c r="F76" t="s">
        <v>300</v>
      </c>
      <c r="G76" s="3">
        <f t="shared" si="1"/>
        <v>0.02</v>
      </c>
      <c r="H76" t="s">
        <v>420</v>
      </c>
      <c r="I76" s="3">
        <f>D76/(VLOOKUP(B76,'2025 Team'!$B$2:$G$33,3,FALSE))</f>
        <v>0.10330578512396695</v>
      </c>
    </row>
    <row r="77" spans="1:9" x14ac:dyDescent="0.25">
      <c r="A77" t="s">
        <v>95</v>
      </c>
      <c r="B77" t="s">
        <v>16</v>
      </c>
      <c r="C77" t="s">
        <v>82</v>
      </c>
      <c r="D77" t="s">
        <v>429</v>
      </c>
      <c r="E77" t="s">
        <v>430</v>
      </c>
      <c r="F77" t="s">
        <v>289</v>
      </c>
      <c r="G77" s="3">
        <f t="shared" si="1"/>
        <v>3.7037037037037035E-2</v>
      </c>
      <c r="H77" t="s">
        <v>235</v>
      </c>
      <c r="I77" s="3">
        <f>D77/(VLOOKUP(B77,'2025 Team'!$B$2:$G$33,3,FALSE))</f>
        <v>0.11713665943600868</v>
      </c>
    </row>
    <row r="78" spans="1:9" x14ac:dyDescent="0.25">
      <c r="A78" t="s">
        <v>431</v>
      </c>
      <c r="B78" t="s">
        <v>14</v>
      </c>
      <c r="C78" t="s">
        <v>159</v>
      </c>
      <c r="D78" t="s">
        <v>427</v>
      </c>
      <c r="E78" t="s">
        <v>432</v>
      </c>
      <c r="F78" t="s">
        <v>314</v>
      </c>
      <c r="G78" s="3">
        <f t="shared" si="1"/>
        <v>0.06</v>
      </c>
      <c r="H78" t="s">
        <v>235</v>
      </c>
      <c r="I78" s="3">
        <f>D78/(VLOOKUP(B78,'2025 Team'!$B$2:$G$33,3,FALSE))</f>
        <v>9.1407678244972576E-2</v>
      </c>
    </row>
    <row r="79" spans="1:9" x14ac:dyDescent="0.25">
      <c r="A79" t="s">
        <v>88</v>
      </c>
      <c r="B79" t="s">
        <v>66</v>
      </c>
      <c r="C79" t="s">
        <v>82</v>
      </c>
      <c r="D79" t="s">
        <v>433</v>
      </c>
      <c r="E79" t="s">
        <v>406</v>
      </c>
      <c r="F79" t="s">
        <v>300</v>
      </c>
      <c r="G79" s="3">
        <f t="shared" si="1"/>
        <v>1.8181818181818181E-2</v>
      </c>
      <c r="H79" t="s">
        <v>434</v>
      </c>
      <c r="I79" s="3">
        <f>D79/(VLOOKUP(B79,'2025 Team'!$B$2:$G$33,3,FALSE))</f>
        <v>0.11652542372881355</v>
      </c>
    </row>
    <row r="80" spans="1:9" x14ac:dyDescent="0.25">
      <c r="A80" t="s">
        <v>435</v>
      </c>
      <c r="B80" t="s">
        <v>52</v>
      </c>
      <c r="C80" t="s">
        <v>159</v>
      </c>
      <c r="D80" t="s">
        <v>436</v>
      </c>
      <c r="E80" t="s">
        <v>437</v>
      </c>
      <c r="F80" t="s">
        <v>289</v>
      </c>
      <c r="G80" s="3">
        <f t="shared" si="1"/>
        <v>3.5087719298245612E-2</v>
      </c>
      <c r="H80" t="s">
        <v>262</v>
      </c>
      <c r="I80" s="3">
        <f>D80/(VLOOKUP(B80,'2025 Team'!$B$2:$G$33,3,FALSE))</f>
        <v>0.1310344827586207</v>
      </c>
    </row>
    <row r="81" spans="1:9" x14ac:dyDescent="0.25">
      <c r="A81" t="s">
        <v>100</v>
      </c>
      <c r="B81" t="s">
        <v>30</v>
      </c>
      <c r="C81" t="s">
        <v>82</v>
      </c>
      <c r="D81" t="s">
        <v>438</v>
      </c>
      <c r="E81" t="s">
        <v>384</v>
      </c>
      <c r="F81" t="s">
        <v>417</v>
      </c>
      <c r="G81" s="3">
        <f t="shared" si="1"/>
        <v>0</v>
      </c>
      <c r="H81" t="s">
        <v>293</v>
      </c>
      <c r="I81" s="3">
        <f>D81/(VLOOKUP(B81,'2025 Team'!$B$2:$G$33,3,FALSE))</f>
        <v>9.5528455284552852E-2</v>
      </c>
    </row>
    <row r="82" spans="1:9" x14ac:dyDescent="0.25">
      <c r="A82" t="s">
        <v>439</v>
      </c>
      <c r="B82" t="s">
        <v>70</v>
      </c>
      <c r="C82" t="s">
        <v>159</v>
      </c>
      <c r="D82" t="s">
        <v>440</v>
      </c>
      <c r="E82" t="s">
        <v>241</v>
      </c>
      <c r="F82" t="s">
        <v>300</v>
      </c>
      <c r="G82" s="3">
        <f t="shared" si="1"/>
        <v>2.2727272727272728E-2</v>
      </c>
      <c r="H82" t="s">
        <v>258</v>
      </c>
      <c r="I82" s="3">
        <f>D82/(VLOOKUP(B82,'2025 Team'!$B$2:$G$33,3,FALSE))</f>
        <v>9.0909090909090912E-2</v>
      </c>
    </row>
    <row r="83" spans="1:9" x14ac:dyDescent="0.25">
      <c r="A83" t="s">
        <v>152</v>
      </c>
      <c r="B83" t="s">
        <v>52</v>
      </c>
      <c r="C83" t="s">
        <v>153</v>
      </c>
      <c r="D83" t="s">
        <v>441</v>
      </c>
      <c r="E83" t="s">
        <v>360</v>
      </c>
      <c r="F83" t="s">
        <v>300</v>
      </c>
      <c r="G83" s="3">
        <f t="shared" si="1"/>
        <v>1.9230769230769232E-2</v>
      </c>
      <c r="H83" t="s">
        <v>442</v>
      </c>
      <c r="I83" s="3">
        <f>D83/(VLOOKUP(B83,'2025 Team'!$B$2:$G$33,3,FALSE))</f>
        <v>0.11954022988505747</v>
      </c>
    </row>
    <row r="84" spans="1:9" x14ac:dyDescent="0.25">
      <c r="A84" t="s">
        <v>443</v>
      </c>
      <c r="B84" t="s">
        <v>56</v>
      </c>
      <c r="C84" t="s">
        <v>159</v>
      </c>
      <c r="D84" t="s">
        <v>444</v>
      </c>
      <c r="E84" t="s">
        <v>245</v>
      </c>
      <c r="F84" t="s">
        <v>300</v>
      </c>
      <c r="G84" s="3">
        <f t="shared" si="1"/>
        <v>2.3255813953488372E-2</v>
      </c>
      <c r="H84" t="s">
        <v>445</v>
      </c>
      <c r="I84" s="3">
        <f>D84/(VLOOKUP(B84,'2025 Team'!$B$2:$G$33,3,FALSE))</f>
        <v>9.4298245614035089E-2</v>
      </c>
    </row>
    <row r="85" spans="1:9" x14ac:dyDescent="0.25">
      <c r="A85" t="s">
        <v>83</v>
      </c>
      <c r="B85" t="s">
        <v>24</v>
      </c>
      <c r="C85" t="s">
        <v>82</v>
      </c>
      <c r="D85" t="s">
        <v>446</v>
      </c>
      <c r="E85" t="s">
        <v>447</v>
      </c>
      <c r="F85" t="s">
        <v>289</v>
      </c>
      <c r="G85" s="3">
        <f t="shared" si="1"/>
        <v>3.7735849056603772E-2</v>
      </c>
      <c r="H85" t="s">
        <v>409</v>
      </c>
      <c r="I85" s="3">
        <f>D85/(VLOOKUP(B85,'2025 Team'!$B$2:$G$33,3,FALSE))</f>
        <v>0.11397849462365592</v>
      </c>
    </row>
    <row r="86" spans="1:9" x14ac:dyDescent="0.25">
      <c r="A86" t="s">
        <v>448</v>
      </c>
      <c r="B86" t="s">
        <v>24</v>
      </c>
      <c r="C86" t="s">
        <v>159</v>
      </c>
      <c r="D86" t="s">
        <v>441</v>
      </c>
      <c r="E86" t="s">
        <v>449</v>
      </c>
      <c r="F86" t="s">
        <v>289</v>
      </c>
      <c r="G86" s="3">
        <f t="shared" si="1"/>
        <v>3.8461538461538464E-2</v>
      </c>
      <c r="H86" t="s">
        <v>251</v>
      </c>
      <c r="I86" s="3">
        <f>D86/(VLOOKUP(B86,'2025 Team'!$B$2:$G$33,3,FALSE))</f>
        <v>0.11182795698924732</v>
      </c>
    </row>
    <row r="87" spans="1:9" x14ac:dyDescent="0.25">
      <c r="A87" t="s">
        <v>101</v>
      </c>
      <c r="B87" t="s">
        <v>32</v>
      </c>
      <c r="C87" t="s">
        <v>82</v>
      </c>
      <c r="D87" t="s">
        <v>450</v>
      </c>
      <c r="E87" t="s">
        <v>451</v>
      </c>
      <c r="F87" t="s">
        <v>300</v>
      </c>
      <c r="G87" s="3">
        <f t="shared" si="1"/>
        <v>2.0833333333333332E-2</v>
      </c>
      <c r="H87" t="s">
        <v>230</v>
      </c>
      <c r="I87" s="3">
        <f>D87/(VLOOKUP(B87,'2025 Team'!$B$2:$G$33,3,FALSE))</f>
        <v>0.10105263157894737</v>
      </c>
    </row>
    <row r="88" spans="1:9" x14ac:dyDescent="0.25">
      <c r="A88" t="s">
        <v>102</v>
      </c>
      <c r="B88" t="s">
        <v>34</v>
      </c>
      <c r="C88" t="s">
        <v>82</v>
      </c>
      <c r="D88" t="s">
        <v>452</v>
      </c>
      <c r="E88" t="s">
        <v>453</v>
      </c>
      <c r="F88" t="s">
        <v>220</v>
      </c>
      <c r="G88" s="3">
        <f t="shared" si="1"/>
        <v>0.1111111111111111</v>
      </c>
      <c r="H88" t="s">
        <v>262</v>
      </c>
      <c r="I88" s="3">
        <f>D88/(VLOOKUP(B88,'2025 Team'!$B$2:$G$33,3,FALSE))</f>
        <v>0.10180995475113122</v>
      </c>
    </row>
    <row r="89" spans="1:9" x14ac:dyDescent="0.25">
      <c r="A89" t="s">
        <v>99</v>
      </c>
      <c r="B89" t="s">
        <v>40</v>
      </c>
      <c r="C89" t="s">
        <v>82</v>
      </c>
      <c r="D89" t="s">
        <v>454</v>
      </c>
      <c r="E89" t="s">
        <v>455</v>
      </c>
      <c r="F89" t="s">
        <v>417</v>
      </c>
      <c r="G89" s="3">
        <f t="shared" si="1"/>
        <v>0</v>
      </c>
      <c r="H89" t="s">
        <v>423</v>
      </c>
      <c r="I89" s="3">
        <f>D89/(VLOOKUP(B89,'2025 Team'!$B$2:$G$33,3,FALSE))</f>
        <v>0.1111111111111111</v>
      </c>
    </row>
    <row r="90" spans="1:9" x14ac:dyDescent="0.25">
      <c r="A90" t="s">
        <v>456</v>
      </c>
      <c r="B90" t="s">
        <v>52</v>
      </c>
      <c r="C90" t="s">
        <v>159</v>
      </c>
      <c r="D90" t="s">
        <v>438</v>
      </c>
      <c r="E90" t="s">
        <v>457</v>
      </c>
      <c r="F90" t="s">
        <v>300</v>
      </c>
      <c r="G90" s="3">
        <f t="shared" si="1"/>
        <v>2.1276595744680851E-2</v>
      </c>
      <c r="H90" t="s">
        <v>208</v>
      </c>
      <c r="I90" s="3">
        <f>D90/(VLOOKUP(B90,'2025 Team'!$B$2:$G$33,3,FALSE))</f>
        <v>0.10804597701149425</v>
      </c>
    </row>
    <row r="91" spans="1:9" x14ac:dyDescent="0.25">
      <c r="A91" t="s">
        <v>458</v>
      </c>
      <c r="B91" t="s">
        <v>52</v>
      </c>
      <c r="C91" t="s">
        <v>159</v>
      </c>
      <c r="D91" t="s">
        <v>459</v>
      </c>
      <c r="E91" t="s">
        <v>460</v>
      </c>
      <c r="F91" t="s">
        <v>300</v>
      </c>
      <c r="G91" s="3">
        <f t="shared" si="1"/>
        <v>2.1739130434782608E-2</v>
      </c>
      <c r="H91" t="s">
        <v>239</v>
      </c>
      <c r="I91" s="3">
        <f>D91/(VLOOKUP(B91,'2025 Team'!$B$2:$G$33,3,FALSE))</f>
        <v>0.10574712643678161</v>
      </c>
    </row>
    <row r="92" spans="1:9" x14ac:dyDescent="0.25">
      <c r="A92" t="s">
        <v>114</v>
      </c>
      <c r="B92" t="s">
        <v>48</v>
      </c>
      <c r="C92" t="s">
        <v>82</v>
      </c>
      <c r="D92" t="s">
        <v>461</v>
      </c>
      <c r="E92" t="s">
        <v>462</v>
      </c>
      <c r="F92" t="s">
        <v>229</v>
      </c>
      <c r="G92" s="3">
        <f t="shared" si="1"/>
        <v>0.10810810810810811</v>
      </c>
      <c r="H92" t="s">
        <v>203</v>
      </c>
      <c r="I92" s="3">
        <f>D92/(VLOOKUP(B92,'2025 Team'!$B$2:$G$33,3,FALSE))</f>
        <v>9.0243902439024387E-2</v>
      </c>
    </row>
    <row r="93" spans="1:9" x14ac:dyDescent="0.25">
      <c r="A93" t="s">
        <v>105</v>
      </c>
      <c r="B93" t="s">
        <v>52</v>
      </c>
      <c r="C93" t="s">
        <v>82</v>
      </c>
      <c r="D93" t="s">
        <v>452</v>
      </c>
      <c r="E93" t="s">
        <v>463</v>
      </c>
      <c r="F93" t="s">
        <v>314</v>
      </c>
      <c r="G93" s="3">
        <f t="shared" si="1"/>
        <v>6.6666666666666666E-2</v>
      </c>
      <c r="H93" t="s">
        <v>208</v>
      </c>
      <c r="I93" s="3">
        <f>D93/(VLOOKUP(B93,'2025 Team'!$B$2:$G$33,3,FALSE))</f>
        <v>0.10344827586206896</v>
      </c>
    </row>
    <row r="94" spans="1:9" x14ac:dyDescent="0.25">
      <c r="A94" t="s">
        <v>464</v>
      </c>
      <c r="B94" t="s">
        <v>38</v>
      </c>
      <c r="C94" t="s">
        <v>159</v>
      </c>
      <c r="D94" t="s">
        <v>440</v>
      </c>
      <c r="E94" t="s">
        <v>465</v>
      </c>
      <c r="F94" t="s">
        <v>417</v>
      </c>
      <c r="G94" s="3">
        <f t="shared" si="1"/>
        <v>0</v>
      </c>
      <c r="H94" t="s">
        <v>301</v>
      </c>
      <c r="I94" s="3">
        <f>D94/(VLOOKUP(B94,'2025 Team'!$B$2:$G$33,3,FALSE))</f>
        <v>0.10232558139534884</v>
      </c>
    </row>
    <row r="95" spans="1:9" x14ac:dyDescent="0.25">
      <c r="A95" t="s">
        <v>466</v>
      </c>
      <c r="B95" t="s">
        <v>32</v>
      </c>
      <c r="C95" t="s">
        <v>159</v>
      </c>
      <c r="D95" t="s">
        <v>444</v>
      </c>
      <c r="E95" t="s">
        <v>457</v>
      </c>
      <c r="F95" t="s">
        <v>417</v>
      </c>
      <c r="G95" s="3">
        <f t="shared" si="1"/>
        <v>0</v>
      </c>
      <c r="H95" t="s">
        <v>255</v>
      </c>
      <c r="I95" s="3">
        <f>D95/(VLOOKUP(B95,'2025 Team'!$B$2:$G$33,3,FALSE))</f>
        <v>9.0526315789473691E-2</v>
      </c>
    </row>
    <row r="96" spans="1:9" x14ac:dyDescent="0.25">
      <c r="A96" t="s">
        <v>96</v>
      </c>
      <c r="B96" t="s">
        <v>64</v>
      </c>
      <c r="C96" t="s">
        <v>82</v>
      </c>
      <c r="D96" t="s">
        <v>467</v>
      </c>
      <c r="E96" t="s">
        <v>468</v>
      </c>
      <c r="F96" t="s">
        <v>417</v>
      </c>
      <c r="G96" s="3">
        <f t="shared" si="1"/>
        <v>0</v>
      </c>
      <c r="H96" t="s">
        <v>423</v>
      </c>
      <c r="I96" s="3">
        <f>D96/(VLOOKUP(B96,'2025 Team'!$B$2:$G$33,3,FALSE))</f>
        <v>6.9033530571992116E-2</v>
      </c>
    </row>
    <row r="97" spans="1:9" x14ac:dyDescent="0.25">
      <c r="A97" t="s">
        <v>469</v>
      </c>
      <c r="B97" t="s">
        <v>42</v>
      </c>
      <c r="C97" t="s">
        <v>159</v>
      </c>
      <c r="D97" t="s">
        <v>454</v>
      </c>
      <c r="E97" t="s">
        <v>295</v>
      </c>
      <c r="F97" t="s">
        <v>300</v>
      </c>
      <c r="G97" s="3">
        <f t="shared" si="1"/>
        <v>2.4390243902439025E-2</v>
      </c>
      <c r="H97" t="s">
        <v>212</v>
      </c>
      <c r="I97" s="3">
        <f>D97/(VLOOKUP(B97,'2025 Team'!$B$2:$G$33,3,FALSE))</f>
        <v>8.7982832618025753E-2</v>
      </c>
    </row>
    <row r="98" spans="1:9" x14ac:dyDescent="0.25">
      <c r="A98" t="s">
        <v>89</v>
      </c>
      <c r="B98" t="s">
        <v>68</v>
      </c>
      <c r="C98" t="s">
        <v>82</v>
      </c>
      <c r="D98" t="s">
        <v>470</v>
      </c>
      <c r="E98" t="s">
        <v>295</v>
      </c>
      <c r="F98" t="s">
        <v>289</v>
      </c>
      <c r="G98" s="3">
        <f t="shared" si="1"/>
        <v>5.128205128205128E-2</v>
      </c>
      <c r="H98" t="s">
        <v>208</v>
      </c>
      <c r="I98" s="3">
        <f>D98/(VLOOKUP(B98,'2025 Team'!$B$2:$G$33,3,FALSE))</f>
        <v>0.10317460317460317</v>
      </c>
    </row>
    <row r="99" spans="1:9" x14ac:dyDescent="0.25">
      <c r="A99" t="s">
        <v>471</v>
      </c>
      <c r="B99" t="s">
        <v>8</v>
      </c>
      <c r="C99" t="s">
        <v>159</v>
      </c>
      <c r="D99" t="s">
        <v>440</v>
      </c>
      <c r="E99" t="s">
        <v>472</v>
      </c>
      <c r="F99" t="s">
        <v>417</v>
      </c>
      <c r="G99" s="3">
        <f t="shared" si="1"/>
        <v>0</v>
      </c>
      <c r="H99" t="s">
        <v>473</v>
      </c>
      <c r="I99" s="3">
        <f>D99/(VLOOKUP(B99,'2025 Team'!$B$2:$G$33,3,FALSE))</f>
        <v>0.12021857923497267</v>
      </c>
    </row>
    <row r="100" spans="1:9" x14ac:dyDescent="0.25">
      <c r="A100" t="s">
        <v>474</v>
      </c>
      <c r="B100" t="s">
        <v>48</v>
      </c>
      <c r="C100" t="s">
        <v>159</v>
      </c>
      <c r="D100" t="s">
        <v>475</v>
      </c>
      <c r="E100" t="s">
        <v>360</v>
      </c>
      <c r="F100" t="s">
        <v>417</v>
      </c>
      <c r="G100" s="3">
        <f t="shared" si="1"/>
        <v>0</v>
      </c>
      <c r="H100" t="s">
        <v>262</v>
      </c>
      <c r="I100" s="3">
        <f>D100/(VLOOKUP(B100,'2025 Team'!$B$2:$G$33,3,FALSE))</f>
        <v>7.8048780487804878E-2</v>
      </c>
    </row>
    <row r="101" spans="1:9" x14ac:dyDescent="0.25">
      <c r="A101" t="s">
        <v>107</v>
      </c>
      <c r="B101" t="s">
        <v>62</v>
      </c>
      <c r="C101" t="s">
        <v>82</v>
      </c>
      <c r="D101" t="s">
        <v>476</v>
      </c>
      <c r="E101" t="s">
        <v>477</v>
      </c>
      <c r="F101" t="s">
        <v>417</v>
      </c>
      <c r="G101" s="3">
        <f t="shared" si="1"/>
        <v>0</v>
      </c>
      <c r="H101" t="s">
        <v>478</v>
      </c>
      <c r="I101" s="3">
        <f>D101/(VLOOKUP(B101,'2025 Team'!$B$2:$G$33,3,FALSE))</f>
        <v>7.4844074844074848E-2</v>
      </c>
    </row>
    <row r="102" spans="1:9" x14ac:dyDescent="0.25">
      <c r="A102" t="s">
        <v>479</v>
      </c>
      <c r="B102" t="s">
        <v>24</v>
      </c>
      <c r="C102" t="s">
        <v>159</v>
      </c>
      <c r="D102" t="s">
        <v>480</v>
      </c>
      <c r="E102" t="s">
        <v>481</v>
      </c>
      <c r="F102" t="s">
        <v>300</v>
      </c>
      <c r="G102" s="3">
        <f t="shared" si="1"/>
        <v>2.6315789473684209E-2</v>
      </c>
      <c r="H102" t="s">
        <v>301</v>
      </c>
      <c r="I102" s="3">
        <f>D102/(VLOOKUP(B102,'2025 Team'!$B$2:$G$33,3,FALSE))</f>
        <v>8.1720430107526887E-2</v>
      </c>
    </row>
    <row r="103" spans="1:9" x14ac:dyDescent="0.25">
      <c r="A103" t="s">
        <v>482</v>
      </c>
      <c r="B103" t="s">
        <v>26</v>
      </c>
      <c r="C103" t="s">
        <v>159</v>
      </c>
      <c r="D103" t="s">
        <v>461</v>
      </c>
      <c r="E103" t="s">
        <v>483</v>
      </c>
      <c r="F103" t="s">
        <v>300</v>
      </c>
      <c r="G103" s="3">
        <f t="shared" si="1"/>
        <v>2.7027027027027029E-2</v>
      </c>
      <c r="H103" t="s">
        <v>216</v>
      </c>
      <c r="I103" s="3">
        <f>D103/(VLOOKUP(B103,'2025 Team'!$B$2:$G$33,3,FALSE))</f>
        <v>8.1140350877192985E-2</v>
      </c>
    </row>
    <row r="104" spans="1:9" x14ac:dyDescent="0.25">
      <c r="A104" t="s">
        <v>94</v>
      </c>
      <c r="B104" t="s">
        <v>8</v>
      </c>
      <c r="C104" t="s">
        <v>82</v>
      </c>
      <c r="D104" t="s">
        <v>480</v>
      </c>
      <c r="E104" t="s">
        <v>484</v>
      </c>
      <c r="F104" t="s">
        <v>300</v>
      </c>
      <c r="G104" s="3">
        <f t="shared" si="1"/>
        <v>2.6315789473684209E-2</v>
      </c>
      <c r="H104" t="s">
        <v>230</v>
      </c>
      <c r="I104" s="3">
        <f>D104/(VLOOKUP(B104,'2025 Team'!$B$2:$G$33,3,FALSE))</f>
        <v>0.10382513661202186</v>
      </c>
    </row>
    <row r="105" spans="1:9" x14ac:dyDescent="0.25">
      <c r="A105" t="s">
        <v>108</v>
      </c>
      <c r="B105" t="s">
        <v>62</v>
      </c>
      <c r="C105" t="s">
        <v>82</v>
      </c>
      <c r="D105" t="s">
        <v>485</v>
      </c>
      <c r="E105" t="s">
        <v>486</v>
      </c>
      <c r="F105" t="s">
        <v>314</v>
      </c>
      <c r="G105" s="3">
        <f t="shared" si="1"/>
        <v>9.0909090909090912E-2</v>
      </c>
      <c r="H105" t="s">
        <v>255</v>
      </c>
      <c r="I105" s="3">
        <f>D105/(VLOOKUP(B105,'2025 Team'!$B$2:$G$33,3,FALSE))</f>
        <v>6.8607068607068611E-2</v>
      </c>
    </row>
    <row r="106" spans="1:9" x14ac:dyDescent="0.25">
      <c r="A106" t="s">
        <v>130</v>
      </c>
      <c r="B106" t="s">
        <v>12</v>
      </c>
      <c r="C106" t="s">
        <v>82</v>
      </c>
      <c r="D106" t="s">
        <v>487</v>
      </c>
      <c r="E106" t="s">
        <v>465</v>
      </c>
      <c r="F106" t="s">
        <v>417</v>
      </c>
      <c r="G106" s="3">
        <f t="shared" si="1"/>
        <v>0</v>
      </c>
      <c r="H106" t="s">
        <v>488</v>
      </c>
      <c r="I106" s="3">
        <f>D106/(VLOOKUP(B106,'2025 Team'!$B$2:$G$33,3,FALSE))</f>
        <v>4.7337278106508875E-2</v>
      </c>
    </row>
    <row r="107" spans="1:9" x14ac:dyDescent="0.25">
      <c r="A107" t="s">
        <v>489</v>
      </c>
      <c r="B107" t="s">
        <v>30</v>
      </c>
      <c r="C107" t="s">
        <v>159</v>
      </c>
      <c r="D107" t="s">
        <v>490</v>
      </c>
      <c r="E107" t="s">
        <v>491</v>
      </c>
      <c r="F107" t="s">
        <v>417</v>
      </c>
      <c r="G107" s="3">
        <f t="shared" si="1"/>
        <v>0</v>
      </c>
      <c r="H107" t="s">
        <v>212</v>
      </c>
      <c r="I107" s="3">
        <f>D107/(VLOOKUP(B107,'2025 Team'!$B$2:$G$33,3,FALSE))</f>
        <v>5.4878048780487805E-2</v>
      </c>
    </row>
    <row r="108" spans="1:9" x14ac:dyDescent="0.25">
      <c r="A108" t="s">
        <v>124</v>
      </c>
      <c r="B108" t="s">
        <v>56</v>
      </c>
      <c r="C108" t="s">
        <v>82</v>
      </c>
      <c r="D108" t="s">
        <v>490</v>
      </c>
      <c r="E108" t="s">
        <v>318</v>
      </c>
      <c r="F108" t="s">
        <v>300</v>
      </c>
      <c r="G108" s="3">
        <f t="shared" si="1"/>
        <v>3.7037037037037035E-2</v>
      </c>
      <c r="H108" t="s">
        <v>492</v>
      </c>
      <c r="I108" s="3">
        <f>D108/(VLOOKUP(B108,'2025 Team'!$B$2:$G$33,3,FALSE))</f>
        <v>5.921052631578947E-2</v>
      </c>
    </row>
    <row r="109" spans="1:9" x14ac:dyDescent="0.25">
      <c r="A109" t="s">
        <v>112</v>
      </c>
      <c r="B109" t="s">
        <v>52</v>
      </c>
      <c r="C109" t="s">
        <v>82</v>
      </c>
      <c r="D109" t="s">
        <v>493</v>
      </c>
      <c r="E109" t="s">
        <v>494</v>
      </c>
      <c r="F109" t="s">
        <v>417</v>
      </c>
      <c r="G109" s="3">
        <f t="shared" si="1"/>
        <v>0</v>
      </c>
      <c r="H109" t="s">
        <v>394</v>
      </c>
      <c r="I109" s="3">
        <f>D109/(VLOOKUP(B109,'2025 Team'!$B$2:$G$33,3,FALSE))</f>
        <v>7.1264367816091953E-2</v>
      </c>
    </row>
    <row r="110" spans="1:9" x14ac:dyDescent="0.25">
      <c r="A110" t="s">
        <v>495</v>
      </c>
      <c r="B110" t="s">
        <v>60</v>
      </c>
      <c r="C110" t="s">
        <v>159</v>
      </c>
      <c r="D110" t="s">
        <v>496</v>
      </c>
      <c r="E110" t="s">
        <v>497</v>
      </c>
      <c r="F110" t="s">
        <v>417</v>
      </c>
      <c r="G110" s="3">
        <f t="shared" si="1"/>
        <v>0</v>
      </c>
      <c r="H110" t="s">
        <v>498</v>
      </c>
      <c r="I110" s="3">
        <f>D110/(VLOOKUP(B110,'2025 Team'!$B$2:$G$33,3,FALSE))</f>
        <v>6.8796068796068796E-2</v>
      </c>
    </row>
    <row r="111" spans="1:9" x14ac:dyDescent="0.25">
      <c r="A111" t="s">
        <v>499</v>
      </c>
      <c r="B111" t="s">
        <v>50</v>
      </c>
      <c r="C111" t="s">
        <v>159</v>
      </c>
      <c r="D111" t="s">
        <v>500</v>
      </c>
      <c r="E111" t="s">
        <v>491</v>
      </c>
      <c r="F111" t="s">
        <v>300</v>
      </c>
      <c r="G111" s="3">
        <f t="shared" si="1"/>
        <v>0.04</v>
      </c>
      <c r="H111" t="s">
        <v>293</v>
      </c>
      <c r="I111" s="3">
        <f>D111/(VLOOKUP(B111,'2025 Team'!$B$2:$G$33,3,FALSE))</f>
        <v>5.0607287449392711E-2</v>
      </c>
    </row>
    <row r="112" spans="1:9" x14ac:dyDescent="0.25">
      <c r="A112" t="s">
        <v>501</v>
      </c>
      <c r="B112" t="s">
        <v>8</v>
      </c>
      <c r="C112" t="s">
        <v>159</v>
      </c>
      <c r="D112" t="s">
        <v>475</v>
      </c>
      <c r="E112" t="s">
        <v>468</v>
      </c>
      <c r="F112" t="s">
        <v>300</v>
      </c>
      <c r="G112" s="3">
        <f t="shared" si="1"/>
        <v>3.125E-2</v>
      </c>
      <c r="H112" t="s">
        <v>502</v>
      </c>
      <c r="I112" s="3">
        <f>D112/(VLOOKUP(B112,'2025 Team'!$B$2:$G$33,3,FALSE))</f>
        <v>8.7431693989071038E-2</v>
      </c>
    </row>
    <row r="113" spans="1:9" x14ac:dyDescent="0.25">
      <c r="A113" t="s">
        <v>84</v>
      </c>
      <c r="B113" t="s">
        <v>44</v>
      </c>
      <c r="C113" t="s">
        <v>82</v>
      </c>
      <c r="D113" t="s">
        <v>503</v>
      </c>
      <c r="E113" t="s">
        <v>300</v>
      </c>
      <c r="F113" t="s">
        <v>417</v>
      </c>
      <c r="G113" s="3">
        <f t="shared" si="1"/>
        <v>0</v>
      </c>
      <c r="H113" t="s">
        <v>504</v>
      </c>
      <c r="I113" s="3">
        <f>D113/(VLOOKUP(B113,'2025 Team'!$B$2:$G$33,3,FALSE))</f>
        <v>6.236559139784946E-2</v>
      </c>
    </row>
    <row r="114" spans="1:9" x14ac:dyDescent="0.25">
      <c r="A114" t="s">
        <v>505</v>
      </c>
      <c r="B114" t="s">
        <v>22</v>
      </c>
      <c r="C114" t="s">
        <v>159</v>
      </c>
      <c r="D114" t="s">
        <v>490</v>
      </c>
      <c r="E114" t="s">
        <v>374</v>
      </c>
      <c r="F114" t="s">
        <v>300</v>
      </c>
      <c r="G114" s="3">
        <f t="shared" si="1"/>
        <v>3.7037037037037035E-2</v>
      </c>
      <c r="H114" t="s">
        <v>301</v>
      </c>
      <c r="I114" s="3">
        <f>D114/(VLOOKUP(B114,'2025 Team'!$B$2:$G$33,3,FALSE))</f>
        <v>6.413301662707839E-2</v>
      </c>
    </row>
    <row r="115" spans="1:9" x14ac:dyDescent="0.25">
      <c r="A115" t="s">
        <v>506</v>
      </c>
      <c r="B115" t="s">
        <v>34</v>
      </c>
      <c r="C115" t="s">
        <v>159</v>
      </c>
      <c r="D115" t="s">
        <v>507</v>
      </c>
      <c r="E115" t="s">
        <v>508</v>
      </c>
      <c r="F115" t="s">
        <v>417</v>
      </c>
      <c r="G115" s="3">
        <f t="shared" si="1"/>
        <v>0</v>
      </c>
      <c r="H115" t="s">
        <v>221</v>
      </c>
      <c r="I115" s="3">
        <f>D115/(VLOOKUP(B115,'2025 Team'!$B$2:$G$33,3,FALSE))</f>
        <v>5.8823529411764705E-2</v>
      </c>
    </row>
    <row r="116" spans="1:9" x14ac:dyDescent="0.25">
      <c r="A116" t="s">
        <v>509</v>
      </c>
      <c r="B116" t="s">
        <v>50</v>
      </c>
      <c r="C116" t="s">
        <v>159</v>
      </c>
      <c r="D116" t="s">
        <v>510</v>
      </c>
      <c r="E116" t="s">
        <v>511</v>
      </c>
      <c r="F116" t="s">
        <v>300</v>
      </c>
      <c r="G116" s="3">
        <f t="shared" si="1"/>
        <v>4.3478260869565216E-2</v>
      </c>
      <c r="H116" t="s">
        <v>512</v>
      </c>
      <c r="I116" s="3">
        <f>D116/(VLOOKUP(B116,'2025 Team'!$B$2:$G$33,3,FALSE))</f>
        <v>4.6558704453441298E-2</v>
      </c>
    </row>
    <row r="117" spans="1:9" x14ac:dyDescent="0.25">
      <c r="A117" t="s">
        <v>513</v>
      </c>
      <c r="B117" t="s">
        <v>64</v>
      </c>
      <c r="C117" t="s">
        <v>159</v>
      </c>
      <c r="D117" t="s">
        <v>514</v>
      </c>
      <c r="E117" t="s">
        <v>511</v>
      </c>
      <c r="F117" t="s">
        <v>300</v>
      </c>
      <c r="G117" s="3">
        <f t="shared" si="1"/>
        <v>4.5454545454545456E-2</v>
      </c>
      <c r="H117" t="s">
        <v>409</v>
      </c>
      <c r="I117" s="3">
        <f>D117/(VLOOKUP(B117,'2025 Team'!$B$2:$G$33,3,FALSE))</f>
        <v>4.3392504930966469E-2</v>
      </c>
    </row>
    <row r="118" spans="1:9" x14ac:dyDescent="0.25">
      <c r="A118" t="s">
        <v>142</v>
      </c>
      <c r="B118" t="s">
        <v>30</v>
      </c>
      <c r="C118" t="s">
        <v>82</v>
      </c>
      <c r="D118" t="s">
        <v>514</v>
      </c>
      <c r="E118" t="s">
        <v>515</v>
      </c>
      <c r="F118" t="s">
        <v>289</v>
      </c>
      <c r="G118" s="3">
        <f t="shared" si="1"/>
        <v>9.0909090909090912E-2</v>
      </c>
      <c r="H118" t="s">
        <v>516</v>
      </c>
      <c r="I118" s="3">
        <f>D118/(VLOOKUP(B118,'2025 Team'!$B$2:$G$33,3,FALSE))</f>
        <v>4.4715447154471545E-2</v>
      </c>
    </row>
    <row r="119" spans="1:9" x14ac:dyDescent="0.25">
      <c r="A119" t="s">
        <v>517</v>
      </c>
      <c r="B119" t="s">
        <v>8</v>
      </c>
      <c r="C119" t="s">
        <v>159</v>
      </c>
      <c r="D119" t="s">
        <v>503</v>
      </c>
      <c r="E119" t="s">
        <v>518</v>
      </c>
      <c r="F119" t="s">
        <v>417</v>
      </c>
      <c r="G119" s="3">
        <f t="shared" si="1"/>
        <v>0</v>
      </c>
      <c r="H119" t="s">
        <v>445</v>
      </c>
      <c r="I119" s="3">
        <f>D119/(VLOOKUP(B119,'2025 Team'!$B$2:$G$33,3,FALSE))</f>
        <v>7.9234972677595633E-2</v>
      </c>
    </row>
    <row r="120" spans="1:9" x14ac:dyDescent="0.25">
      <c r="A120" t="s">
        <v>121</v>
      </c>
      <c r="B120" t="s">
        <v>8</v>
      </c>
      <c r="C120" t="s">
        <v>82</v>
      </c>
      <c r="D120" t="s">
        <v>503</v>
      </c>
      <c r="E120" t="s">
        <v>298</v>
      </c>
      <c r="F120" t="s">
        <v>300</v>
      </c>
      <c r="G120" s="3">
        <f t="shared" si="1"/>
        <v>3.4482758620689655E-2</v>
      </c>
      <c r="H120" t="s">
        <v>389</v>
      </c>
      <c r="I120" s="3">
        <f>D120/(VLOOKUP(B120,'2025 Team'!$B$2:$G$33,3,FALSE))</f>
        <v>7.9234972677595633E-2</v>
      </c>
    </row>
    <row r="121" spans="1:9" x14ac:dyDescent="0.25">
      <c r="A121" t="s">
        <v>519</v>
      </c>
      <c r="B121" t="s">
        <v>22</v>
      </c>
      <c r="C121" t="s">
        <v>159</v>
      </c>
      <c r="D121" t="s">
        <v>487</v>
      </c>
      <c r="E121" t="s">
        <v>511</v>
      </c>
      <c r="F121" t="s">
        <v>417</v>
      </c>
      <c r="G121" s="3">
        <f t="shared" si="1"/>
        <v>0</v>
      </c>
      <c r="H121" t="s">
        <v>502</v>
      </c>
      <c r="I121" s="3">
        <f>D121/(VLOOKUP(B121,'2025 Team'!$B$2:$G$33,3,FALSE))</f>
        <v>5.7007125890736345E-2</v>
      </c>
    </row>
    <row r="122" spans="1:9" x14ac:dyDescent="0.25">
      <c r="A122" t="s">
        <v>520</v>
      </c>
      <c r="B122" t="s">
        <v>40</v>
      </c>
      <c r="C122" t="s">
        <v>159</v>
      </c>
      <c r="D122" t="s">
        <v>514</v>
      </c>
      <c r="E122" t="s">
        <v>521</v>
      </c>
      <c r="F122" t="s">
        <v>417</v>
      </c>
      <c r="G122" s="3">
        <f t="shared" si="1"/>
        <v>0</v>
      </c>
      <c r="H122" t="s">
        <v>362</v>
      </c>
      <c r="I122" s="3">
        <f>D122/(VLOOKUP(B122,'2025 Team'!$B$2:$G$33,3,FALSE))</f>
        <v>5.9620596205962058E-2</v>
      </c>
    </row>
    <row r="123" spans="1:9" x14ac:dyDescent="0.25">
      <c r="A123" t="s">
        <v>522</v>
      </c>
      <c r="B123" t="s">
        <v>12</v>
      </c>
      <c r="C123" t="s">
        <v>159</v>
      </c>
      <c r="D123" t="s">
        <v>202</v>
      </c>
      <c r="E123" t="s">
        <v>523</v>
      </c>
      <c r="F123" t="s">
        <v>289</v>
      </c>
      <c r="G123" s="3">
        <f t="shared" si="1"/>
        <v>0.1111111111111111</v>
      </c>
      <c r="H123" t="s">
        <v>194</v>
      </c>
      <c r="I123" s="3">
        <f>D123/(VLOOKUP(B123,'2025 Team'!$B$2:$G$33,3,FALSE))</f>
        <v>3.5502958579881658E-2</v>
      </c>
    </row>
    <row r="124" spans="1:9" x14ac:dyDescent="0.25">
      <c r="A124" t="s">
        <v>103</v>
      </c>
      <c r="B124" t="s">
        <v>46</v>
      </c>
      <c r="C124" t="s">
        <v>82</v>
      </c>
      <c r="D124" t="s">
        <v>524</v>
      </c>
      <c r="E124" t="s">
        <v>444</v>
      </c>
      <c r="F124" t="s">
        <v>417</v>
      </c>
      <c r="G124" s="3">
        <f t="shared" si="1"/>
        <v>0</v>
      </c>
      <c r="H124" t="s">
        <v>442</v>
      </c>
      <c r="I124" s="3">
        <f>D124/(VLOOKUP(B124,'2025 Team'!$B$2:$G$33,3,FALSE))</f>
        <v>4.6296296296296294E-2</v>
      </c>
    </row>
    <row r="125" spans="1:9" x14ac:dyDescent="0.25">
      <c r="A125" t="s">
        <v>525</v>
      </c>
      <c r="B125" t="s">
        <v>36</v>
      </c>
      <c r="C125" t="s">
        <v>159</v>
      </c>
      <c r="D125" t="s">
        <v>510</v>
      </c>
      <c r="E125" t="s">
        <v>526</v>
      </c>
      <c r="F125" t="s">
        <v>417</v>
      </c>
      <c r="G125" s="3">
        <f t="shared" si="1"/>
        <v>0</v>
      </c>
      <c r="H125" t="s">
        <v>208</v>
      </c>
      <c r="I125" s="3">
        <f>D125/(VLOOKUP(B125,'2025 Team'!$B$2:$G$33,3,FALSE))</f>
        <v>4.7034764826175871E-2</v>
      </c>
    </row>
    <row r="126" spans="1:9" x14ac:dyDescent="0.25">
      <c r="A126" t="s">
        <v>527</v>
      </c>
      <c r="B126" t="s">
        <v>16</v>
      </c>
      <c r="C126" t="s">
        <v>159</v>
      </c>
      <c r="D126" t="s">
        <v>524</v>
      </c>
      <c r="E126" t="s">
        <v>526</v>
      </c>
      <c r="F126" t="s">
        <v>417</v>
      </c>
      <c r="G126" s="3">
        <f t="shared" si="1"/>
        <v>0</v>
      </c>
      <c r="H126" t="s">
        <v>362</v>
      </c>
      <c r="I126" s="3">
        <f>D126/(VLOOKUP(B126,'2025 Team'!$B$2:$G$33,3,FALSE))</f>
        <v>4.3383947939262472E-2</v>
      </c>
    </row>
    <row r="127" spans="1:9" x14ac:dyDescent="0.25">
      <c r="A127" t="s">
        <v>109</v>
      </c>
      <c r="B127" t="s">
        <v>10</v>
      </c>
      <c r="C127" t="s">
        <v>82</v>
      </c>
      <c r="D127" t="s">
        <v>528</v>
      </c>
      <c r="E127" t="s">
        <v>383</v>
      </c>
      <c r="F127" t="s">
        <v>300</v>
      </c>
      <c r="G127" s="3">
        <f t="shared" si="1"/>
        <v>4.7619047619047616E-2</v>
      </c>
      <c r="H127" t="s">
        <v>409</v>
      </c>
      <c r="I127" s="3">
        <f>D127/(VLOOKUP(B127,'2025 Team'!$B$2:$G$33,3,FALSE))</f>
        <v>4.40251572327044E-2</v>
      </c>
    </row>
    <row r="128" spans="1:9" x14ac:dyDescent="0.25">
      <c r="A128" t="s">
        <v>92</v>
      </c>
      <c r="B128" t="s">
        <v>60</v>
      </c>
      <c r="C128" t="s">
        <v>82</v>
      </c>
      <c r="D128" t="s">
        <v>528</v>
      </c>
      <c r="E128" t="s">
        <v>529</v>
      </c>
      <c r="F128" t="s">
        <v>300</v>
      </c>
      <c r="G128" s="3">
        <f t="shared" si="1"/>
        <v>4.7619047619047616E-2</v>
      </c>
      <c r="H128" t="s">
        <v>530</v>
      </c>
      <c r="I128" s="3">
        <f>D128/(VLOOKUP(B128,'2025 Team'!$B$2:$G$33,3,FALSE))</f>
        <v>5.1597051597051594E-2</v>
      </c>
    </row>
    <row r="129" spans="1:9" x14ac:dyDescent="0.25">
      <c r="A129" t="s">
        <v>116</v>
      </c>
      <c r="B129" t="s">
        <v>22</v>
      </c>
      <c r="C129" t="s">
        <v>82</v>
      </c>
      <c r="D129" t="s">
        <v>528</v>
      </c>
      <c r="E129" t="s">
        <v>303</v>
      </c>
      <c r="F129" t="s">
        <v>300</v>
      </c>
      <c r="G129" s="3">
        <f t="shared" si="1"/>
        <v>4.7619047619047616E-2</v>
      </c>
      <c r="H129" t="s">
        <v>531</v>
      </c>
      <c r="I129" s="3">
        <f>D129/(VLOOKUP(B129,'2025 Team'!$B$2:$G$33,3,FALSE))</f>
        <v>4.9881235154394299E-2</v>
      </c>
    </row>
    <row r="130" spans="1:9" x14ac:dyDescent="0.25">
      <c r="A130" t="s">
        <v>532</v>
      </c>
      <c r="B130" t="s">
        <v>56</v>
      </c>
      <c r="C130" t="s">
        <v>159</v>
      </c>
      <c r="D130" t="s">
        <v>202</v>
      </c>
      <c r="E130" t="s">
        <v>533</v>
      </c>
      <c r="F130" t="s">
        <v>300</v>
      </c>
      <c r="G130" s="3">
        <f t="shared" ref="G130:G193" si="2">F130/D130</f>
        <v>5.5555555555555552E-2</v>
      </c>
      <c r="H130" t="s">
        <v>293</v>
      </c>
      <c r="I130" s="3">
        <f>D130/(VLOOKUP(B130,'2025 Team'!$B$2:$G$33,3,FALSE))</f>
        <v>3.9473684210526314E-2</v>
      </c>
    </row>
    <row r="131" spans="1:9" x14ac:dyDescent="0.25">
      <c r="A131" t="s">
        <v>534</v>
      </c>
      <c r="B131" t="s">
        <v>70</v>
      </c>
      <c r="C131" t="s">
        <v>163</v>
      </c>
      <c r="D131" t="s">
        <v>535</v>
      </c>
      <c r="E131" t="s">
        <v>536</v>
      </c>
      <c r="F131" t="s">
        <v>300</v>
      </c>
      <c r="G131" s="3">
        <f t="shared" si="2"/>
        <v>5.8823529411764705E-2</v>
      </c>
      <c r="H131" t="s">
        <v>230</v>
      </c>
      <c r="I131" s="3">
        <f>D131/(VLOOKUP(B131,'2025 Team'!$B$2:$G$33,3,FALSE))</f>
        <v>3.5123966942148761E-2</v>
      </c>
    </row>
    <row r="132" spans="1:9" x14ac:dyDescent="0.25">
      <c r="A132" t="s">
        <v>537</v>
      </c>
      <c r="B132" t="s">
        <v>46</v>
      </c>
      <c r="C132" t="s">
        <v>163</v>
      </c>
      <c r="D132" t="s">
        <v>535</v>
      </c>
      <c r="E132" t="s">
        <v>538</v>
      </c>
      <c r="F132" t="s">
        <v>300</v>
      </c>
      <c r="G132" s="3">
        <f t="shared" si="2"/>
        <v>5.8823529411764705E-2</v>
      </c>
      <c r="H132" t="s">
        <v>539</v>
      </c>
      <c r="I132" s="3">
        <f>D132/(VLOOKUP(B132,'2025 Team'!$B$2:$G$33,3,FALSE))</f>
        <v>3.9351851851851853E-2</v>
      </c>
    </row>
    <row r="133" spans="1:9" x14ac:dyDescent="0.25">
      <c r="A133" t="s">
        <v>540</v>
      </c>
      <c r="B133" t="s">
        <v>48</v>
      </c>
      <c r="C133" t="s">
        <v>159</v>
      </c>
      <c r="D133" t="s">
        <v>535</v>
      </c>
      <c r="E133" t="s">
        <v>438</v>
      </c>
      <c r="F133" t="s">
        <v>417</v>
      </c>
      <c r="G133" s="3">
        <f t="shared" si="2"/>
        <v>0</v>
      </c>
      <c r="H133" t="s">
        <v>385</v>
      </c>
      <c r="I133" s="3">
        <f>D133/(VLOOKUP(B133,'2025 Team'!$B$2:$G$33,3,FALSE))</f>
        <v>4.1463414634146344E-2</v>
      </c>
    </row>
    <row r="134" spans="1:9" x14ac:dyDescent="0.25">
      <c r="A134" t="s">
        <v>126</v>
      </c>
      <c r="B134" t="s">
        <v>54</v>
      </c>
      <c r="C134" t="s">
        <v>82</v>
      </c>
      <c r="D134" t="s">
        <v>202</v>
      </c>
      <c r="E134" t="s">
        <v>491</v>
      </c>
      <c r="F134" t="s">
        <v>417</v>
      </c>
      <c r="G134" s="3">
        <f t="shared" si="2"/>
        <v>0</v>
      </c>
      <c r="H134" t="s">
        <v>420</v>
      </c>
      <c r="I134" s="3">
        <f>D134/(VLOOKUP(B134,'2025 Team'!$B$2:$G$33,3,FALSE))</f>
        <v>3.5225048923679059E-2</v>
      </c>
    </row>
    <row r="135" spans="1:9" x14ac:dyDescent="0.25">
      <c r="A135" t="s">
        <v>85</v>
      </c>
      <c r="B135" t="s">
        <v>28</v>
      </c>
      <c r="C135" t="s">
        <v>82</v>
      </c>
      <c r="D135" t="s">
        <v>541</v>
      </c>
      <c r="E135" t="s">
        <v>452</v>
      </c>
      <c r="F135" t="s">
        <v>417</v>
      </c>
      <c r="G135" s="3">
        <f t="shared" si="2"/>
        <v>0</v>
      </c>
      <c r="H135" t="s">
        <v>542</v>
      </c>
      <c r="I135" s="3">
        <f>D135/(VLOOKUP(B135,'2025 Team'!$B$2:$G$33,3,FALSE))</f>
        <v>4.2986425339366516E-2</v>
      </c>
    </row>
    <row r="136" spans="1:9" x14ac:dyDescent="0.25">
      <c r="A136" t="s">
        <v>543</v>
      </c>
      <c r="B136" t="s">
        <v>56</v>
      </c>
      <c r="C136" t="s">
        <v>159</v>
      </c>
      <c r="D136" t="s">
        <v>193</v>
      </c>
      <c r="E136" t="s">
        <v>441</v>
      </c>
      <c r="F136" t="s">
        <v>417</v>
      </c>
      <c r="G136" s="3">
        <f t="shared" si="2"/>
        <v>0</v>
      </c>
      <c r="H136" t="s">
        <v>409</v>
      </c>
      <c r="I136" s="3">
        <f>D136/(VLOOKUP(B136,'2025 Team'!$B$2:$G$33,3,FALSE))</f>
        <v>3.5087719298245612E-2</v>
      </c>
    </row>
    <row r="137" spans="1:9" x14ac:dyDescent="0.25">
      <c r="A137" t="s">
        <v>544</v>
      </c>
      <c r="B137" t="s">
        <v>52</v>
      </c>
      <c r="C137" t="s">
        <v>159</v>
      </c>
      <c r="D137" t="s">
        <v>541</v>
      </c>
      <c r="E137" t="s">
        <v>450</v>
      </c>
      <c r="F137" t="s">
        <v>417</v>
      </c>
      <c r="G137" s="3">
        <f t="shared" si="2"/>
        <v>0</v>
      </c>
      <c r="H137" t="s">
        <v>498</v>
      </c>
      <c r="I137" s="3">
        <f>D137/(VLOOKUP(B137,'2025 Team'!$B$2:$G$33,3,FALSE))</f>
        <v>4.3678160919540229E-2</v>
      </c>
    </row>
    <row r="138" spans="1:9" x14ac:dyDescent="0.25">
      <c r="A138" t="s">
        <v>545</v>
      </c>
      <c r="B138" t="s">
        <v>24</v>
      </c>
      <c r="C138" t="s">
        <v>159</v>
      </c>
      <c r="D138" t="s">
        <v>524</v>
      </c>
      <c r="E138" t="s">
        <v>546</v>
      </c>
      <c r="F138" t="s">
        <v>300</v>
      </c>
      <c r="G138" s="3">
        <f t="shared" si="2"/>
        <v>0.05</v>
      </c>
      <c r="H138" t="s">
        <v>420</v>
      </c>
      <c r="I138" s="3">
        <f>D138/(VLOOKUP(B138,'2025 Team'!$B$2:$G$33,3,FALSE))</f>
        <v>4.3010752688172046E-2</v>
      </c>
    </row>
    <row r="139" spans="1:9" x14ac:dyDescent="0.25">
      <c r="A139" t="s">
        <v>547</v>
      </c>
      <c r="B139" t="s">
        <v>42</v>
      </c>
      <c r="C139" t="s">
        <v>159</v>
      </c>
      <c r="D139" t="s">
        <v>535</v>
      </c>
      <c r="E139" t="s">
        <v>438</v>
      </c>
      <c r="F139" t="s">
        <v>417</v>
      </c>
      <c r="G139" s="3">
        <f t="shared" si="2"/>
        <v>0</v>
      </c>
      <c r="H139" t="s">
        <v>385</v>
      </c>
      <c r="I139" s="3">
        <f>D139/(VLOOKUP(B139,'2025 Team'!$B$2:$G$33,3,FALSE))</f>
        <v>3.6480686695278972E-2</v>
      </c>
    </row>
    <row r="140" spans="1:9" x14ac:dyDescent="0.25">
      <c r="A140" t="s">
        <v>133</v>
      </c>
      <c r="B140" t="s">
        <v>42</v>
      </c>
      <c r="C140" t="s">
        <v>82</v>
      </c>
      <c r="D140" t="s">
        <v>535</v>
      </c>
      <c r="E140" t="s">
        <v>548</v>
      </c>
      <c r="F140" t="s">
        <v>417</v>
      </c>
      <c r="G140" s="3">
        <f t="shared" si="2"/>
        <v>0</v>
      </c>
      <c r="H140" t="s">
        <v>258</v>
      </c>
      <c r="I140" s="3">
        <f>D140/(VLOOKUP(B140,'2025 Team'!$B$2:$G$33,3,FALSE))</f>
        <v>3.6480686695278972E-2</v>
      </c>
    </row>
    <row r="141" spans="1:9" x14ac:dyDescent="0.25">
      <c r="A141" t="s">
        <v>549</v>
      </c>
      <c r="B141" t="s">
        <v>70</v>
      </c>
      <c r="C141" t="s">
        <v>159</v>
      </c>
      <c r="D141" t="s">
        <v>344</v>
      </c>
      <c r="E141" t="s">
        <v>444</v>
      </c>
      <c r="F141" t="s">
        <v>417</v>
      </c>
      <c r="G141" s="3">
        <f t="shared" si="2"/>
        <v>0</v>
      </c>
      <c r="H141" t="s">
        <v>550</v>
      </c>
      <c r="I141" s="3">
        <f>D141/(VLOOKUP(B141,'2025 Team'!$B$2:$G$33,3,FALSE))</f>
        <v>2.8925619834710745E-2</v>
      </c>
    </row>
    <row r="142" spans="1:9" x14ac:dyDescent="0.25">
      <c r="A142" t="s">
        <v>551</v>
      </c>
      <c r="B142" t="s">
        <v>32</v>
      </c>
      <c r="C142" t="s">
        <v>159</v>
      </c>
      <c r="D142" t="s">
        <v>535</v>
      </c>
      <c r="E142" t="s">
        <v>552</v>
      </c>
      <c r="F142" t="s">
        <v>417</v>
      </c>
      <c r="G142" s="3">
        <f t="shared" si="2"/>
        <v>0</v>
      </c>
      <c r="H142" t="s">
        <v>243</v>
      </c>
      <c r="I142" s="3">
        <f>D142/(VLOOKUP(B142,'2025 Team'!$B$2:$G$33,3,FALSE))</f>
        <v>3.5789473684210524E-2</v>
      </c>
    </row>
    <row r="143" spans="1:9" x14ac:dyDescent="0.25">
      <c r="A143" t="s">
        <v>553</v>
      </c>
      <c r="B143" t="s">
        <v>58</v>
      </c>
      <c r="C143" t="s">
        <v>159</v>
      </c>
      <c r="D143" t="s">
        <v>344</v>
      </c>
      <c r="E143" t="s">
        <v>554</v>
      </c>
      <c r="F143" t="s">
        <v>417</v>
      </c>
      <c r="G143" s="3">
        <f t="shared" si="2"/>
        <v>0</v>
      </c>
      <c r="H143" t="s">
        <v>555</v>
      </c>
      <c r="I143" s="3">
        <f>D143/(VLOOKUP(B143,'2025 Team'!$B$2:$G$33,3,FALSE))</f>
        <v>2.9288702928870293E-2</v>
      </c>
    </row>
    <row r="144" spans="1:9" x14ac:dyDescent="0.25">
      <c r="A144" t="s">
        <v>556</v>
      </c>
      <c r="B144" t="s">
        <v>60</v>
      </c>
      <c r="C144" t="s">
        <v>153</v>
      </c>
      <c r="D144" t="s">
        <v>557</v>
      </c>
      <c r="E144" t="s">
        <v>444</v>
      </c>
      <c r="F144" t="s">
        <v>289</v>
      </c>
      <c r="G144" s="3">
        <f t="shared" si="2"/>
        <v>0.13333333333333333</v>
      </c>
      <c r="H144" t="s">
        <v>530</v>
      </c>
      <c r="I144" s="3">
        <f>D144/(VLOOKUP(B144,'2025 Team'!$B$2:$G$33,3,FALSE))</f>
        <v>3.6855036855036855E-2</v>
      </c>
    </row>
    <row r="145" spans="1:9" x14ac:dyDescent="0.25">
      <c r="A145" t="s">
        <v>558</v>
      </c>
      <c r="B145" t="s">
        <v>24</v>
      </c>
      <c r="C145" t="s">
        <v>163</v>
      </c>
      <c r="D145" t="s">
        <v>535</v>
      </c>
      <c r="E145" t="s">
        <v>559</v>
      </c>
      <c r="F145" t="s">
        <v>417</v>
      </c>
      <c r="G145" s="3">
        <f t="shared" si="2"/>
        <v>0</v>
      </c>
      <c r="H145" t="s">
        <v>194</v>
      </c>
      <c r="I145" s="3">
        <f>D145/(VLOOKUP(B145,'2025 Team'!$B$2:$G$33,3,FALSE))</f>
        <v>3.6559139784946237E-2</v>
      </c>
    </row>
    <row r="146" spans="1:9" x14ac:dyDescent="0.25">
      <c r="A146" t="s">
        <v>560</v>
      </c>
      <c r="B146" t="s">
        <v>42</v>
      </c>
      <c r="C146" t="s">
        <v>159</v>
      </c>
      <c r="D146" t="s">
        <v>557</v>
      </c>
      <c r="E146" t="s">
        <v>529</v>
      </c>
      <c r="F146" t="s">
        <v>417</v>
      </c>
      <c r="G146" s="3">
        <f t="shared" si="2"/>
        <v>0</v>
      </c>
      <c r="H146" t="s">
        <v>208</v>
      </c>
      <c r="I146" s="3">
        <f>D146/(VLOOKUP(B146,'2025 Team'!$B$2:$G$33,3,FALSE))</f>
        <v>3.2188841201716736E-2</v>
      </c>
    </row>
    <row r="147" spans="1:9" x14ac:dyDescent="0.25">
      <c r="A147" t="s">
        <v>123</v>
      </c>
      <c r="B147" t="s">
        <v>56</v>
      </c>
      <c r="C147" t="s">
        <v>82</v>
      </c>
      <c r="D147" t="s">
        <v>234</v>
      </c>
      <c r="E147" t="s">
        <v>554</v>
      </c>
      <c r="F147" t="s">
        <v>417</v>
      </c>
      <c r="G147" s="3">
        <f t="shared" si="2"/>
        <v>0</v>
      </c>
      <c r="H147" t="s">
        <v>323</v>
      </c>
      <c r="I147" s="3">
        <f>D147/(VLOOKUP(B147,'2025 Team'!$B$2:$G$33,3,FALSE))</f>
        <v>2.850877192982456E-2</v>
      </c>
    </row>
    <row r="148" spans="1:9" x14ac:dyDescent="0.25">
      <c r="A148" t="s">
        <v>561</v>
      </c>
      <c r="B148" t="s">
        <v>56</v>
      </c>
      <c r="C148" t="s">
        <v>159</v>
      </c>
      <c r="D148" t="s">
        <v>234</v>
      </c>
      <c r="E148" t="s">
        <v>554</v>
      </c>
      <c r="F148" t="s">
        <v>417</v>
      </c>
      <c r="G148" s="3">
        <f t="shared" si="2"/>
        <v>0</v>
      </c>
      <c r="H148" t="s">
        <v>323</v>
      </c>
      <c r="I148" s="3">
        <f>D148/(VLOOKUP(B148,'2025 Team'!$B$2:$G$33,3,FALSE))</f>
        <v>2.850877192982456E-2</v>
      </c>
    </row>
    <row r="149" spans="1:9" x14ac:dyDescent="0.25">
      <c r="A149" t="s">
        <v>167</v>
      </c>
      <c r="B149" t="s">
        <v>18</v>
      </c>
      <c r="C149" t="s">
        <v>163</v>
      </c>
      <c r="D149" t="s">
        <v>557</v>
      </c>
      <c r="E149" t="s">
        <v>562</v>
      </c>
      <c r="F149" t="s">
        <v>300</v>
      </c>
      <c r="G149" s="3">
        <f t="shared" si="2"/>
        <v>6.6666666666666666E-2</v>
      </c>
      <c r="H149" t="s">
        <v>492</v>
      </c>
      <c r="I149" s="3">
        <f>D149/(VLOOKUP(B149,'2025 Team'!$B$2:$G$33,3,FALSE))</f>
        <v>2.9702970297029702E-2</v>
      </c>
    </row>
    <row r="150" spans="1:9" x14ac:dyDescent="0.25">
      <c r="A150" t="s">
        <v>563</v>
      </c>
      <c r="B150" t="s">
        <v>50</v>
      </c>
      <c r="C150" t="s">
        <v>159</v>
      </c>
      <c r="D150" t="s">
        <v>234</v>
      </c>
      <c r="E150" t="s">
        <v>500</v>
      </c>
      <c r="F150" t="s">
        <v>417</v>
      </c>
      <c r="G150" s="3">
        <f t="shared" si="2"/>
        <v>0</v>
      </c>
      <c r="H150" t="s">
        <v>564</v>
      </c>
      <c r="I150" s="3">
        <f>D150/(VLOOKUP(B150,'2025 Team'!$B$2:$G$33,3,FALSE))</f>
        <v>2.6315789473684209E-2</v>
      </c>
    </row>
    <row r="151" spans="1:9" x14ac:dyDescent="0.25">
      <c r="A151" t="s">
        <v>110</v>
      </c>
      <c r="B151" t="s">
        <v>10</v>
      </c>
      <c r="C151" t="s">
        <v>82</v>
      </c>
      <c r="D151" t="s">
        <v>344</v>
      </c>
      <c r="E151" t="s">
        <v>207</v>
      </c>
      <c r="F151" t="s">
        <v>300</v>
      </c>
      <c r="G151" s="3">
        <f t="shared" si="2"/>
        <v>7.1428571428571425E-2</v>
      </c>
      <c r="H151" t="s">
        <v>565</v>
      </c>
      <c r="I151" s="3">
        <f>D151/(VLOOKUP(B151,'2025 Team'!$B$2:$G$33,3,FALSE))</f>
        <v>2.9350104821802937E-2</v>
      </c>
    </row>
    <row r="152" spans="1:9" x14ac:dyDescent="0.25">
      <c r="A152" t="s">
        <v>566</v>
      </c>
      <c r="B152" t="s">
        <v>24</v>
      </c>
      <c r="C152" t="s">
        <v>159</v>
      </c>
      <c r="D152" t="s">
        <v>193</v>
      </c>
      <c r="E152" t="s">
        <v>392</v>
      </c>
      <c r="F152" t="s">
        <v>417</v>
      </c>
      <c r="G152" s="3">
        <f t="shared" si="2"/>
        <v>0</v>
      </c>
      <c r="H152" t="s">
        <v>230</v>
      </c>
      <c r="I152" s="3">
        <f>D152/(VLOOKUP(B152,'2025 Team'!$B$2:$G$33,3,FALSE))</f>
        <v>3.4408602150537634E-2</v>
      </c>
    </row>
    <row r="153" spans="1:9" x14ac:dyDescent="0.25">
      <c r="A153" t="s">
        <v>567</v>
      </c>
      <c r="B153" t="s">
        <v>34</v>
      </c>
      <c r="C153" t="s">
        <v>159</v>
      </c>
      <c r="D153" t="s">
        <v>344</v>
      </c>
      <c r="E153" t="s">
        <v>477</v>
      </c>
      <c r="F153" t="s">
        <v>300</v>
      </c>
      <c r="G153" s="3">
        <f t="shared" si="2"/>
        <v>7.1428571428571425E-2</v>
      </c>
      <c r="H153" t="s">
        <v>239</v>
      </c>
      <c r="I153" s="3">
        <f>D153/(VLOOKUP(B153,'2025 Team'!$B$2:$G$33,3,FALSE))</f>
        <v>3.1674208144796379E-2</v>
      </c>
    </row>
    <row r="154" spans="1:9" x14ac:dyDescent="0.25">
      <c r="A154" t="s">
        <v>135</v>
      </c>
      <c r="B154" t="s">
        <v>70</v>
      </c>
      <c r="C154" t="s">
        <v>82</v>
      </c>
      <c r="D154" t="s">
        <v>198</v>
      </c>
      <c r="E154" t="s">
        <v>433</v>
      </c>
      <c r="F154" t="s">
        <v>300</v>
      </c>
      <c r="G154" s="3">
        <f t="shared" si="2"/>
        <v>8.3333333333333329E-2</v>
      </c>
      <c r="H154" t="s">
        <v>243</v>
      </c>
      <c r="I154" s="3">
        <f>D154/(VLOOKUP(B154,'2025 Team'!$B$2:$G$33,3,FALSE))</f>
        <v>2.4793388429752067E-2</v>
      </c>
    </row>
    <row r="155" spans="1:9" x14ac:dyDescent="0.25">
      <c r="A155" t="s">
        <v>119</v>
      </c>
      <c r="B155" t="s">
        <v>22</v>
      </c>
      <c r="C155" t="s">
        <v>82</v>
      </c>
      <c r="D155" t="s">
        <v>344</v>
      </c>
      <c r="E155" t="s">
        <v>371</v>
      </c>
      <c r="F155" t="s">
        <v>417</v>
      </c>
      <c r="G155" s="3">
        <f t="shared" si="2"/>
        <v>0</v>
      </c>
      <c r="H155" t="s">
        <v>568</v>
      </c>
      <c r="I155" s="3">
        <f>D155/(VLOOKUP(B155,'2025 Team'!$B$2:$G$33,3,FALSE))</f>
        <v>3.3254156769596199E-2</v>
      </c>
    </row>
    <row r="156" spans="1:9" x14ac:dyDescent="0.25">
      <c r="A156" t="s">
        <v>569</v>
      </c>
      <c r="B156" t="s">
        <v>20</v>
      </c>
      <c r="C156" t="s">
        <v>159</v>
      </c>
      <c r="D156" t="s">
        <v>193</v>
      </c>
      <c r="E156" t="s">
        <v>452</v>
      </c>
      <c r="F156" t="s">
        <v>417</v>
      </c>
      <c r="G156" s="3">
        <f t="shared" si="2"/>
        <v>0</v>
      </c>
      <c r="H156" t="s">
        <v>385</v>
      </c>
      <c r="I156" s="3">
        <f>D156/(VLOOKUP(B156,'2025 Team'!$B$2:$G$33,3,FALSE))</f>
        <v>4.1994750656167978E-2</v>
      </c>
    </row>
    <row r="157" spans="1:9" x14ac:dyDescent="0.25">
      <c r="A157" t="s">
        <v>570</v>
      </c>
      <c r="B157" t="s">
        <v>58</v>
      </c>
      <c r="C157" t="s">
        <v>159</v>
      </c>
      <c r="D157" t="s">
        <v>198</v>
      </c>
      <c r="E157" t="s">
        <v>477</v>
      </c>
      <c r="F157" t="s">
        <v>417</v>
      </c>
      <c r="G157" s="3">
        <f t="shared" si="2"/>
        <v>0</v>
      </c>
      <c r="H157" t="s">
        <v>258</v>
      </c>
      <c r="I157" s="3">
        <f>D157/(VLOOKUP(B157,'2025 Team'!$B$2:$G$33,3,FALSE))</f>
        <v>2.5104602510460251E-2</v>
      </c>
    </row>
    <row r="158" spans="1:9" x14ac:dyDescent="0.25">
      <c r="A158" t="s">
        <v>571</v>
      </c>
      <c r="B158" t="s">
        <v>12</v>
      </c>
      <c r="C158" t="s">
        <v>153</v>
      </c>
      <c r="D158" t="s">
        <v>211</v>
      </c>
      <c r="E158" t="s">
        <v>450</v>
      </c>
      <c r="F158" t="s">
        <v>300</v>
      </c>
      <c r="G158" s="3">
        <f t="shared" si="2"/>
        <v>0.1</v>
      </c>
      <c r="H158" t="s">
        <v>251</v>
      </c>
      <c r="I158" s="3">
        <f>D158/(VLOOKUP(B158,'2025 Team'!$B$2:$G$33,3,FALSE))</f>
        <v>1.9723865877712032E-2</v>
      </c>
    </row>
    <row r="159" spans="1:9" x14ac:dyDescent="0.25">
      <c r="A159" t="s">
        <v>572</v>
      </c>
      <c r="B159" t="s">
        <v>12</v>
      </c>
      <c r="C159" t="s">
        <v>163</v>
      </c>
      <c r="D159" t="s">
        <v>211</v>
      </c>
      <c r="E159" t="s">
        <v>573</v>
      </c>
      <c r="F159" t="s">
        <v>300</v>
      </c>
      <c r="G159" s="3">
        <f t="shared" si="2"/>
        <v>0.1</v>
      </c>
      <c r="H159" t="s">
        <v>574</v>
      </c>
      <c r="I159" s="3">
        <f>D159/(VLOOKUP(B159,'2025 Team'!$B$2:$G$33,3,FALSE))</f>
        <v>1.9723865877712032E-2</v>
      </c>
    </row>
    <row r="160" spans="1:9" x14ac:dyDescent="0.25">
      <c r="A160" t="s">
        <v>113</v>
      </c>
      <c r="B160" t="s">
        <v>20</v>
      </c>
      <c r="C160" t="s">
        <v>82</v>
      </c>
      <c r="D160" t="s">
        <v>557</v>
      </c>
      <c r="E160" t="s">
        <v>514</v>
      </c>
      <c r="F160" t="s">
        <v>300</v>
      </c>
      <c r="G160" s="3">
        <f t="shared" si="2"/>
        <v>6.6666666666666666E-2</v>
      </c>
      <c r="H160" t="s">
        <v>575</v>
      </c>
      <c r="I160" s="3">
        <f>D160/(VLOOKUP(B160,'2025 Team'!$B$2:$G$33,3,FALSE))</f>
        <v>3.937007874015748E-2</v>
      </c>
    </row>
    <row r="161" spans="1:9" x14ac:dyDescent="0.25">
      <c r="A161" t="s">
        <v>576</v>
      </c>
      <c r="B161" t="s">
        <v>40</v>
      </c>
      <c r="C161" t="s">
        <v>159</v>
      </c>
      <c r="D161" t="s">
        <v>198</v>
      </c>
      <c r="E161" t="s">
        <v>475</v>
      </c>
      <c r="F161" t="s">
        <v>417</v>
      </c>
      <c r="G161" s="3">
        <f t="shared" si="2"/>
        <v>0</v>
      </c>
      <c r="H161" t="s">
        <v>423</v>
      </c>
      <c r="I161" s="3">
        <f>D161/(VLOOKUP(B161,'2025 Team'!$B$2:$G$33,3,FALSE))</f>
        <v>3.2520325203252036E-2</v>
      </c>
    </row>
    <row r="162" spans="1:9" x14ac:dyDescent="0.25">
      <c r="A162" t="s">
        <v>577</v>
      </c>
      <c r="B162" t="s">
        <v>22</v>
      </c>
      <c r="C162" t="s">
        <v>163</v>
      </c>
      <c r="D162" t="s">
        <v>234</v>
      </c>
      <c r="E162" t="s">
        <v>578</v>
      </c>
      <c r="F162" t="s">
        <v>417</v>
      </c>
      <c r="G162" s="3">
        <f t="shared" si="2"/>
        <v>0</v>
      </c>
      <c r="H162" t="s">
        <v>579</v>
      </c>
      <c r="I162" s="3">
        <f>D162/(VLOOKUP(B162,'2025 Team'!$B$2:$G$33,3,FALSE))</f>
        <v>3.0878859857482184E-2</v>
      </c>
    </row>
    <row r="163" spans="1:9" x14ac:dyDescent="0.25">
      <c r="A163" t="s">
        <v>120</v>
      </c>
      <c r="B163" t="s">
        <v>48</v>
      </c>
      <c r="C163" t="s">
        <v>82</v>
      </c>
      <c r="D163" t="s">
        <v>266</v>
      </c>
      <c r="E163" t="s">
        <v>436</v>
      </c>
      <c r="F163" t="s">
        <v>417</v>
      </c>
      <c r="G163" s="3">
        <f t="shared" si="2"/>
        <v>0</v>
      </c>
      <c r="H163" t="s">
        <v>194</v>
      </c>
      <c r="I163" s="3">
        <f>D163/(VLOOKUP(B163,'2025 Team'!$B$2:$G$33,3,FALSE))</f>
        <v>2.6829268292682926E-2</v>
      </c>
    </row>
    <row r="164" spans="1:9" x14ac:dyDescent="0.25">
      <c r="A164" t="s">
        <v>580</v>
      </c>
      <c r="B164" t="s">
        <v>30</v>
      </c>
      <c r="C164" t="s">
        <v>163</v>
      </c>
      <c r="D164" t="s">
        <v>266</v>
      </c>
      <c r="E164" t="s">
        <v>461</v>
      </c>
      <c r="F164" t="s">
        <v>417</v>
      </c>
      <c r="G164" s="3">
        <f t="shared" si="2"/>
        <v>0</v>
      </c>
      <c r="H164" t="s">
        <v>301</v>
      </c>
      <c r="I164" s="3">
        <f>D164/(VLOOKUP(B164,'2025 Team'!$B$2:$G$33,3,FALSE))</f>
        <v>2.2357723577235773E-2</v>
      </c>
    </row>
    <row r="165" spans="1:9" x14ac:dyDescent="0.25">
      <c r="A165" t="s">
        <v>122</v>
      </c>
      <c r="B165" t="s">
        <v>32</v>
      </c>
      <c r="C165" t="s">
        <v>82</v>
      </c>
      <c r="D165" t="s">
        <v>234</v>
      </c>
      <c r="E165" t="s">
        <v>477</v>
      </c>
      <c r="F165" t="s">
        <v>300</v>
      </c>
      <c r="G165" s="3">
        <f t="shared" si="2"/>
        <v>7.6923076923076927E-2</v>
      </c>
      <c r="H165" t="s">
        <v>243</v>
      </c>
      <c r="I165" s="3">
        <f>D165/(VLOOKUP(B165,'2025 Team'!$B$2:$G$33,3,FALSE))</f>
        <v>2.736842105263158E-2</v>
      </c>
    </row>
    <row r="166" spans="1:9" x14ac:dyDescent="0.25">
      <c r="A166" t="s">
        <v>111</v>
      </c>
      <c r="B166" t="s">
        <v>20</v>
      </c>
      <c r="C166" t="s">
        <v>82</v>
      </c>
      <c r="D166" t="s">
        <v>344</v>
      </c>
      <c r="E166" t="s">
        <v>454</v>
      </c>
      <c r="F166" t="s">
        <v>417</v>
      </c>
      <c r="G166" s="3">
        <f t="shared" si="2"/>
        <v>0</v>
      </c>
      <c r="H166" t="s">
        <v>530</v>
      </c>
      <c r="I166" s="3">
        <f>D166/(VLOOKUP(B166,'2025 Team'!$B$2:$G$33,3,FALSE))</f>
        <v>3.6745406824146981E-2</v>
      </c>
    </row>
    <row r="167" spans="1:9" x14ac:dyDescent="0.25">
      <c r="A167" t="s">
        <v>581</v>
      </c>
      <c r="B167" t="s">
        <v>40</v>
      </c>
      <c r="C167" t="s">
        <v>163</v>
      </c>
      <c r="D167" t="s">
        <v>266</v>
      </c>
      <c r="E167" t="s">
        <v>582</v>
      </c>
      <c r="F167" t="s">
        <v>417</v>
      </c>
      <c r="G167" s="3">
        <f t="shared" si="2"/>
        <v>0</v>
      </c>
      <c r="H167" t="s">
        <v>243</v>
      </c>
      <c r="I167" s="3">
        <f>D167/(VLOOKUP(B167,'2025 Team'!$B$2:$G$33,3,FALSE))</f>
        <v>2.9810298102981029E-2</v>
      </c>
    </row>
    <row r="168" spans="1:9" x14ac:dyDescent="0.25">
      <c r="A168" t="s">
        <v>155</v>
      </c>
      <c r="B168" t="s">
        <v>36</v>
      </c>
      <c r="C168" t="s">
        <v>82</v>
      </c>
      <c r="D168" t="s">
        <v>198</v>
      </c>
      <c r="E168" t="s">
        <v>583</v>
      </c>
      <c r="F168" t="s">
        <v>417</v>
      </c>
      <c r="G168" s="3">
        <f t="shared" si="2"/>
        <v>0</v>
      </c>
      <c r="H168" t="s">
        <v>584</v>
      </c>
      <c r="I168" s="3">
        <f>D168/(VLOOKUP(B168,'2025 Team'!$B$2:$G$33,3,FALSE))</f>
        <v>2.4539877300613498E-2</v>
      </c>
    </row>
    <row r="169" spans="1:9" x14ac:dyDescent="0.25">
      <c r="A169" t="s">
        <v>585</v>
      </c>
      <c r="B169" t="s">
        <v>64</v>
      </c>
      <c r="C169" t="s">
        <v>153</v>
      </c>
      <c r="D169" t="s">
        <v>211</v>
      </c>
      <c r="E169" t="s">
        <v>344</v>
      </c>
      <c r="F169" t="s">
        <v>300</v>
      </c>
      <c r="G169" s="3">
        <f t="shared" si="2"/>
        <v>0.1</v>
      </c>
      <c r="H169" t="s">
        <v>586</v>
      </c>
      <c r="I169" s="3">
        <f>D169/(VLOOKUP(B169,'2025 Team'!$B$2:$G$33,3,FALSE))</f>
        <v>1.9723865877712032E-2</v>
      </c>
    </row>
    <row r="170" spans="1:9" x14ac:dyDescent="0.25">
      <c r="A170" t="s">
        <v>587</v>
      </c>
      <c r="B170" t="s">
        <v>30</v>
      </c>
      <c r="C170" t="s">
        <v>163</v>
      </c>
      <c r="D170" t="s">
        <v>211</v>
      </c>
      <c r="E170" t="s">
        <v>554</v>
      </c>
      <c r="F170" t="s">
        <v>417</v>
      </c>
      <c r="G170" s="3">
        <f t="shared" si="2"/>
        <v>0</v>
      </c>
      <c r="H170" t="s">
        <v>203</v>
      </c>
      <c r="I170" s="3">
        <f>D170/(VLOOKUP(B170,'2025 Team'!$B$2:$G$33,3,FALSE))</f>
        <v>2.032520325203252E-2</v>
      </c>
    </row>
    <row r="171" spans="1:9" x14ac:dyDescent="0.25">
      <c r="A171" t="s">
        <v>151</v>
      </c>
      <c r="B171" t="s">
        <v>50</v>
      </c>
      <c r="C171" t="s">
        <v>82</v>
      </c>
      <c r="D171" t="s">
        <v>211</v>
      </c>
      <c r="E171" t="s">
        <v>588</v>
      </c>
      <c r="F171" t="s">
        <v>417</v>
      </c>
      <c r="G171" s="3">
        <f t="shared" si="2"/>
        <v>0</v>
      </c>
      <c r="H171" t="s">
        <v>589</v>
      </c>
      <c r="I171" s="3">
        <f>D171/(VLOOKUP(B171,'2025 Team'!$B$2:$G$33,3,FALSE))</f>
        <v>2.0242914979757085E-2</v>
      </c>
    </row>
    <row r="172" spans="1:9" x14ac:dyDescent="0.25">
      <c r="A172" t="s">
        <v>590</v>
      </c>
      <c r="B172" t="s">
        <v>26</v>
      </c>
      <c r="C172" t="s">
        <v>163</v>
      </c>
      <c r="D172" t="s">
        <v>198</v>
      </c>
      <c r="E172" t="s">
        <v>552</v>
      </c>
      <c r="F172" t="s">
        <v>300</v>
      </c>
      <c r="G172" s="3">
        <f t="shared" si="2"/>
        <v>8.3333333333333329E-2</v>
      </c>
      <c r="H172" t="s">
        <v>539</v>
      </c>
      <c r="I172" s="3">
        <f>D172/(VLOOKUP(B172,'2025 Team'!$B$2:$G$33,3,FALSE))</f>
        <v>2.6315789473684209E-2</v>
      </c>
    </row>
    <row r="173" spans="1:9" x14ac:dyDescent="0.25">
      <c r="A173" t="s">
        <v>591</v>
      </c>
      <c r="B173" t="s">
        <v>68</v>
      </c>
      <c r="C173" t="s">
        <v>159</v>
      </c>
      <c r="D173" t="s">
        <v>266</v>
      </c>
      <c r="E173" t="s">
        <v>592</v>
      </c>
      <c r="F173" t="s">
        <v>417</v>
      </c>
      <c r="G173" s="3">
        <f t="shared" si="2"/>
        <v>0</v>
      </c>
      <c r="H173" t="s">
        <v>262</v>
      </c>
      <c r="I173" s="3">
        <f>D173/(VLOOKUP(B173,'2025 Team'!$B$2:$G$33,3,FALSE))</f>
        <v>2.9100529100529099E-2</v>
      </c>
    </row>
    <row r="174" spans="1:9" x14ac:dyDescent="0.25">
      <c r="A174" t="s">
        <v>593</v>
      </c>
      <c r="B174" t="s">
        <v>68</v>
      </c>
      <c r="C174" t="s">
        <v>163</v>
      </c>
      <c r="D174" t="s">
        <v>266</v>
      </c>
      <c r="E174" t="s">
        <v>202</v>
      </c>
      <c r="F174" t="s">
        <v>417</v>
      </c>
      <c r="G174" s="3">
        <f t="shared" si="2"/>
        <v>0</v>
      </c>
      <c r="H174" t="s">
        <v>594</v>
      </c>
      <c r="I174" s="3">
        <f>D174/(VLOOKUP(B174,'2025 Team'!$B$2:$G$33,3,FALSE))</f>
        <v>2.9100529100529099E-2</v>
      </c>
    </row>
    <row r="175" spans="1:9" x14ac:dyDescent="0.25">
      <c r="A175" t="s">
        <v>595</v>
      </c>
      <c r="B175" t="s">
        <v>32</v>
      </c>
      <c r="C175" t="s">
        <v>159</v>
      </c>
      <c r="D175" t="s">
        <v>266</v>
      </c>
      <c r="E175" t="s">
        <v>500</v>
      </c>
      <c r="F175" t="s">
        <v>300</v>
      </c>
      <c r="G175" s="3">
        <f t="shared" si="2"/>
        <v>9.0909090909090912E-2</v>
      </c>
      <c r="H175" t="s">
        <v>596</v>
      </c>
      <c r="I175" s="3">
        <f>D175/(VLOOKUP(B175,'2025 Team'!$B$2:$G$33,3,FALSE))</f>
        <v>2.3157894736842106E-2</v>
      </c>
    </row>
    <row r="176" spans="1:9" x14ac:dyDescent="0.25">
      <c r="A176" t="s">
        <v>597</v>
      </c>
      <c r="B176" t="s">
        <v>38</v>
      </c>
      <c r="C176" t="s">
        <v>163</v>
      </c>
      <c r="D176" t="s">
        <v>266</v>
      </c>
      <c r="E176" t="s">
        <v>598</v>
      </c>
      <c r="F176" t="s">
        <v>417</v>
      </c>
      <c r="G176" s="3">
        <f t="shared" si="2"/>
        <v>0</v>
      </c>
      <c r="H176" t="s">
        <v>599</v>
      </c>
      <c r="I176" s="3">
        <f>D176/(VLOOKUP(B176,'2025 Team'!$B$2:$G$33,3,FALSE))</f>
        <v>2.5581395348837209E-2</v>
      </c>
    </row>
    <row r="177" spans="1:9" x14ac:dyDescent="0.25">
      <c r="A177" t="s">
        <v>600</v>
      </c>
      <c r="B177" t="s">
        <v>8</v>
      </c>
      <c r="C177" t="s">
        <v>159</v>
      </c>
      <c r="D177" t="s">
        <v>198</v>
      </c>
      <c r="E177" t="s">
        <v>413</v>
      </c>
      <c r="F177" t="s">
        <v>417</v>
      </c>
      <c r="G177" s="3">
        <f t="shared" si="2"/>
        <v>0</v>
      </c>
      <c r="H177" t="s">
        <v>251</v>
      </c>
      <c r="I177" s="3">
        <f>D177/(VLOOKUP(B177,'2025 Team'!$B$2:$G$33,3,FALSE))</f>
        <v>3.2786885245901641E-2</v>
      </c>
    </row>
    <row r="178" spans="1:9" x14ac:dyDescent="0.25">
      <c r="A178" t="s">
        <v>141</v>
      </c>
      <c r="B178" t="s">
        <v>14</v>
      </c>
      <c r="C178" t="s">
        <v>82</v>
      </c>
      <c r="D178" t="s">
        <v>270</v>
      </c>
      <c r="E178" t="s">
        <v>247</v>
      </c>
      <c r="F178" t="s">
        <v>417</v>
      </c>
      <c r="G178" s="3">
        <f t="shared" si="2"/>
        <v>0</v>
      </c>
      <c r="H178" t="s">
        <v>601</v>
      </c>
      <c r="I178" s="3">
        <f>D178/(VLOOKUP(B178,'2025 Team'!$B$2:$G$33,3,FALSE))</f>
        <v>1.6453382084095063E-2</v>
      </c>
    </row>
    <row r="179" spans="1:9" x14ac:dyDescent="0.25">
      <c r="A179" t="s">
        <v>602</v>
      </c>
      <c r="B179" t="s">
        <v>32</v>
      </c>
      <c r="C179" t="s">
        <v>159</v>
      </c>
      <c r="D179" t="s">
        <v>211</v>
      </c>
      <c r="E179" t="s">
        <v>507</v>
      </c>
      <c r="F179" t="s">
        <v>417</v>
      </c>
      <c r="G179" s="3">
        <f t="shared" si="2"/>
        <v>0</v>
      </c>
      <c r="H179" t="s">
        <v>603</v>
      </c>
      <c r="I179" s="3">
        <f>D179/(VLOOKUP(B179,'2025 Team'!$B$2:$G$33,3,FALSE))</f>
        <v>2.1052631578947368E-2</v>
      </c>
    </row>
    <row r="180" spans="1:9" x14ac:dyDescent="0.25">
      <c r="A180" t="s">
        <v>604</v>
      </c>
      <c r="B180" t="s">
        <v>44</v>
      </c>
      <c r="C180" t="s">
        <v>163</v>
      </c>
      <c r="D180" t="s">
        <v>211</v>
      </c>
      <c r="E180" t="s">
        <v>354</v>
      </c>
      <c r="F180" t="s">
        <v>300</v>
      </c>
      <c r="G180" s="3">
        <f t="shared" si="2"/>
        <v>0.1</v>
      </c>
      <c r="H180" t="s">
        <v>605</v>
      </c>
      <c r="I180" s="3">
        <f>D180/(VLOOKUP(B180,'2025 Team'!$B$2:$G$33,3,FALSE))</f>
        <v>2.1505376344086023E-2</v>
      </c>
    </row>
    <row r="181" spans="1:9" x14ac:dyDescent="0.25">
      <c r="A181" t="s">
        <v>128</v>
      </c>
      <c r="B181" t="s">
        <v>46</v>
      </c>
      <c r="C181" t="s">
        <v>82</v>
      </c>
      <c r="D181" t="s">
        <v>225</v>
      </c>
      <c r="E181" t="s">
        <v>541</v>
      </c>
      <c r="F181" t="s">
        <v>417</v>
      </c>
      <c r="G181" s="3">
        <f t="shared" si="2"/>
        <v>0</v>
      </c>
      <c r="H181" t="s">
        <v>542</v>
      </c>
      <c r="I181" s="3">
        <f>D181/(VLOOKUP(B181,'2025 Team'!$B$2:$G$33,3,FALSE))</f>
        <v>1.8518518518518517E-2</v>
      </c>
    </row>
    <row r="182" spans="1:9" x14ac:dyDescent="0.25">
      <c r="A182" t="s">
        <v>606</v>
      </c>
      <c r="B182" t="s">
        <v>12</v>
      </c>
      <c r="C182" t="s">
        <v>159</v>
      </c>
      <c r="D182" t="s">
        <v>207</v>
      </c>
      <c r="E182" t="s">
        <v>487</v>
      </c>
      <c r="F182" t="s">
        <v>417</v>
      </c>
      <c r="G182" s="3">
        <f t="shared" si="2"/>
        <v>0</v>
      </c>
      <c r="H182" t="s">
        <v>301</v>
      </c>
      <c r="I182" s="3">
        <f>D182/(VLOOKUP(B182,'2025 Team'!$B$2:$G$33,3,FALSE))</f>
        <v>1.3806706114398421E-2</v>
      </c>
    </row>
    <row r="183" spans="1:9" x14ac:dyDescent="0.25">
      <c r="A183" t="s">
        <v>607</v>
      </c>
      <c r="B183" t="s">
        <v>10</v>
      </c>
      <c r="C183" t="s">
        <v>159</v>
      </c>
      <c r="D183" t="s">
        <v>270</v>
      </c>
      <c r="E183" t="s">
        <v>477</v>
      </c>
      <c r="F183" t="s">
        <v>417</v>
      </c>
      <c r="G183" s="3">
        <f t="shared" si="2"/>
        <v>0</v>
      </c>
      <c r="H183" t="s">
        <v>608</v>
      </c>
      <c r="I183" s="3">
        <f>D183/(VLOOKUP(B183,'2025 Team'!$B$2:$G$33,3,FALSE))</f>
        <v>1.8867924528301886E-2</v>
      </c>
    </row>
    <row r="184" spans="1:9" x14ac:dyDescent="0.25">
      <c r="A184" t="s">
        <v>609</v>
      </c>
      <c r="B184" t="s">
        <v>34</v>
      </c>
      <c r="C184" t="s">
        <v>159</v>
      </c>
      <c r="D184" t="s">
        <v>270</v>
      </c>
      <c r="E184" t="s">
        <v>487</v>
      </c>
      <c r="F184" t="s">
        <v>417</v>
      </c>
      <c r="G184" s="3">
        <f t="shared" si="2"/>
        <v>0</v>
      </c>
      <c r="H184" t="s">
        <v>423</v>
      </c>
      <c r="I184" s="3">
        <f>D184/(VLOOKUP(B184,'2025 Team'!$B$2:$G$33,3,FALSE))</f>
        <v>2.0361990950226245E-2</v>
      </c>
    </row>
    <row r="185" spans="1:9" x14ac:dyDescent="0.25">
      <c r="A185" t="s">
        <v>610</v>
      </c>
      <c r="B185" t="s">
        <v>60</v>
      </c>
      <c r="C185" t="s">
        <v>153</v>
      </c>
      <c r="D185" t="s">
        <v>270</v>
      </c>
      <c r="E185" t="s">
        <v>383</v>
      </c>
      <c r="F185" t="s">
        <v>300</v>
      </c>
      <c r="G185" s="3">
        <f t="shared" si="2"/>
        <v>0.1111111111111111</v>
      </c>
      <c r="H185" t="s">
        <v>611</v>
      </c>
      <c r="I185" s="3">
        <f>D185/(VLOOKUP(B185,'2025 Team'!$B$2:$G$33,3,FALSE))</f>
        <v>2.2113022113022112E-2</v>
      </c>
    </row>
    <row r="186" spans="1:9" x14ac:dyDescent="0.25">
      <c r="A186" t="s">
        <v>612</v>
      </c>
      <c r="B186" t="s">
        <v>26</v>
      </c>
      <c r="C186" t="s">
        <v>613</v>
      </c>
      <c r="D186" t="s">
        <v>211</v>
      </c>
      <c r="E186" t="s">
        <v>440</v>
      </c>
      <c r="F186" t="s">
        <v>417</v>
      </c>
      <c r="G186" s="3">
        <f t="shared" si="2"/>
        <v>0</v>
      </c>
      <c r="H186" t="s">
        <v>230</v>
      </c>
      <c r="I186" s="3">
        <f>D186/(VLOOKUP(B186,'2025 Team'!$B$2:$G$33,3,FALSE))</f>
        <v>2.1929824561403508E-2</v>
      </c>
    </row>
    <row r="187" spans="1:9" x14ac:dyDescent="0.25">
      <c r="A187" t="s">
        <v>139</v>
      </c>
      <c r="B187" t="s">
        <v>58</v>
      </c>
      <c r="C187" t="s">
        <v>82</v>
      </c>
      <c r="D187" t="s">
        <v>225</v>
      </c>
      <c r="E187" t="s">
        <v>225</v>
      </c>
      <c r="F187" t="s">
        <v>417</v>
      </c>
      <c r="G187" s="3">
        <f t="shared" si="2"/>
        <v>0</v>
      </c>
      <c r="H187" t="s">
        <v>614</v>
      </c>
      <c r="I187" s="3">
        <f>D187/(VLOOKUP(B187,'2025 Team'!$B$2:$G$33,3,FALSE))</f>
        <v>1.6736401673640166E-2</v>
      </c>
    </row>
    <row r="188" spans="1:9" x14ac:dyDescent="0.25">
      <c r="A188" t="s">
        <v>615</v>
      </c>
      <c r="B188" t="s">
        <v>16</v>
      </c>
      <c r="C188" t="s">
        <v>163</v>
      </c>
      <c r="D188" t="s">
        <v>225</v>
      </c>
      <c r="E188" t="s">
        <v>497</v>
      </c>
      <c r="F188" t="s">
        <v>417</v>
      </c>
      <c r="G188" s="3">
        <f t="shared" si="2"/>
        <v>0</v>
      </c>
      <c r="H188" t="s">
        <v>616</v>
      </c>
      <c r="I188" s="3">
        <f>D188/(VLOOKUP(B188,'2025 Team'!$B$2:$G$33,3,FALSE))</f>
        <v>1.735357917570499E-2</v>
      </c>
    </row>
    <row r="189" spans="1:9" x14ac:dyDescent="0.25">
      <c r="A189" t="s">
        <v>617</v>
      </c>
      <c r="B189" t="s">
        <v>44</v>
      </c>
      <c r="C189" t="s">
        <v>82</v>
      </c>
      <c r="D189" t="s">
        <v>270</v>
      </c>
      <c r="E189" t="s">
        <v>618</v>
      </c>
      <c r="F189" t="s">
        <v>417</v>
      </c>
      <c r="G189" s="3">
        <f t="shared" si="2"/>
        <v>0</v>
      </c>
      <c r="H189" t="s">
        <v>619</v>
      </c>
      <c r="I189" s="3">
        <f>D189/(VLOOKUP(B189,'2025 Team'!$B$2:$G$33,3,FALSE))</f>
        <v>1.935483870967742E-2</v>
      </c>
    </row>
    <row r="190" spans="1:9" x14ac:dyDescent="0.25">
      <c r="A190" t="s">
        <v>620</v>
      </c>
      <c r="B190" t="s">
        <v>44</v>
      </c>
      <c r="C190" t="s">
        <v>159</v>
      </c>
      <c r="D190" t="s">
        <v>270</v>
      </c>
      <c r="E190" t="s">
        <v>459</v>
      </c>
      <c r="F190" t="s">
        <v>417</v>
      </c>
      <c r="G190" s="3">
        <f t="shared" si="2"/>
        <v>0</v>
      </c>
      <c r="H190" t="s">
        <v>216</v>
      </c>
      <c r="I190" s="3">
        <f>D190/(VLOOKUP(B190,'2025 Team'!$B$2:$G$33,3,FALSE))</f>
        <v>1.935483870967742E-2</v>
      </c>
    </row>
    <row r="191" spans="1:9" x14ac:dyDescent="0.25">
      <c r="A191" t="s">
        <v>621</v>
      </c>
      <c r="B191" t="s">
        <v>64</v>
      </c>
      <c r="C191" t="s">
        <v>163</v>
      </c>
      <c r="D191" t="s">
        <v>207</v>
      </c>
      <c r="E191" t="s">
        <v>424</v>
      </c>
      <c r="F191" t="s">
        <v>417</v>
      </c>
      <c r="G191" s="3">
        <f t="shared" si="2"/>
        <v>0</v>
      </c>
      <c r="H191" t="s">
        <v>622</v>
      </c>
      <c r="I191" s="3">
        <f>D191/(VLOOKUP(B191,'2025 Team'!$B$2:$G$33,3,FALSE))</f>
        <v>1.3806706114398421E-2</v>
      </c>
    </row>
    <row r="192" spans="1:9" x14ac:dyDescent="0.25">
      <c r="A192" t="s">
        <v>623</v>
      </c>
      <c r="B192" t="s">
        <v>64</v>
      </c>
      <c r="C192" t="s">
        <v>163</v>
      </c>
      <c r="D192" t="s">
        <v>207</v>
      </c>
      <c r="E192" t="s">
        <v>476</v>
      </c>
      <c r="F192" t="s">
        <v>417</v>
      </c>
      <c r="G192" s="3">
        <f t="shared" si="2"/>
        <v>0</v>
      </c>
      <c r="H192" t="s">
        <v>216</v>
      </c>
      <c r="I192" s="3">
        <f>D192/(VLOOKUP(B192,'2025 Team'!$B$2:$G$33,3,FALSE))</f>
        <v>1.3806706114398421E-2</v>
      </c>
    </row>
    <row r="193" spans="1:9" x14ac:dyDescent="0.25">
      <c r="A193" t="s">
        <v>129</v>
      </c>
      <c r="B193" t="s">
        <v>48</v>
      </c>
      <c r="C193" t="s">
        <v>82</v>
      </c>
      <c r="D193" t="s">
        <v>207</v>
      </c>
      <c r="E193" t="s">
        <v>266</v>
      </c>
      <c r="F193" t="s">
        <v>417</v>
      </c>
      <c r="G193" s="3">
        <f t="shared" si="2"/>
        <v>0</v>
      </c>
      <c r="H193" t="s">
        <v>594</v>
      </c>
      <c r="I193" s="3">
        <f>D193/(VLOOKUP(B193,'2025 Team'!$B$2:$G$33,3,FALSE))</f>
        <v>1.7073170731707318E-2</v>
      </c>
    </row>
    <row r="194" spans="1:9" x14ac:dyDescent="0.25">
      <c r="A194" t="s">
        <v>125</v>
      </c>
      <c r="B194" t="s">
        <v>20</v>
      </c>
      <c r="C194" t="s">
        <v>82</v>
      </c>
      <c r="D194" t="s">
        <v>270</v>
      </c>
      <c r="E194" t="s">
        <v>470</v>
      </c>
      <c r="F194" t="s">
        <v>300</v>
      </c>
      <c r="G194" s="3">
        <f t="shared" ref="G194:G257" si="3">F194/D194</f>
        <v>0.1111111111111111</v>
      </c>
      <c r="H194" t="s">
        <v>239</v>
      </c>
      <c r="I194" s="3">
        <f>D194/(VLOOKUP(B194,'2025 Team'!$B$2:$G$33,3,FALSE))</f>
        <v>2.3622047244094488E-2</v>
      </c>
    </row>
    <row r="195" spans="1:9" x14ac:dyDescent="0.25">
      <c r="A195" t="s">
        <v>624</v>
      </c>
      <c r="B195" t="s">
        <v>50</v>
      </c>
      <c r="C195" t="s">
        <v>163</v>
      </c>
      <c r="D195" t="s">
        <v>207</v>
      </c>
      <c r="E195" t="s">
        <v>528</v>
      </c>
      <c r="F195" t="s">
        <v>417</v>
      </c>
      <c r="G195" s="3">
        <f t="shared" si="3"/>
        <v>0</v>
      </c>
      <c r="H195" t="s">
        <v>502</v>
      </c>
      <c r="I195" s="3">
        <f>D195/(VLOOKUP(B195,'2025 Team'!$B$2:$G$33,3,FALSE))</f>
        <v>1.417004048582996E-2</v>
      </c>
    </row>
    <row r="196" spans="1:9" x14ac:dyDescent="0.25">
      <c r="A196" t="s">
        <v>625</v>
      </c>
      <c r="B196" t="s">
        <v>40</v>
      </c>
      <c r="C196" t="s">
        <v>159</v>
      </c>
      <c r="D196" t="s">
        <v>207</v>
      </c>
      <c r="E196" t="s">
        <v>270</v>
      </c>
      <c r="F196" t="s">
        <v>417</v>
      </c>
      <c r="G196" s="3">
        <f t="shared" si="3"/>
        <v>0</v>
      </c>
      <c r="H196" t="s">
        <v>626</v>
      </c>
      <c r="I196" s="3">
        <f>D196/(VLOOKUP(B196,'2025 Team'!$B$2:$G$33,3,FALSE))</f>
        <v>1.8970189701897018E-2</v>
      </c>
    </row>
    <row r="197" spans="1:9" x14ac:dyDescent="0.25">
      <c r="A197" t="s">
        <v>132</v>
      </c>
      <c r="B197" t="s">
        <v>54</v>
      </c>
      <c r="C197" t="s">
        <v>82</v>
      </c>
      <c r="D197" t="s">
        <v>207</v>
      </c>
      <c r="E197" t="s">
        <v>510</v>
      </c>
      <c r="F197" t="s">
        <v>300</v>
      </c>
      <c r="G197" s="3">
        <f t="shared" si="3"/>
        <v>0.14285714285714285</v>
      </c>
      <c r="H197" t="s">
        <v>409</v>
      </c>
      <c r="I197" s="3">
        <f>D197/(VLOOKUP(B197,'2025 Team'!$B$2:$G$33,3,FALSE))</f>
        <v>1.3698630136986301E-2</v>
      </c>
    </row>
    <row r="198" spans="1:9" x14ac:dyDescent="0.25">
      <c r="A198" t="s">
        <v>627</v>
      </c>
      <c r="B198" t="s">
        <v>26</v>
      </c>
      <c r="C198" t="s">
        <v>159</v>
      </c>
      <c r="D198" t="s">
        <v>225</v>
      </c>
      <c r="E198" t="s">
        <v>510</v>
      </c>
      <c r="F198" t="s">
        <v>417</v>
      </c>
      <c r="G198" s="3">
        <f t="shared" si="3"/>
        <v>0</v>
      </c>
      <c r="H198" t="s">
        <v>530</v>
      </c>
      <c r="I198" s="3">
        <f>D198/(VLOOKUP(B198,'2025 Team'!$B$2:$G$33,3,FALSE))</f>
        <v>1.7543859649122806E-2</v>
      </c>
    </row>
    <row r="199" spans="1:9" x14ac:dyDescent="0.25">
      <c r="A199" t="s">
        <v>137</v>
      </c>
      <c r="B199" t="s">
        <v>60</v>
      </c>
      <c r="C199" t="s">
        <v>82</v>
      </c>
      <c r="D199" t="s">
        <v>207</v>
      </c>
      <c r="E199" t="s">
        <v>247</v>
      </c>
      <c r="F199" t="s">
        <v>417</v>
      </c>
      <c r="G199" s="3">
        <f t="shared" si="3"/>
        <v>0</v>
      </c>
      <c r="H199" t="s">
        <v>628</v>
      </c>
      <c r="I199" s="3">
        <f>D199/(VLOOKUP(B199,'2025 Team'!$B$2:$G$33,3,FALSE))</f>
        <v>1.7199017199017199E-2</v>
      </c>
    </row>
    <row r="200" spans="1:9" x14ac:dyDescent="0.25">
      <c r="A200" t="s">
        <v>629</v>
      </c>
      <c r="B200" t="s">
        <v>22</v>
      </c>
      <c r="C200" t="s">
        <v>159</v>
      </c>
      <c r="D200" t="s">
        <v>207</v>
      </c>
      <c r="E200" t="s">
        <v>461</v>
      </c>
      <c r="F200" t="s">
        <v>417</v>
      </c>
      <c r="G200" s="3">
        <f t="shared" si="3"/>
        <v>0</v>
      </c>
      <c r="H200" t="s">
        <v>492</v>
      </c>
      <c r="I200" s="3">
        <f>D200/(VLOOKUP(B200,'2025 Team'!$B$2:$G$33,3,FALSE))</f>
        <v>1.66270783847981E-2</v>
      </c>
    </row>
    <row r="201" spans="1:9" x14ac:dyDescent="0.25">
      <c r="A201" t="s">
        <v>630</v>
      </c>
      <c r="B201" t="s">
        <v>22</v>
      </c>
      <c r="C201" t="s">
        <v>153</v>
      </c>
      <c r="D201" t="s">
        <v>207</v>
      </c>
      <c r="E201" t="s">
        <v>234</v>
      </c>
      <c r="F201" t="s">
        <v>300</v>
      </c>
      <c r="G201" s="3">
        <f t="shared" si="3"/>
        <v>0.14285714285714285</v>
      </c>
      <c r="H201" t="s">
        <v>564</v>
      </c>
      <c r="I201" s="3">
        <f>D201/(VLOOKUP(B201,'2025 Team'!$B$2:$G$33,3,FALSE))</f>
        <v>1.66270783847981E-2</v>
      </c>
    </row>
    <row r="202" spans="1:9" x14ac:dyDescent="0.25">
      <c r="A202" t="s">
        <v>631</v>
      </c>
      <c r="B202" t="s">
        <v>66</v>
      </c>
      <c r="C202" t="s">
        <v>163</v>
      </c>
      <c r="D202" t="s">
        <v>207</v>
      </c>
      <c r="E202" t="s">
        <v>514</v>
      </c>
      <c r="F202" t="s">
        <v>417</v>
      </c>
      <c r="G202" s="3">
        <f t="shared" si="3"/>
        <v>0</v>
      </c>
      <c r="H202" t="s">
        <v>550</v>
      </c>
      <c r="I202" s="3">
        <f>D202/(VLOOKUP(B202,'2025 Team'!$B$2:$G$33,3,FALSE))</f>
        <v>1.4830508474576272E-2</v>
      </c>
    </row>
    <row r="203" spans="1:9" x14ac:dyDescent="0.25">
      <c r="A203" t="s">
        <v>156</v>
      </c>
      <c r="B203" t="s">
        <v>64</v>
      </c>
      <c r="C203" t="s">
        <v>82</v>
      </c>
      <c r="D203" t="s">
        <v>247</v>
      </c>
      <c r="E203" t="s">
        <v>588</v>
      </c>
      <c r="F203" t="s">
        <v>417</v>
      </c>
      <c r="G203" s="3">
        <f t="shared" si="3"/>
        <v>0</v>
      </c>
      <c r="H203" t="s">
        <v>632</v>
      </c>
      <c r="I203" s="3">
        <f>D203/(VLOOKUP(B203,'2025 Team'!$B$2:$G$33,3,FALSE))</f>
        <v>1.1834319526627219E-2</v>
      </c>
    </row>
    <row r="204" spans="1:9" x14ac:dyDescent="0.25">
      <c r="A204" t="s">
        <v>633</v>
      </c>
      <c r="B204" t="s">
        <v>36</v>
      </c>
      <c r="C204" t="s">
        <v>163</v>
      </c>
      <c r="D204" t="s">
        <v>207</v>
      </c>
      <c r="E204" t="s">
        <v>417</v>
      </c>
      <c r="F204" t="s">
        <v>417</v>
      </c>
      <c r="G204" s="3">
        <f t="shared" si="3"/>
        <v>0</v>
      </c>
      <c r="H204" t="s">
        <v>504</v>
      </c>
      <c r="I204" s="3">
        <f>D204/(VLOOKUP(B204,'2025 Team'!$B$2:$G$33,3,FALSE))</f>
        <v>1.4314928425357873E-2</v>
      </c>
    </row>
    <row r="205" spans="1:9" x14ac:dyDescent="0.25">
      <c r="A205" t="s">
        <v>634</v>
      </c>
      <c r="B205" t="s">
        <v>14</v>
      </c>
      <c r="C205" t="s">
        <v>163</v>
      </c>
      <c r="D205" t="s">
        <v>247</v>
      </c>
      <c r="E205" t="s">
        <v>487</v>
      </c>
      <c r="F205" t="s">
        <v>300</v>
      </c>
      <c r="G205" s="3">
        <f t="shared" si="3"/>
        <v>0.16666666666666666</v>
      </c>
      <c r="H205" t="s">
        <v>235</v>
      </c>
      <c r="I205" s="3">
        <f>D205/(VLOOKUP(B205,'2025 Team'!$B$2:$G$33,3,FALSE))</f>
        <v>1.0968921389396709E-2</v>
      </c>
    </row>
    <row r="206" spans="1:9" x14ac:dyDescent="0.25">
      <c r="A206" t="s">
        <v>635</v>
      </c>
      <c r="B206" t="s">
        <v>38</v>
      </c>
      <c r="C206" t="s">
        <v>159</v>
      </c>
      <c r="D206" t="s">
        <v>207</v>
      </c>
      <c r="E206" t="s">
        <v>234</v>
      </c>
      <c r="F206" t="s">
        <v>417</v>
      </c>
      <c r="G206" s="3">
        <f t="shared" si="3"/>
        <v>0</v>
      </c>
      <c r="H206" t="s">
        <v>564</v>
      </c>
      <c r="I206" s="3">
        <f>D206/(VLOOKUP(B206,'2025 Team'!$B$2:$G$33,3,FALSE))</f>
        <v>1.627906976744186E-2</v>
      </c>
    </row>
    <row r="207" spans="1:9" x14ac:dyDescent="0.25">
      <c r="A207" t="s">
        <v>131</v>
      </c>
      <c r="B207" t="s">
        <v>34</v>
      </c>
      <c r="C207" t="s">
        <v>82</v>
      </c>
      <c r="D207" t="s">
        <v>247</v>
      </c>
      <c r="E207" t="s">
        <v>490</v>
      </c>
      <c r="F207" t="s">
        <v>289</v>
      </c>
      <c r="G207" s="3">
        <f t="shared" si="3"/>
        <v>0.33333333333333331</v>
      </c>
      <c r="H207" t="s">
        <v>255</v>
      </c>
      <c r="I207" s="3">
        <f>D207/(VLOOKUP(B207,'2025 Team'!$B$2:$G$33,3,FALSE))</f>
        <v>1.3574660633484163E-2</v>
      </c>
    </row>
    <row r="208" spans="1:9" x14ac:dyDescent="0.25">
      <c r="A208" t="s">
        <v>172</v>
      </c>
      <c r="B208" t="s">
        <v>34</v>
      </c>
      <c r="C208" t="s">
        <v>153</v>
      </c>
      <c r="D208" t="s">
        <v>247</v>
      </c>
      <c r="E208" t="s">
        <v>225</v>
      </c>
      <c r="F208" t="s">
        <v>300</v>
      </c>
      <c r="G208" s="3">
        <f t="shared" si="3"/>
        <v>0.16666666666666666</v>
      </c>
      <c r="H208" t="s">
        <v>626</v>
      </c>
      <c r="I208" s="3">
        <f>D208/(VLOOKUP(B208,'2025 Team'!$B$2:$G$33,3,FALSE))</f>
        <v>1.3574660633484163E-2</v>
      </c>
    </row>
    <row r="209" spans="1:9" x14ac:dyDescent="0.25">
      <c r="A209" t="s">
        <v>636</v>
      </c>
      <c r="B209" t="s">
        <v>8</v>
      </c>
      <c r="C209" t="s">
        <v>163</v>
      </c>
      <c r="D209" t="s">
        <v>207</v>
      </c>
      <c r="E209" t="s">
        <v>557</v>
      </c>
      <c r="F209" t="s">
        <v>300</v>
      </c>
      <c r="G209" s="3">
        <f t="shared" si="3"/>
        <v>0.14285714285714285</v>
      </c>
      <c r="H209" t="s">
        <v>637</v>
      </c>
      <c r="I209" s="3">
        <f>D209/(VLOOKUP(B209,'2025 Team'!$B$2:$G$33,3,FALSE))</f>
        <v>1.912568306010929E-2</v>
      </c>
    </row>
    <row r="210" spans="1:9" x14ac:dyDescent="0.25">
      <c r="A210" t="s">
        <v>113</v>
      </c>
      <c r="B210" t="s">
        <v>22</v>
      </c>
      <c r="C210" t="s">
        <v>82</v>
      </c>
      <c r="D210" t="s">
        <v>247</v>
      </c>
      <c r="E210" t="s">
        <v>234</v>
      </c>
      <c r="F210" t="s">
        <v>417</v>
      </c>
      <c r="G210" s="3">
        <f t="shared" si="3"/>
        <v>0</v>
      </c>
      <c r="H210" t="s">
        <v>442</v>
      </c>
      <c r="I210" s="3">
        <f>D210/(VLOOKUP(B210,'2025 Team'!$B$2:$G$33,3,FALSE))</f>
        <v>1.4251781472684086E-2</v>
      </c>
    </row>
    <row r="211" spans="1:9" x14ac:dyDescent="0.25">
      <c r="A211" t="s">
        <v>638</v>
      </c>
      <c r="B211" t="s">
        <v>36</v>
      </c>
      <c r="C211" t="s">
        <v>163</v>
      </c>
      <c r="D211" t="s">
        <v>247</v>
      </c>
      <c r="E211" t="s">
        <v>639</v>
      </c>
      <c r="F211" t="s">
        <v>417</v>
      </c>
      <c r="G211" s="3">
        <f t="shared" si="3"/>
        <v>0</v>
      </c>
      <c r="H211" t="s">
        <v>258</v>
      </c>
      <c r="I211" s="3">
        <f>D211/(VLOOKUP(B211,'2025 Team'!$B$2:$G$33,3,FALSE))</f>
        <v>1.2269938650306749E-2</v>
      </c>
    </row>
    <row r="212" spans="1:9" x14ac:dyDescent="0.25">
      <c r="A212" t="s">
        <v>640</v>
      </c>
      <c r="B212" t="s">
        <v>18</v>
      </c>
      <c r="C212" t="s">
        <v>163</v>
      </c>
      <c r="D212" t="s">
        <v>247</v>
      </c>
      <c r="E212" t="s">
        <v>461</v>
      </c>
      <c r="F212" t="s">
        <v>417</v>
      </c>
      <c r="G212" s="3">
        <f t="shared" si="3"/>
        <v>0</v>
      </c>
      <c r="H212" t="s">
        <v>574</v>
      </c>
      <c r="I212" s="3">
        <f>D212/(VLOOKUP(B212,'2025 Team'!$B$2:$G$33,3,FALSE))</f>
        <v>1.1881188118811881E-2</v>
      </c>
    </row>
    <row r="213" spans="1:9" x14ac:dyDescent="0.25">
      <c r="A213" t="s">
        <v>641</v>
      </c>
      <c r="B213" t="s">
        <v>64</v>
      </c>
      <c r="C213" t="s">
        <v>159</v>
      </c>
      <c r="D213" t="s">
        <v>220</v>
      </c>
      <c r="E213" t="s">
        <v>524</v>
      </c>
      <c r="F213" t="s">
        <v>417</v>
      </c>
      <c r="G213" s="3">
        <f t="shared" si="3"/>
        <v>0</v>
      </c>
      <c r="H213" t="s">
        <v>235</v>
      </c>
      <c r="I213" s="3">
        <f>D213/(VLOOKUP(B213,'2025 Team'!$B$2:$G$33,3,FALSE))</f>
        <v>9.8619329388560158E-3</v>
      </c>
    </row>
    <row r="214" spans="1:9" x14ac:dyDescent="0.25">
      <c r="A214" t="s">
        <v>176</v>
      </c>
      <c r="B214" t="s">
        <v>48</v>
      </c>
      <c r="C214" t="s">
        <v>159</v>
      </c>
      <c r="D214" t="s">
        <v>220</v>
      </c>
      <c r="E214" t="s">
        <v>541</v>
      </c>
      <c r="F214" t="s">
        <v>417</v>
      </c>
      <c r="G214" s="3">
        <f t="shared" si="3"/>
        <v>0</v>
      </c>
      <c r="H214" t="s">
        <v>323</v>
      </c>
      <c r="I214" s="3">
        <f>D214/(VLOOKUP(B214,'2025 Team'!$B$2:$G$33,3,FALSE))</f>
        <v>1.2195121951219513E-2</v>
      </c>
    </row>
    <row r="215" spans="1:9" x14ac:dyDescent="0.25">
      <c r="A215" t="s">
        <v>642</v>
      </c>
      <c r="B215" t="s">
        <v>28</v>
      </c>
      <c r="C215" t="s">
        <v>163</v>
      </c>
      <c r="D215" t="s">
        <v>247</v>
      </c>
      <c r="E215" t="s">
        <v>198</v>
      </c>
      <c r="F215" t="s">
        <v>417</v>
      </c>
      <c r="G215" s="3">
        <f t="shared" si="3"/>
        <v>0</v>
      </c>
      <c r="H215" t="s">
        <v>643</v>
      </c>
      <c r="I215" s="3">
        <f>D215/(VLOOKUP(B215,'2025 Team'!$B$2:$G$33,3,FALSE))</f>
        <v>1.3574660633484163E-2</v>
      </c>
    </row>
    <row r="216" spans="1:9" x14ac:dyDescent="0.25">
      <c r="A216" t="s">
        <v>644</v>
      </c>
      <c r="B216" t="s">
        <v>32</v>
      </c>
      <c r="C216" t="s">
        <v>163</v>
      </c>
      <c r="D216" t="s">
        <v>247</v>
      </c>
      <c r="E216" t="s">
        <v>198</v>
      </c>
      <c r="F216" t="s">
        <v>417</v>
      </c>
      <c r="G216" s="3">
        <f t="shared" si="3"/>
        <v>0</v>
      </c>
      <c r="H216" t="s">
        <v>643</v>
      </c>
      <c r="I216" s="3">
        <f>D216/(VLOOKUP(B216,'2025 Team'!$B$2:$G$33,3,FALSE))</f>
        <v>1.2631578947368421E-2</v>
      </c>
    </row>
    <row r="217" spans="1:9" x14ac:dyDescent="0.25">
      <c r="A217" t="s">
        <v>149</v>
      </c>
      <c r="B217" t="s">
        <v>38</v>
      </c>
      <c r="C217" t="s">
        <v>82</v>
      </c>
      <c r="D217" t="s">
        <v>247</v>
      </c>
      <c r="E217" t="s">
        <v>289</v>
      </c>
      <c r="F217" t="s">
        <v>417</v>
      </c>
      <c r="G217" s="3">
        <f t="shared" si="3"/>
        <v>0</v>
      </c>
      <c r="H217" t="s">
        <v>645</v>
      </c>
      <c r="I217" s="3">
        <f>D217/(VLOOKUP(B217,'2025 Team'!$B$2:$G$33,3,FALSE))</f>
        <v>1.3953488372093023E-2</v>
      </c>
    </row>
    <row r="218" spans="1:9" x14ac:dyDescent="0.25">
      <c r="A218" t="s">
        <v>646</v>
      </c>
      <c r="B218" t="s">
        <v>30</v>
      </c>
      <c r="C218" t="s">
        <v>647</v>
      </c>
      <c r="D218" t="s">
        <v>220</v>
      </c>
      <c r="E218" t="s">
        <v>467</v>
      </c>
      <c r="F218" t="s">
        <v>417</v>
      </c>
      <c r="G218" s="3">
        <f t="shared" si="3"/>
        <v>0</v>
      </c>
      <c r="H218" t="s">
        <v>648</v>
      </c>
      <c r="I218" s="3">
        <f>D218/(VLOOKUP(B218,'2025 Team'!$B$2:$G$33,3,FALSE))</f>
        <v>1.016260162601626E-2</v>
      </c>
    </row>
    <row r="219" spans="1:9" x14ac:dyDescent="0.25">
      <c r="A219" t="s">
        <v>146</v>
      </c>
      <c r="B219" t="s">
        <v>30</v>
      </c>
      <c r="C219" t="s">
        <v>82</v>
      </c>
      <c r="D219" t="s">
        <v>220</v>
      </c>
      <c r="E219" t="s">
        <v>510</v>
      </c>
      <c r="F219" t="s">
        <v>417</v>
      </c>
      <c r="G219" s="3">
        <f t="shared" si="3"/>
        <v>0</v>
      </c>
      <c r="H219" t="s">
        <v>243</v>
      </c>
      <c r="I219" s="3">
        <f>D219/(VLOOKUP(B219,'2025 Team'!$B$2:$G$33,3,FALSE))</f>
        <v>1.016260162601626E-2</v>
      </c>
    </row>
    <row r="220" spans="1:9" x14ac:dyDescent="0.25">
      <c r="A220" t="s">
        <v>140</v>
      </c>
      <c r="B220" t="s">
        <v>16</v>
      </c>
      <c r="C220" t="s">
        <v>82</v>
      </c>
      <c r="D220" t="s">
        <v>220</v>
      </c>
      <c r="E220" t="s">
        <v>649</v>
      </c>
      <c r="F220" t="s">
        <v>417</v>
      </c>
      <c r="G220" s="3">
        <f t="shared" si="3"/>
        <v>0</v>
      </c>
      <c r="H220" t="s">
        <v>650</v>
      </c>
      <c r="I220" s="3">
        <f>D220/(VLOOKUP(B220,'2025 Team'!$B$2:$G$33,3,FALSE))</f>
        <v>1.0845986984815618E-2</v>
      </c>
    </row>
    <row r="221" spans="1:9" x14ac:dyDescent="0.25">
      <c r="A221" t="s">
        <v>138</v>
      </c>
      <c r="B221" t="s">
        <v>40</v>
      </c>
      <c r="C221" t="s">
        <v>82</v>
      </c>
      <c r="D221" t="s">
        <v>220</v>
      </c>
      <c r="E221" t="s">
        <v>514</v>
      </c>
      <c r="F221" t="s">
        <v>417</v>
      </c>
      <c r="G221" s="3">
        <f t="shared" si="3"/>
        <v>0</v>
      </c>
      <c r="H221" t="s">
        <v>230</v>
      </c>
      <c r="I221" s="3">
        <f>D221/(VLOOKUP(B221,'2025 Team'!$B$2:$G$33,3,FALSE))</f>
        <v>1.3550135501355014E-2</v>
      </c>
    </row>
    <row r="222" spans="1:9" x14ac:dyDescent="0.25">
      <c r="A222" t="s">
        <v>136</v>
      </c>
      <c r="B222" t="s">
        <v>12</v>
      </c>
      <c r="C222" t="s">
        <v>82</v>
      </c>
      <c r="D222" t="s">
        <v>229</v>
      </c>
      <c r="E222" t="s">
        <v>651</v>
      </c>
      <c r="F222" t="s">
        <v>417</v>
      </c>
      <c r="G222" s="3">
        <f t="shared" si="3"/>
        <v>0</v>
      </c>
      <c r="H222" t="s">
        <v>652</v>
      </c>
      <c r="I222" s="3">
        <f>D222/(VLOOKUP(B222,'2025 Team'!$B$2:$G$33,3,FALSE))</f>
        <v>7.889546351084813E-3</v>
      </c>
    </row>
    <row r="223" spans="1:9" x14ac:dyDescent="0.25">
      <c r="A223" t="s">
        <v>653</v>
      </c>
      <c r="B223" t="s">
        <v>22</v>
      </c>
      <c r="C223" t="s">
        <v>163</v>
      </c>
      <c r="D223" t="s">
        <v>220</v>
      </c>
      <c r="E223" t="s">
        <v>503</v>
      </c>
      <c r="F223" t="s">
        <v>417</v>
      </c>
      <c r="G223" s="3">
        <f t="shared" si="3"/>
        <v>0</v>
      </c>
      <c r="H223" t="s">
        <v>400</v>
      </c>
      <c r="I223" s="3">
        <f>D223/(VLOOKUP(B223,'2025 Team'!$B$2:$G$33,3,FALSE))</f>
        <v>1.1876484560570071E-2</v>
      </c>
    </row>
    <row r="224" spans="1:9" x14ac:dyDescent="0.25">
      <c r="A224" t="s">
        <v>418</v>
      </c>
      <c r="B224" t="s">
        <v>36</v>
      </c>
      <c r="C224" t="s">
        <v>159</v>
      </c>
      <c r="D224" t="s">
        <v>220</v>
      </c>
      <c r="E224" t="s">
        <v>198</v>
      </c>
      <c r="F224" t="s">
        <v>417</v>
      </c>
      <c r="G224" s="3">
        <f t="shared" si="3"/>
        <v>0</v>
      </c>
      <c r="H224" t="s">
        <v>542</v>
      </c>
      <c r="I224" s="3">
        <f>D224/(VLOOKUP(B224,'2025 Team'!$B$2:$G$33,3,FALSE))</f>
        <v>1.0224948875255624E-2</v>
      </c>
    </row>
    <row r="225" spans="1:9" x14ac:dyDescent="0.25">
      <c r="A225" t="s">
        <v>654</v>
      </c>
      <c r="B225" t="s">
        <v>36</v>
      </c>
      <c r="C225" t="s">
        <v>163</v>
      </c>
      <c r="D225" t="s">
        <v>220</v>
      </c>
      <c r="E225" t="s">
        <v>234</v>
      </c>
      <c r="F225" t="s">
        <v>417</v>
      </c>
      <c r="G225" s="3">
        <f t="shared" si="3"/>
        <v>0</v>
      </c>
      <c r="H225" t="s">
        <v>603</v>
      </c>
      <c r="I225" s="3">
        <f>D225/(VLOOKUP(B225,'2025 Team'!$B$2:$G$33,3,FALSE))</f>
        <v>1.0224948875255624E-2</v>
      </c>
    </row>
    <row r="226" spans="1:9" x14ac:dyDescent="0.25">
      <c r="A226" t="s">
        <v>655</v>
      </c>
      <c r="B226" t="s">
        <v>18</v>
      </c>
      <c r="C226" t="s">
        <v>159</v>
      </c>
      <c r="D226" t="s">
        <v>220</v>
      </c>
      <c r="E226" t="s">
        <v>461</v>
      </c>
      <c r="F226" t="s">
        <v>300</v>
      </c>
      <c r="G226" s="3">
        <f t="shared" si="3"/>
        <v>0.2</v>
      </c>
      <c r="H226" t="s">
        <v>656</v>
      </c>
      <c r="I226" s="3">
        <f>D226/(VLOOKUP(B226,'2025 Team'!$B$2:$G$33,3,FALSE))</f>
        <v>9.9009900990099011E-3</v>
      </c>
    </row>
    <row r="227" spans="1:9" x14ac:dyDescent="0.25">
      <c r="A227" t="s">
        <v>134</v>
      </c>
      <c r="B227" t="s">
        <v>38</v>
      </c>
      <c r="C227" t="s">
        <v>82</v>
      </c>
      <c r="D227" t="s">
        <v>220</v>
      </c>
      <c r="E227" t="s">
        <v>202</v>
      </c>
      <c r="F227" t="s">
        <v>417</v>
      </c>
      <c r="G227" s="3">
        <f t="shared" si="3"/>
        <v>0</v>
      </c>
      <c r="H227" t="s">
        <v>262</v>
      </c>
      <c r="I227" s="3">
        <f>D227/(VLOOKUP(B227,'2025 Team'!$B$2:$G$33,3,FALSE))</f>
        <v>1.1627906976744186E-2</v>
      </c>
    </row>
    <row r="228" spans="1:9" x14ac:dyDescent="0.25">
      <c r="A228" t="s">
        <v>657</v>
      </c>
      <c r="B228" t="s">
        <v>38</v>
      </c>
      <c r="C228" t="s">
        <v>163</v>
      </c>
      <c r="D228" t="s">
        <v>220</v>
      </c>
      <c r="E228" t="s">
        <v>524</v>
      </c>
      <c r="F228" t="s">
        <v>300</v>
      </c>
      <c r="G228" s="3">
        <f t="shared" si="3"/>
        <v>0.2</v>
      </c>
      <c r="H228" t="s">
        <v>235</v>
      </c>
      <c r="I228" s="3">
        <f>D228/(VLOOKUP(B228,'2025 Team'!$B$2:$G$33,3,FALSE))</f>
        <v>1.1627906976744186E-2</v>
      </c>
    </row>
    <row r="229" spans="1:9" x14ac:dyDescent="0.25">
      <c r="A229" t="s">
        <v>658</v>
      </c>
      <c r="B229" t="s">
        <v>64</v>
      </c>
      <c r="C229" t="s">
        <v>159</v>
      </c>
      <c r="D229" t="s">
        <v>229</v>
      </c>
      <c r="E229" t="s">
        <v>475</v>
      </c>
      <c r="F229" t="s">
        <v>417</v>
      </c>
      <c r="G229" s="3">
        <f t="shared" si="3"/>
        <v>0</v>
      </c>
      <c r="H229" t="s">
        <v>531</v>
      </c>
      <c r="I229" s="3">
        <f>D229/(VLOOKUP(B229,'2025 Team'!$B$2:$G$33,3,FALSE))</f>
        <v>7.889546351084813E-3</v>
      </c>
    </row>
    <row r="230" spans="1:9" x14ac:dyDescent="0.25">
      <c r="A230" t="s">
        <v>659</v>
      </c>
      <c r="B230" t="s">
        <v>26</v>
      </c>
      <c r="C230" t="s">
        <v>163</v>
      </c>
      <c r="D230" t="s">
        <v>220</v>
      </c>
      <c r="E230" t="s">
        <v>198</v>
      </c>
      <c r="F230" t="s">
        <v>417</v>
      </c>
      <c r="G230" s="3">
        <f t="shared" si="3"/>
        <v>0</v>
      </c>
      <c r="H230" t="s">
        <v>542</v>
      </c>
      <c r="I230" s="3">
        <f>D230/(VLOOKUP(B230,'2025 Team'!$B$2:$G$33,3,FALSE))</f>
        <v>1.0964912280701754E-2</v>
      </c>
    </row>
    <row r="231" spans="1:9" x14ac:dyDescent="0.25">
      <c r="A231" t="s">
        <v>660</v>
      </c>
      <c r="B231" t="s">
        <v>56</v>
      </c>
      <c r="C231" t="s">
        <v>163</v>
      </c>
      <c r="D231" t="s">
        <v>229</v>
      </c>
      <c r="E231" t="s">
        <v>234</v>
      </c>
      <c r="F231" t="s">
        <v>417</v>
      </c>
      <c r="G231" s="3">
        <f t="shared" si="3"/>
        <v>0</v>
      </c>
      <c r="H231" t="s">
        <v>409</v>
      </c>
      <c r="I231" s="3">
        <f>D231/(VLOOKUP(B231,'2025 Team'!$B$2:$G$33,3,FALSE))</f>
        <v>8.771929824561403E-3</v>
      </c>
    </row>
    <row r="232" spans="1:9" x14ac:dyDescent="0.25">
      <c r="A232" t="s">
        <v>661</v>
      </c>
      <c r="B232" t="s">
        <v>24</v>
      </c>
      <c r="C232" t="s">
        <v>159</v>
      </c>
      <c r="D232" t="s">
        <v>220</v>
      </c>
      <c r="E232" t="s">
        <v>202</v>
      </c>
      <c r="F232" t="s">
        <v>300</v>
      </c>
      <c r="G232" s="3">
        <f t="shared" si="3"/>
        <v>0.2</v>
      </c>
      <c r="H232" t="s">
        <v>262</v>
      </c>
      <c r="I232" s="3">
        <f>D232/(VLOOKUP(B232,'2025 Team'!$B$2:$G$33,3,FALSE))</f>
        <v>1.0752688172043012E-2</v>
      </c>
    </row>
    <row r="233" spans="1:9" x14ac:dyDescent="0.25">
      <c r="A233" t="s">
        <v>144</v>
      </c>
      <c r="B233" t="s">
        <v>24</v>
      </c>
      <c r="C233" t="s">
        <v>82</v>
      </c>
      <c r="D233" t="s">
        <v>220</v>
      </c>
      <c r="E233" t="s">
        <v>427</v>
      </c>
      <c r="F233" t="s">
        <v>417</v>
      </c>
      <c r="G233" s="3">
        <f t="shared" si="3"/>
        <v>0</v>
      </c>
      <c r="H233" t="s">
        <v>662</v>
      </c>
      <c r="I233" s="3">
        <f>D233/(VLOOKUP(B233,'2025 Team'!$B$2:$G$33,3,FALSE))</f>
        <v>1.0752688172043012E-2</v>
      </c>
    </row>
    <row r="234" spans="1:9" x14ac:dyDescent="0.25">
      <c r="A234" t="s">
        <v>161</v>
      </c>
      <c r="B234" t="s">
        <v>34</v>
      </c>
      <c r="C234" t="s">
        <v>82</v>
      </c>
      <c r="D234" t="s">
        <v>229</v>
      </c>
      <c r="E234" t="s">
        <v>663</v>
      </c>
      <c r="F234" t="s">
        <v>417</v>
      </c>
      <c r="G234" s="3">
        <f t="shared" si="3"/>
        <v>0</v>
      </c>
      <c r="H234" t="s">
        <v>664</v>
      </c>
      <c r="I234" s="3">
        <f>D234/(VLOOKUP(B234,'2025 Team'!$B$2:$G$33,3,FALSE))</f>
        <v>9.0497737556561094E-3</v>
      </c>
    </row>
    <row r="235" spans="1:9" x14ac:dyDescent="0.25">
      <c r="A235" t="s">
        <v>665</v>
      </c>
      <c r="B235" t="s">
        <v>66</v>
      </c>
      <c r="C235" t="s">
        <v>163</v>
      </c>
      <c r="D235" t="s">
        <v>229</v>
      </c>
      <c r="E235" t="s">
        <v>541</v>
      </c>
      <c r="F235" t="s">
        <v>417</v>
      </c>
      <c r="G235" s="3">
        <f t="shared" si="3"/>
        <v>0</v>
      </c>
      <c r="H235" t="s">
        <v>251</v>
      </c>
      <c r="I235" s="3">
        <f>D235/(VLOOKUP(B235,'2025 Team'!$B$2:$G$33,3,FALSE))</f>
        <v>8.4745762711864406E-3</v>
      </c>
    </row>
    <row r="236" spans="1:9" x14ac:dyDescent="0.25">
      <c r="A236" t="s">
        <v>666</v>
      </c>
      <c r="B236" t="s">
        <v>66</v>
      </c>
      <c r="C236" t="s">
        <v>159</v>
      </c>
      <c r="D236" t="s">
        <v>229</v>
      </c>
      <c r="E236" t="s">
        <v>266</v>
      </c>
      <c r="F236" t="s">
        <v>417</v>
      </c>
      <c r="G236" s="3">
        <f t="shared" si="3"/>
        <v>0</v>
      </c>
      <c r="H236" t="s">
        <v>385</v>
      </c>
      <c r="I236" s="3">
        <f>D236/(VLOOKUP(B236,'2025 Team'!$B$2:$G$33,3,FALSE))</f>
        <v>8.4745762711864406E-3</v>
      </c>
    </row>
    <row r="237" spans="1:9" x14ac:dyDescent="0.25">
      <c r="A237" t="s">
        <v>667</v>
      </c>
      <c r="B237" t="s">
        <v>18</v>
      </c>
      <c r="C237" t="s">
        <v>163</v>
      </c>
      <c r="D237" t="s">
        <v>229</v>
      </c>
      <c r="E237" t="s">
        <v>500</v>
      </c>
      <c r="F237" t="s">
        <v>417</v>
      </c>
      <c r="G237" s="3">
        <f t="shared" si="3"/>
        <v>0</v>
      </c>
      <c r="H237" t="s">
        <v>488</v>
      </c>
      <c r="I237" s="3">
        <f>D237/(VLOOKUP(B237,'2025 Team'!$B$2:$G$33,3,FALSE))</f>
        <v>7.9207920792079209E-3</v>
      </c>
    </row>
    <row r="238" spans="1:9" x14ac:dyDescent="0.25">
      <c r="A238" t="s">
        <v>668</v>
      </c>
      <c r="B238" t="s">
        <v>32</v>
      </c>
      <c r="C238" t="s">
        <v>153</v>
      </c>
      <c r="D238" t="s">
        <v>229</v>
      </c>
      <c r="E238" t="s">
        <v>314</v>
      </c>
      <c r="F238" t="s">
        <v>417</v>
      </c>
      <c r="G238" s="3">
        <f t="shared" si="3"/>
        <v>0</v>
      </c>
      <c r="H238" t="s">
        <v>669</v>
      </c>
      <c r="I238" s="3">
        <f>D238/(VLOOKUP(B238,'2025 Team'!$B$2:$G$33,3,FALSE))</f>
        <v>8.4210526315789472E-3</v>
      </c>
    </row>
    <row r="239" spans="1:9" x14ac:dyDescent="0.25">
      <c r="A239" t="s">
        <v>602</v>
      </c>
      <c r="B239" t="s">
        <v>38</v>
      </c>
      <c r="C239" t="s">
        <v>159</v>
      </c>
      <c r="D239" t="s">
        <v>229</v>
      </c>
      <c r="E239" t="s">
        <v>211</v>
      </c>
      <c r="F239" t="s">
        <v>417</v>
      </c>
      <c r="G239" s="3">
        <f t="shared" si="3"/>
        <v>0</v>
      </c>
      <c r="H239" t="s">
        <v>498</v>
      </c>
      <c r="I239" s="3">
        <f>D239/(VLOOKUP(B239,'2025 Team'!$B$2:$G$33,3,FALSE))</f>
        <v>9.3023255813953487E-3</v>
      </c>
    </row>
    <row r="240" spans="1:9" x14ac:dyDescent="0.25">
      <c r="A240" t="s">
        <v>670</v>
      </c>
      <c r="B240" t="s">
        <v>52</v>
      </c>
      <c r="C240" t="s">
        <v>163</v>
      </c>
      <c r="D240" t="s">
        <v>229</v>
      </c>
      <c r="E240" t="s">
        <v>202</v>
      </c>
      <c r="F240" t="s">
        <v>417</v>
      </c>
      <c r="G240" s="3">
        <f t="shared" si="3"/>
        <v>0</v>
      </c>
      <c r="H240" t="s">
        <v>255</v>
      </c>
      <c r="I240" s="3">
        <f>D240/(VLOOKUP(B240,'2025 Team'!$B$2:$G$33,3,FALSE))</f>
        <v>9.1954022988505746E-3</v>
      </c>
    </row>
    <row r="241" spans="1:9" x14ac:dyDescent="0.25">
      <c r="A241" t="s">
        <v>671</v>
      </c>
      <c r="B241" t="s">
        <v>24</v>
      </c>
      <c r="C241" t="s">
        <v>163</v>
      </c>
      <c r="D241" t="s">
        <v>229</v>
      </c>
      <c r="E241" t="s">
        <v>500</v>
      </c>
      <c r="F241" t="s">
        <v>417</v>
      </c>
      <c r="G241" s="3">
        <f t="shared" si="3"/>
        <v>0</v>
      </c>
      <c r="H241" t="s">
        <v>488</v>
      </c>
      <c r="I241" s="3">
        <f>D241/(VLOOKUP(B241,'2025 Team'!$B$2:$G$33,3,FALSE))</f>
        <v>8.6021505376344086E-3</v>
      </c>
    </row>
    <row r="242" spans="1:9" x14ac:dyDescent="0.25">
      <c r="A242" t="s">
        <v>150</v>
      </c>
      <c r="B242" t="s">
        <v>46</v>
      </c>
      <c r="C242" t="s">
        <v>82</v>
      </c>
      <c r="D242" t="s">
        <v>314</v>
      </c>
      <c r="E242" t="s">
        <v>300</v>
      </c>
      <c r="F242" t="s">
        <v>417</v>
      </c>
      <c r="G242" s="3">
        <f t="shared" si="3"/>
        <v>0</v>
      </c>
      <c r="H242" t="s">
        <v>645</v>
      </c>
      <c r="I242" s="3">
        <f>D242/(VLOOKUP(B242,'2025 Team'!$B$2:$G$33,3,FALSE))</f>
        <v>6.9444444444444441E-3</v>
      </c>
    </row>
    <row r="243" spans="1:9" x14ac:dyDescent="0.25">
      <c r="A243" t="s">
        <v>672</v>
      </c>
      <c r="B243" t="s">
        <v>64</v>
      </c>
      <c r="C243" t="s">
        <v>159</v>
      </c>
      <c r="D243" t="s">
        <v>314</v>
      </c>
      <c r="E243" t="s">
        <v>247</v>
      </c>
      <c r="F243" t="s">
        <v>417</v>
      </c>
      <c r="G243" s="3">
        <f t="shared" si="3"/>
        <v>0</v>
      </c>
      <c r="H243" t="s">
        <v>643</v>
      </c>
      <c r="I243" s="3">
        <f>D243/(VLOOKUP(B243,'2025 Team'!$B$2:$G$33,3,FALSE))</f>
        <v>5.9171597633136093E-3</v>
      </c>
    </row>
    <row r="244" spans="1:9" x14ac:dyDescent="0.25">
      <c r="A244" t="s">
        <v>673</v>
      </c>
      <c r="B244" t="s">
        <v>64</v>
      </c>
      <c r="C244" t="s">
        <v>82</v>
      </c>
      <c r="D244" t="s">
        <v>314</v>
      </c>
      <c r="E244" t="s">
        <v>229</v>
      </c>
      <c r="F244" t="s">
        <v>417</v>
      </c>
      <c r="G244" s="3">
        <f t="shared" si="3"/>
        <v>0</v>
      </c>
      <c r="H244" t="s">
        <v>626</v>
      </c>
      <c r="I244" s="3">
        <f>D244/(VLOOKUP(B244,'2025 Team'!$B$2:$G$33,3,FALSE))</f>
        <v>5.9171597633136093E-3</v>
      </c>
    </row>
    <row r="245" spans="1:9" x14ac:dyDescent="0.25">
      <c r="A245" t="s">
        <v>674</v>
      </c>
      <c r="B245" t="s">
        <v>48</v>
      </c>
      <c r="C245" t="s">
        <v>613</v>
      </c>
      <c r="D245" t="s">
        <v>314</v>
      </c>
      <c r="E245" t="s">
        <v>220</v>
      </c>
      <c r="F245" t="s">
        <v>289</v>
      </c>
      <c r="G245" s="3">
        <f t="shared" si="3"/>
        <v>0.66666666666666663</v>
      </c>
      <c r="H245" t="s">
        <v>478</v>
      </c>
      <c r="I245" s="3">
        <f>D245/(VLOOKUP(B245,'2025 Team'!$B$2:$G$33,3,FALSE))</f>
        <v>7.3170731707317077E-3</v>
      </c>
    </row>
    <row r="246" spans="1:9" x14ac:dyDescent="0.25">
      <c r="A246" t="s">
        <v>675</v>
      </c>
      <c r="B246" t="s">
        <v>30</v>
      </c>
      <c r="C246" t="s">
        <v>163</v>
      </c>
      <c r="D246" t="s">
        <v>314</v>
      </c>
      <c r="E246" t="s">
        <v>496</v>
      </c>
      <c r="F246" t="s">
        <v>417</v>
      </c>
      <c r="G246" s="3">
        <f t="shared" si="3"/>
        <v>0</v>
      </c>
      <c r="H246" t="s">
        <v>676</v>
      </c>
      <c r="I246" s="3">
        <f>D246/(VLOOKUP(B246,'2025 Team'!$B$2:$G$33,3,FALSE))</f>
        <v>6.0975609756097563E-3</v>
      </c>
    </row>
    <row r="247" spans="1:9" x14ac:dyDescent="0.25">
      <c r="A247" t="s">
        <v>677</v>
      </c>
      <c r="B247" t="s">
        <v>56</v>
      </c>
      <c r="C247" t="s">
        <v>163</v>
      </c>
      <c r="D247" t="s">
        <v>314</v>
      </c>
      <c r="E247" t="s">
        <v>588</v>
      </c>
      <c r="F247" t="s">
        <v>417</v>
      </c>
      <c r="G247" s="3">
        <f t="shared" si="3"/>
        <v>0</v>
      </c>
      <c r="H247" t="s">
        <v>678</v>
      </c>
      <c r="I247" s="3">
        <f>D247/(VLOOKUP(B247,'2025 Team'!$B$2:$G$33,3,FALSE))</f>
        <v>6.5789473684210523E-3</v>
      </c>
    </row>
    <row r="248" spans="1:9" x14ac:dyDescent="0.25">
      <c r="A248" t="s">
        <v>180</v>
      </c>
      <c r="B248" t="s">
        <v>56</v>
      </c>
      <c r="C248" t="s">
        <v>163</v>
      </c>
      <c r="D248" t="s">
        <v>314</v>
      </c>
      <c r="E248" t="s">
        <v>679</v>
      </c>
      <c r="F248" t="s">
        <v>417</v>
      </c>
      <c r="G248" s="3">
        <f t="shared" si="3"/>
        <v>0</v>
      </c>
      <c r="H248" t="s">
        <v>680</v>
      </c>
      <c r="I248" s="3">
        <f>D248/(VLOOKUP(B248,'2025 Team'!$B$2:$G$33,3,FALSE))</f>
        <v>6.5789473684210523E-3</v>
      </c>
    </row>
    <row r="249" spans="1:9" x14ac:dyDescent="0.25">
      <c r="A249" t="s">
        <v>681</v>
      </c>
      <c r="B249" t="s">
        <v>54</v>
      </c>
      <c r="C249" t="s">
        <v>163</v>
      </c>
      <c r="D249" t="s">
        <v>314</v>
      </c>
      <c r="E249" t="s">
        <v>220</v>
      </c>
      <c r="F249" t="s">
        <v>417</v>
      </c>
      <c r="G249" s="3">
        <f t="shared" si="3"/>
        <v>0</v>
      </c>
      <c r="H249" t="s">
        <v>478</v>
      </c>
      <c r="I249" s="3">
        <f>D249/(VLOOKUP(B249,'2025 Team'!$B$2:$G$33,3,FALSE))</f>
        <v>5.8708414872798431E-3</v>
      </c>
    </row>
    <row r="250" spans="1:9" x14ac:dyDescent="0.25">
      <c r="A250" t="s">
        <v>682</v>
      </c>
      <c r="B250" t="s">
        <v>34</v>
      </c>
      <c r="C250" t="s">
        <v>163</v>
      </c>
      <c r="D250" t="s">
        <v>314</v>
      </c>
      <c r="E250" t="s">
        <v>440</v>
      </c>
      <c r="F250" t="s">
        <v>417</v>
      </c>
      <c r="G250" s="3">
        <f t="shared" si="3"/>
        <v>0</v>
      </c>
      <c r="H250" t="s">
        <v>683</v>
      </c>
      <c r="I250" s="3">
        <f>D250/(VLOOKUP(B250,'2025 Team'!$B$2:$G$33,3,FALSE))</f>
        <v>6.7873303167420816E-3</v>
      </c>
    </row>
    <row r="251" spans="1:9" x14ac:dyDescent="0.25">
      <c r="A251" t="s">
        <v>147</v>
      </c>
      <c r="B251" t="s">
        <v>66</v>
      </c>
      <c r="C251" t="s">
        <v>82</v>
      </c>
      <c r="D251" t="s">
        <v>314</v>
      </c>
      <c r="E251" t="s">
        <v>229</v>
      </c>
      <c r="F251" t="s">
        <v>417</v>
      </c>
      <c r="G251" s="3">
        <f t="shared" si="3"/>
        <v>0</v>
      </c>
      <c r="H251" t="s">
        <v>626</v>
      </c>
      <c r="I251" s="3">
        <f>D251/(VLOOKUP(B251,'2025 Team'!$B$2:$G$33,3,FALSE))</f>
        <v>6.3559322033898309E-3</v>
      </c>
    </row>
    <row r="252" spans="1:9" x14ac:dyDescent="0.25">
      <c r="A252" t="s">
        <v>684</v>
      </c>
      <c r="B252" t="s">
        <v>66</v>
      </c>
      <c r="C252" t="s">
        <v>159</v>
      </c>
      <c r="D252" t="s">
        <v>314</v>
      </c>
      <c r="E252" t="s">
        <v>247</v>
      </c>
      <c r="F252" t="s">
        <v>417</v>
      </c>
      <c r="G252" s="3">
        <f t="shared" si="3"/>
        <v>0</v>
      </c>
      <c r="H252" t="s">
        <v>643</v>
      </c>
      <c r="I252" s="3">
        <f>D252/(VLOOKUP(B252,'2025 Team'!$B$2:$G$33,3,FALSE))</f>
        <v>6.3559322033898309E-3</v>
      </c>
    </row>
    <row r="253" spans="1:9" x14ac:dyDescent="0.25">
      <c r="A253" t="s">
        <v>685</v>
      </c>
      <c r="B253" t="s">
        <v>36</v>
      </c>
      <c r="C253" t="s">
        <v>163</v>
      </c>
      <c r="D253" t="s">
        <v>314</v>
      </c>
      <c r="E253" t="s">
        <v>528</v>
      </c>
      <c r="F253" t="s">
        <v>300</v>
      </c>
      <c r="G253" s="3">
        <f t="shared" si="3"/>
        <v>0.33333333333333331</v>
      </c>
      <c r="H253" t="s">
        <v>648</v>
      </c>
      <c r="I253" s="3">
        <f>D253/(VLOOKUP(B253,'2025 Team'!$B$2:$G$33,3,FALSE))</f>
        <v>6.1349693251533744E-3</v>
      </c>
    </row>
    <row r="254" spans="1:9" x14ac:dyDescent="0.25">
      <c r="A254" t="s">
        <v>629</v>
      </c>
      <c r="B254" t="s">
        <v>42</v>
      </c>
      <c r="C254" t="s">
        <v>159</v>
      </c>
      <c r="D254" t="s">
        <v>314</v>
      </c>
      <c r="E254" t="s">
        <v>663</v>
      </c>
      <c r="F254" t="s">
        <v>417</v>
      </c>
      <c r="G254" s="3">
        <f t="shared" si="3"/>
        <v>0</v>
      </c>
      <c r="H254" t="s">
        <v>664</v>
      </c>
      <c r="I254" s="3">
        <f>D254/(VLOOKUP(B254,'2025 Team'!$B$2:$G$33,3,FALSE))</f>
        <v>6.4377682403433476E-3</v>
      </c>
    </row>
    <row r="255" spans="1:9" x14ac:dyDescent="0.25">
      <c r="A255" t="s">
        <v>686</v>
      </c>
      <c r="B255" t="s">
        <v>68</v>
      </c>
      <c r="C255" t="s">
        <v>159</v>
      </c>
      <c r="D255" t="s">
        <v>314</v>
      </c>
      <c r="E255" t="s">
        <v>207</v>
      </c>
      <c r="F255" t="s">
        <v>417</v>
      </c>
      <c r="G255" s="3">
        <f t="shared" si="3"/>
        <v>0</v>
      </c>
      <c r="H255" t="s">
        <v>596</v>
      </c>
      <c r="I255" s="3">
        <f>D255/(VLOOKUP(B255,'2025 Team'!$B$2:$G$33,3,FALSE))</f>
        <v>7.9365079365079361E-3</v>
      </c>
    </row>
    <row r="256" spans="1:9" x14ac:dyDescent="0.25">
      <c r="A256" t="s">
        <v>160</v>
      </c>
      <c r="B256" t="s">
        <v>28</v>
      </c>
      <c r="C256" t="s">
        <v>82</v>
      </c>
      <c r="D256" t="s">
        <v>314</v>
      </c>
      <c r="E256" t="s">
        <v>687</v>
      </c>
      <c r="F256" t="s">
        <v>417</v>
      </c>
      <c r="G256" s="3">
        <f t="shared" si="3"/>
        <v>0</v>
      </c>
      <c r="H256" t="s">
        <v>652</v>
      </c>
      <c r="I256" s="3">
        <f>D256/(VLOOKUP(B256,'2025 Team'!$B$2:$G$33,3,FALSE))</f>
        <v>6.7873303167420816E-3</v>
      </c>
    </row>
    <row r="257" spans="1:9" x14ac:dyDescent="0.25">
      <c r="A257" t="s">
        <v>688</v>
      </c>
      <c r="B257" t="s">
        <v>28</v>
      </c>
      <c r="C257" t="s">
        <v>159</v>
      </c>
      <c r="D257" t="s">
        <v>314</v>
      </c>
      <c r="E257" t="s">
        <v>229</v>
      </c>
      <c r="F257" t="s">
        <v>417</v>
      </c>
      <c r="G257" s="3">
        <f t="shared" si="3"/>
        <v>0</v>
      </c>
      <c r="H257" t="s">
        <v>626</v>
      </c>
      <c r="I257" s="3">
        <f>D257/(VLOOKUP(B257,'2025 Team'!$B$2:$G$33,3,FALSE))</f>
        <v>6.7873303167420816E-3</v>
      </c>
    </row>
    <row r="258" spans="1:9" x14ac:dyDescent="0.25">
      <c r="A258" t="s">
        <v>689</v>
      </c>
      <c r="B258" t="s">
        <v>28</v>
      </c>
      <c r="C258" t="s">
        <v>163</v>
      </c>
      <c r="D258" t="s">
        <v>314</v>
      </c>
      <c r="E258" t="s">
        <v>270</v>
      </c>
      <c r="F258" t="s">
        <v>417</v>
      </c>
      <c r="G258" s="3">
        <f t="shared" ref="G258:G321" si="4">F258/D258</f>
        <v>0</v>
      </c>
      <c r="H258" t="s">
        <v>502</v>
      </c>
      <c r="I258" s="3">
        <f>D258/(VLOOKUP(B258,'2025 Team'!$B$2:$G$33,3,FALSE))</f>
        <v>6.7873303167420816E-3</v>
      </c>
    </row>
    <row r="259" spans="1:9" x14ac:dyDescent="0.25">
      <c r="A259" t="s">
        <v>690</v>
      </c>
      <c r="B259" t="s">
        <v>32</v>
      </c>
      <c r="C259" t="s">
        <v>163</v>
      </c>
      <c r="D259" t="s">
        <v>314</v>
      </c>
      <c r="E259" t="s">
        <v>514</v>
      </c>
      <c r="F259" t="s">
        <v>417</v>
      </c>
      <c r="G259" s="3">
        <f t="shared" si="4"/>
        <v>0</v>
      </c>
      <c r="H259" t="s">
        <v>691</v>
      </c>
      <c r="I259" s="3">
        <f>D259/(VLOOKUP(B259,'2025 Team'!$B$2:$G$33,3,FALSE))</f>
        <v>6.3157894736842104E-3</v>
      </c>
    </row>
    <row r="260" spans="1:9" x14ac:dyDescent="0.25">
      <c r="A260" t="s">
        <v>692</v>
      </c>
      <c r="B260" t="s">
        <v>44</v>
      </c>
      <c r="C260" t="s">
        <v>163</v>
      </c>
      <c r="D260" t="s">
        <v>314</v>
      </c>
      <c r="E260" t="s">
        <v>198</v>
      </c>
      <c r="F260" t="s">
        <v>417</v>
      </c>
      <c r="G260" s="3">
        <f t="shared" si="4"/>
        <v>0</v>
      </c>
      <c r="H260" t="s">
        <v>235</v>
      </c>
      <c r="I260" s="3">
        <f>D260/(VLOOKUP(B260,'2025 Team'!$B$2:$G$33,3,FALSE))</f>
        <v>6.4516129032258064E-3</v>
      </c>
    </row>
    <row r="261" spans="1:9" x14ac:dyDescent="0.25">
      <c r="A261" t="s">
        <v>693</v>
      </c>
      <c r="B261" t="s">
        <v>20</v>
      </c>
      <c r="C261" t="s">
        <v>163</v>
      </c>
      <c r="D261" t="s">
        <v>314</v>
      </c>
      <c r="E261" t="s">
        <v>344</v>
      </c>
      <c r="F261" t="s">
        <v>417</v>
      </c>
      <c r="G261" s="3">
        <f t="shared" si="4"/>
        <v>0</v>
      </c>
      <c r="H261" t="s">
        <v>362</v>
      </c>
      <c r="I261" s="3">
        <f>D261/(VLOOKUP(B261,'2025 Team'!$B$2:$G$33,3,FALSE))</f>
        <v>7.874015748031496E-3</v>
      </c>
    </row>
    <row r="262" spans="1:9" x14ac:dyDescent="0.25">
      <c r="A262" t="s">
        <v>694</v>
      </c>
      <c r="B262" t="s">
        <v>20</v>
      </c>
      <c r="C262" t="s">
        <v>163</v>
      </c>
      <c r="D262" t="s">
        <v>314</v>
      </c>
      <c r="E262" t="s">
        <v>344</v>
      </c>
      <c r="F262" t="s">
        <v>417</v>
      </c>
      <c r="G262" s="3">
        <f t="shared" si="4"/>
        <v>0</v>
      </c>
      <c r="H262" t="s">
        <v>362</v>
      </c>
      <c r="I262" s="3">
        <f>D262/(VLOOKUP(B262,'2025 Team'!$B$2:$G$33,3,FALSE))</f>
        <v>7.874015748031496E-3</v>
      </c>
    </row>
    <row r="263" spans="1:9" x14ac:dyDescent="0.25">
      <c r="A263" t="s">
        <v>695</v>
      </c>
      <c r="B263" t="s">
        <v>46</v>
      </c>
      <c r="C263" t="s">
        <v>613</v>
      </c>
      <c r="D263" t="s">
        <v>289</v>
      </c>
      <c r="E263" t="s">
        <v>270</v>
      </c>
      <c r="F263" t="s">
        <v>417</v>
      </c>
      <c r="G263" s="3">
        <f t="shared" si="4"/>
        <v>0</v>
      </c>
      <c r="H263" t="s">
        <v>255</v>
      </c>
      <c r="I263" s="3">
        <f>D263/(VLOOKUP(B263,'2025 Team'!$B$2:$G$33,3,FALSE))</f>
        <v>4.6296296296296294E-3</v>
      </c>
    </row>
    <row r="264" spans="1:9" x14ac:dyDescent="0.25">
      <c r="A264" t="s">
        <v>175</v>
      </c>
      <c r="B264" t="s">
        <v>46</v>
      </c>
      <c r="C264" t="s">
        <v>163</v>
      </c>
      <c r="D264" t="s">
        <v>289</v>
      </c>
      <c r="E264" t="s">
        <v>496</v>
      </c>
      <c r="F264" t="s">
        <v>417</v>
      </c>
      <c r="G264" s="3">
        <f t="shared" si="4"/>
        <v>0</v>
      </c>
      <c r="H264" t="s">
        <v>696</v>
      </c>
      <c r="I264" s="3">
        <f>D264/(VLOOKUP(B264,'2025 Team'!$B$2:$G$33,3,FALSE))</f>
        <v>4.6296296296296294E-3</v>
      </c>
    </row>
    <row r="265" spans="1:9" x14ac:dyDescent="0.25">
      <c r="A265" t="s">
        <v>697</v>
      </c>
      <c r="B265" t="s">
        <v>48</v>
      </c>
      <c r="C265" t="s">
        <v>163</v>
      </c>
      <c r="D265" t="s">
        <v>289</v>
      </c>
      <c r="E265" t="s">
        <v>698</v>
      </c>
      <c r="F265" t="s">
        <v>300</v>
      </c>
      <c r="G265" s="3">
        <f t="shared" si="4"/>
        <v>0.5</v>
      </c>
      <c r="H265" t="s">
        <v>699</v>
      </c>
      <c r="I265" s="3">
        <f>D265/(VLOOKUP(B265,'2025 Team'!$B$2:$G$33,3,FALSE))</f>
        <v>4.8780487804878049E-3</v>
      </c>
    </row>
    <row r="266" spans="1:9" x14ac:dyDescent="0.25">
      <c r="A266" t="s">
        <v>700</v>
      </c>
      <c r="B266" t="s">
        <v>48</v>
      </c>
      <c r="C266" t="s">
        <v>163</v>
      </c>
      <c r="D266" t="s">
        <v>289</v>
      </c>
      <c r="E266" t="s">
        <v>207</v>
      </c>
      <c r="F266" t="s">
        <v>417</v>
      </c>
      <c r="G266" s="3">
        <f t="shared" si="4"/>
        <v>0</v>
      </c>
      <c r="H266" t="s">
        <v>555</v>
      </c>
      <c r="I266" s="3">
        <f>D266/(VLOOKUP(B266,'2025 Team'!$B$2:$G$33,3,FALSE))</f>
        <v>4.8780487804878049E-3</v>
      </c>
    </row>
    <row r="267" spans="1:9" x14ac:dyDescent="0.25">
      <c r="A267" t="s">
        <v>701</v>
      </c>
      <c r="B267" t="s">
        <v>48</v>
      </c>
      <c r="C267" t="s">
        <v>163</v>
      </c>
      <c r="D267" t="s">
        <v>289</v>
      </c>
      <c r="E267" t="s">
        <v>234</v>
      </c>
      <c r="F267" t="s">
        <v>417</v>
      </c>
      <c r="G267" s="3">
        <f t="shared" si="4"/>
        <v>0</v>
      </c>
      <c r="H267" t="s">
        <v>539</v>
      </c>
      <c r="I267" s="3">
        <f>D267/(VLOOKUP(B267,'2025 Team'!$B$2:$G$33,3,FALSE))</f>
        <v>4.8780487804878049E-3</v>
      </c>
    </row>
    <row r="268" spans="1:9" x14ac:dyDescent="0.25">
      <c r="A268" t="s">
        <v>702</v>
      </c>
      <c r="B268" t="s">
        <v>14</v>
      </c>
      <c r="C268" t="s">
        <v>613</v>
      </c>
      <c r="D268" t="s">
        <v>289</v>
      </c>
      <c r="E268" t="s">
        <v>229</v>
      </c>
      <c r="F268" t="s">
        <v>417</v>
      </c>
      <c r="G268" s="3">
        <f t="shared" si="4"/>
        <v>0</v>
      </c>
      <c r="H268" t="s">
        <v>643</v>
      </c>
      <c r="I268" s="3">
        <f>D268/(VLOOKUP(B268,'2025 Team'!$B$2:$G$33,3,FALSE))</f>
        <v>3.6563071297989031E-3</v>
      </c>
    </row>
    <row r="269" spans="1:9" x14ac:dyDescent="0.25">
      <c r="A269" t="s">
        <v>703</v>
      </c>
      <c r="B269" t="s">
        <v>50</v>
      </c>
      <c r="C269" t="s">
        <v>163</v>
      </c>
      <c r="D269" t="s">
        <v>289</v>
      </c>
      <c r="E269" t="s">
        <v>314</v>
      </c>
      <c r="F269" t="s">
        <v>417</v>
      </c>
      <c r="G269" s="3">
        <f t="shared" si="4"/>
        <v>0</v>
      </c>
      <c r="H269" t="s">
        <v>575</v>
      </c>
      <c r="I269" s="3">
        <f>D269/(VLOOKUP(B269,'2025 Team'!$B$2:$G$33,3,FALSE))</f>
        <v>4.048582995951417E-3</v>
      </c>
    </row>
    <row r="270" spans="1:9" x14ac:dyDescent="0.25">
      <c r="A270" t="s">
        <v>704</v>
      </c>
      <c r="B270" t="s">
        <v>40</v>
      </c>
      <c r="C270" t="s">
        <v>153</v>
      </c>
      <c r="D270" t="s">
        <v>289</v>
      </c>
      <c r="E270" t="s">
        <v>289</v>
      </c>
      <c r="F270" t="s">
        <v>417</v>
      </c>
      <c r="G270" s="3">
        <f t="shared" si="4"/>
        <v>0</v>
      </c>
      <c r="H270" t="s">
        <v>614</v>
      </c>
      <c r="I270" s="3">
        <f>D270/(VLOOKUP(B270,'2025 Team'!$B$2:$G$33,3,FALSE))</f>
        <v>5.4200542005420054E-3</v>
      </c>
    </row>
    <row r="271" spans="1:9" x14ac:dyDescent="0.25">
      <c r="A271" t="s">
        <v>705</v>
      </c>
      <c r="B271" t="s">
        <v>10</v>
      </c>
      <c r="C271" t="s">
        <v>153</v>
      </c>
      <c r="D271" t="s">
        <v>289</v>
      </c>
      <c r="E271" t="s">
        <v>229</v>
      </c>
      <c r="F271" t="s">
        <v>417</v>
      </c>
      <c r="G271" s="3">
        <f t="shared" si="4"/>
        <v>0</v>
      </c>
      <c r="H271" t="s">
        <v>643</v>
      </c>
      <c r="I271" s="3">
        <f>D271/(VLOOKUP(B271,'2025 Team'!$B$2:$G$33,3,FALSE))</f>
        <v>4.1928721174004195E-3</v>
      </c>
    </row>
    <row r="272" spans="1:9" x14ac:dyDescent="0.25">
      <c r="A272" t="s">
        <v>706</v>
      </c>
      <c r="B272" t="s">
        <v>34</v>
      </c>
      <c r="C272" t="s">
        <v>163</v>
      </c>
      <c r="D272" t="s">
        <v>289</v>
      </c>
      <c r="E272" t="s">
        <v>649</v>
      </c>
      <c r="F272" t="s">
        <v>417</v>
      </c>
      <c r="G272" s="3">
        <f t="shared" si="4"/>
        <v>0</v>
      </c>
      <c r="H272" t="s">
        <v>652</v>
      </c>
      <c r="I272" s="3">
        <f>D272/(VLOOKUP(B272,'2025 Team'!$B$2:$G$33,3,FALSE))</f>
        <v>4.5248868778280547E-3</v>
      </c>
    </row>
    <row r="273" spans="1:9" x14ac:dyDescent="0.25">
      <c r="A273" t="s">
        <v>127</v>
      </c>
      <c r="B273" t="s">
        <v>34</v>
      </c>
      <c r="C273" t="s">
        <v>82</v>
      </c>
      <c r="D273" t="s">
        <v>289</v>
      </c>
      <c r="E273" t="s">
        <v>663</v>
      </c>
      <c r="F273" t="s">
        <v>417</v>
      </c>
      <c r="G273" s="3">
        <f t="shared" si="4"/>
        <v>0</v>
      </c>
      <c r="H273" t="s">
        <v>589</v>
      </c>
      <c r="I273" s="3">
        <f>D273/(VLOOKUP(B273,'2025 Team'!$B$2:$G$33,3,FALSE))</f>
        <v>4.5248868778280547E-3</v>
      </c>
    </row>
    <row r="274" spans="1:9" x14ac:dyDescent="0.25">
      <c r="A274" t="s">
        <v>707</v>
      </c>
      <c r="B274" t="s">
        <v>60</v>
      </c>
      <c r="C274" t="s">
        <v>163</v>
      </c>
      <c r="D274" t="s">
        <v>289</v>
      </c>
      <c r="E274" t="s">
        <v>198</v>
      </c>
      <c r="F274" t="s">
        <v>300</v>
      </c>
      <c r="G274" s="3">
        <f t="shared" si="4"/>
        <v>0.5</v>
      </c>
      <c r="H274" t="s">
        <v>389</v>
      </c>
      <c r="I274" s="3">
        <f>D274/(VLOOKUP(B274,'2025 Team'!$B$2:$G$33,3,FALSE))</f>
        <v>4.9140049140049139E-3</v>
      </c>
    </row>
    <row r="275" spans="1:9" x14ac:dyDescent="0.25">
      <c r="A275" t="s">
        <v>708</v>
      </c>
      <c r="B275" t="s">
        <v>66</v>
      </c>
      <c r="C275" t="s">
        <v>163</v>
      </c>
      <c r="D275" t="s">
        <v>289</v>
      </c>
      <c r="E275" t="s">
        <v>270</v>
      </c>
      <c r="F275" t="s">
        <v>417</v>
      </c>
      <c r="G275" s="3">
        <f t="shared" si="4"/>
        <v>0</v>
      </c>
      <c r="H275" t="s">
        <v>255</v>
      </c>
      <c r="I275" s="3">
        <f>D275/(VLOOKUP(B275,'2025 Team'!$B$2:$G$33,3,FALSE))</f>
        <v>4.2372881355932203E-3</v>
      </c>
    </row>
    <row r="276" spans="1:9" x14ac:dyDescent="0.25">
      <c r="A276" t="s">
        <v>709</v>
      </c>
      <c r="B276" t="s">
        <v>66</v>
      </c>
      <c r="C276" t="s">
        <v>163</v>
      </c>
      <c r="D276" t="s">
        <v>289</v>
      </c>
      <c r="E276" t="s">
        <v>234</v>
      </c>
      <c r="F276" t="s">
        <v>417</v>
      </c>
      <c r="G276" s="3">
        <f t="shared" si="4"/>
        <v>0</v>
      </c>
      <c r="H276" t="s">
        <v>539</v>
      </c>
      <c r="I276" s="3">
        <f>D276/(VLOOKUP(B276,'2025 Team'!$B$2:$G$33,3,FALSE))</f>
        <v>4.2372881355932203E-3</v>
      </c>
    </row>
    <row r="277" spans="1:9" x14ac:dyDescent="0.25">
      <c r="A277" t="s">
        <v>710</v>
      </c>
      <c r="B277" t="s">
        <v>36</v>
      </c>
      <c r="C277" t="s">
        <v>159</v>
      </c>
      <c r="D277" t="s">
        <v>289</v>
      </c>
      <c r="E277" t="s">
        <v>528</v>
      </c>
      <c r="F277" t="s">
        <v>417</v>
      </c>
      <c r="G277" s="3">
        <f t="shared" si="4"/>
        <v>0</v>
      </c>
      <c r="H277" t="s">
        <v>605</v>
      </c>
      <c r="I277" s="3">
        <f>D277/(VLOOKUP(B277,'2025 Team'!$B$2:$G$33,3,FALSE))</f>
        <v>4.0899795501022499E-3</v>
      </c>
    </row>
    <row r="278" spans="1:9" x14ac:dyDescent="0.25">
      <c r="A278" t="s">
        <v>711</v>
      </c>
      <c r="B278" t="s">
        <v>42</v>
      </c>
      <c r="C278" t="s">
        <v>163</v>
      </c>
      <c r="D278" t="s">
        <v>289</v>
      </c>
      <c r="E278" t="s">
        <v>220</v>
      </c>
      <c r="F278" t="s">
        <v>417</v>
      </c>
      <c r="G278" s="3">
        <f t="shared" si="4"/>
        <v>0</v>
      </c>
      <c r="H278" t="s">
        <v>498</v>
      </c>
      <c r="I278" s="3">
        <f>D278/(VLOOKUP(B278,'2025 Team'!$B$2:$G$33,3,FALSE))</f>
        <v>4.2918454935622317E-3</v>
      </c>
    </row>
    <row r="279" spans="1:9" x14ac:dyDescent="0.25">
      <c r="A279" t="s">
        <v>712</v>
      </c>
      <c r="B279" t="s">
        <v>42</v>
      </c>
      <c r="C279" t="s">
        <v>163</v>
      </c>
      <c r="D279" t="s">
        <v>289</v>
      </c>
      <c r="E279" t="s">
        <v>211</v>
      </c>
      <c r="F279" t="s">
        <v>417</v>
      </c>
      <c r="G279" s="3">
        <f t="shared" si="4"/>
        <v>0</v>
      </c>
      <c r="H279" t="s">
        <v>258</v>
      </c>
      <c r="I279" s="3">
        <f>D279/(VLOOKUP(B279,'2025 Team'!$B$2:$G$33,3,FALSE))</f>
        <v>4.2918454935622317E-3</v>
      </c>
    </row>
    <row r="280" spans="1:9" x14ac:dyDescent="0.25">
      <c r="A280" t="s">
        <v>713</v>
      </c>
      <c r="B280" t="s">
        <v>42</v>
      </c>
      <c r="C280" t="s">
        <v>159</v>
      </c>
      <c r="D280" t="s">
        <v>289</v>
      </c>
      <c r="E280" t="s">
        <v>649</v>
      </c>
      <c r="F280" t="s">
        <v>417</v>
      </c>
      <c r="G280" s="3">
        <f t="shared" si="4"/>
        <v>0</v>
      </c>
      <c r="H280" t="s">
        <v>652</v>
      </c>
      <c r="I280" s="3">
        <f>D280/(VLOOKUP(B280,'2025 Team'!$B$2:$G$33,3,FALSE))</f>
        <v>4.2918454935622317E-3</v>
      </c>
    </row>
    <row r="281" spans="1:9" x14ac:dyDescent="0.25">
      <c r="A281" t="s">
        <v>714</v>
      </c>
      <c r="B281" t="s">
        <v>42</v>
      </c>
      <c r="C281" t="s">
        <v>159</v>
      </c>
      <c r="D281" t="s">
        <v>289</v>
      </c>
      <c r="E281" t="s">
        <v>225</v>
      </c>
      <c r="F281" t="s">
        <v>417</v>
      </c>
      <c r="G281" s="3">
        <f t="shared" si="4"/>
        <v>0</v>
      </c>
      <c r="H281" t="s">
        <v>235</v>
      </c>
      <c r="I281" s="3">
        <f>D281/(VLOOKUP(B281,'2025 Team'!$B$2:$G$33,3,FALSE))</f>
        <v>4.2918454935622317E-3</v>
      </c>
    </row>
    <row r="282" spans="1:9" x14ac:dyDescent="0.25">
      <c r="A282" t="s">
        <v>715</v>
      </c>
      <c r="B282" t="s">
        <v>42</v>
      </c>
      <c r="C282" t="s">
        <v>163</v>
      </c>
      <c r="D282" t="s">
        <v>289</v>
      </c>
      <c r="E282" t="s">
        <v>207</v>
      </c>
      <c r="F282" t="s">
        <v>417</v>
      </c>
      <c r="G282" s="3">
        <f t="shared" si="4"/>
        <v>0</v>
      </c>
      <c r="H282" t="s">
        <v>555</v>
      </c>
      <c r="I282" s="3">
        <f>D282/(VLOOKUP(B282,'2025 Team'!$B$2:$G$33,3,FALSE))</f>
        <v>4.2918454935622317E-3</v>
      </c>
    </row>
    <row r="283" spans="1:9" x14ac:dyDescent="0.25">
      <c r="A283" t="s">
        <v>154</v>
      </c>
      <c r="B283" t="s">
        <v>18</v>
      </c>
      <c r="C283" t="s">
        <v>82</v>
      </c>
      <c r="D283" t="s">
        <v>289</v>
      </c>
      <c r="E283" t="s">
        <v>207</v>
      </c>
      <c r="F283" t="s">
        <v>417</v>
      </c>
      <c r="G283" s="3">
        <f t="shared" si="4"/>
        <v>0</v>
      </c>
      <c r="H283" t="s">
        <v>555</v>
      </c>
      <c r="I283" s="3">
        <f>D283/(VLOOKUP(B283,'2025 Team'!$B$2:$G$33,3,FALSE))</f>
        <v>3.9603960396039604E-3</v>
      </c>
    </row>
    <row r="284" spans="1:9" x14ac:dyDescent="0.25">
      <c r="A284" t="s">
        <v>716</v>
      </c>
      <c r="B284" t="s">
        <v>18</v>
      </c>
      <c r="C284" t="s">
        <v>159</v>
      </c>
      <c r="D284" t="s">
        <v>289</v>
      </c>
      <c r="E284" t="s">
        <v>535</v>
      </c>
      <c r="F284" t="s">
        <v>417</v>
      </c>
      <c r="G284" s="3">
        <f t="shared" si="4"/>
        <v>0</v>
      </c>
      <c r="H284" t="s">
        <v>717</v>
      </c>
      <c r="I284" s="3">
        <f>D284/(VLOOKUP(B284,'2025 Team'!$B$2:$G$33,3,FALSE))</f>
        <v>3.9603960396039604E-3</v>
      </c>
    </row>
    <row r="285" spans="1:9" x14ac:dyDescent="0.25">
      <c r="A285" t="s">
        <v>718</v>
      </c>
      <c r="B285" t="s">
        <v>62</v>
      </c>
      <c r="C285" t="s">
        <v>613</v>
      </c>
      <c r="D285" t="s">
        <v>289</v>
      </c>
      <c r="E285" t="s">
        <v>687</v>
      </c>
      <c r="F285" t="s">
        <v>417</v>
      </c>
      <c r="G285" s="3">
        <f t="shared" si="4"/>
        <v>0</v>
      </c>
      <c r="H285" t="s">
        <v>719</v>
      </c>
      <c r="I285" s="3">
        <f>D285/(VLOOKUP(B285,'2025 Team'!$B$2:$G$33,3,FALSE))</f>
        <v>4.1580041580041582E-3</v>
      </c>
    </row>
    <row r="286" spans="1:9" x14ac:dyDescent="0.25">
      <c r="A286" t="s">
        <v>720</v>
      </c>
      <c r="B286" t="s">
        <v>62</v>
      </c>
      <c r="C286" t="s">
        <v>163</v>
      </c>
      <c r="D286" t="s">
        <v>289</v>
      </c>
      <c r="E286" t="s">
        <v>266</v>
      </c>
      <c r="F286" t="s">
        <v>417</v>
      </c>
      <c r="G286" s="3">
        <f t="shared" si="4"/>
        <v>0</v>
      </c>
      <c r="H286" t="s">
        <v>445</v>
      </c>
      <c r="I286" s="3">
        <f>D286/(VLOOKUP(B286,'2025 Team'!$B$2:$G$33,3,FALSE))</f>
        <v>4.1580041580041582E-3</v>
      </c>
    </row>
    <row r="287" spans="1:9" x14ac:dyDescent="0.25">
      <c r="A287" t="s">
        <v>721</v>
      </c>
      <c r="B287" t="s">
        <v>62</v>
      </c>
      <c r="C287" t="s">
        <v>163</v>
      </c>
      <c r="D287" t="s">
        <v>289</v>
      </c>
      <c r="E287" t="s">
        <v>649</v>
      </c>
      <c r="F287" t="s">
        <v>417</v>
      </c>
      <c r="G287" s="3">
        <f t="shared" si="4"/>
        <v>0</v>
      </c>
      <c r="H287" t="s">
        <v>652</v>
      </c>
      <c r="I287" s="3">
        <f>D287/(VLOOKUP(B287,'2025 Team'!$B$2:$G$33,3,FALSE))</f>
        <v>4.1580041580041582E-3</v>
      </c>
    </row>
    <row r="288" spans="1:9" x14ac:dyDescent="0.25">
      <c r="A288" t="s">
        <v>722</v>
      </c>
      <c r="B288" t="s">
        <v>28</v>
      </c>
      <c r="C288" t="s">
        <v>163</v>
      </c>
      <c r="D288" t="s">
        <v>289</v>
      </c>
      <c r="E288" t="s">
        <v>541</v>
      </c>
      <c r="F288" t="s">
        <v>417</v>
      </c>
      <c r="G288" s="3">
        <f t="shared" si="4"/>
        <v>0</v>
      </c>
      <c r="H288" t="s">
        <v>723</v>
      </c>
      <c r="I288" s="3">
        <f>D288/(VLOOKUP(B288,'2025 Team'!$B$2:$G$33,3,FALSE))</f>
        <v>4.5248868778280547E-3</v>
      </c>
    </row>
    <row r="289" spans="1:9" x14ac:dyDescent="0.25">
      <c r="A289" t="s">
        <v>724</v>
      </c>
      <c r="B289" t="s">
        <v>28</v>
      </c>
      <c r="C289" t="s">
        <v>159</v>
      </c>
      <c r="D289" t="s">
        <v>289</v>
      </c>
      <c r="E289" t="s">
        <v>266</v>
      </c>
      <c r="F289" t="s">
        <v>417</v>
      </c>
      <c r="G289" s="3">
        <f t="shared" si="4"/>
        <v>0</v>
      </c>
      <c r="H289" t="s">
        <v>445</v>
      </c>
      <c r="I289" s="3">
        <f>D289/(VLOOKUP(B289,'2025 Team'!$B$2:$G$33,3,FALSE))</f>
        <v>4.5248868778280547E-3</v>
      </c>
    </row>
    <row r="290" spans="1:9" x14ac:dyDescent="0.25">
      <c r="A290" t="s">
        <v>725</v>
      </c>
      <c r="B290" t="s">
        <v>32</v>
      </c>
      <c r="C290" t="s">
        <v>163</v>
      </c>
      <c r="D290" t="s">
        <v>289</v>
      </c>
      <c r="E290" t="s">
        <v>557</v>
      </c>
      <c r="F290" t="s">
        <v>300</v>
      </c>
      <c r="G290" s="3">
        <f t="shared" si="4"/>
        <v>0.5</v>
      </c>
      <c r="H290" t="s">
        <v>726</v>
      </c>
      <c r="I290" s="3">
        <f>D290/(VLOOKUP(B290,'2025 Team'!$B$2:$G$33,3,FALSE))</f>
        <v>4.2105263157894736E-3</v>
      </c>
    </row>
    <row r="291" spans="1:9" x14ac:dyDescent="0.25">
      <c r="A291" t="s">
        <v>621</v>
      </c>
      <c r="B291" t="s">
        <v>52</v>
      </c>
      <c r="C291" t="s">
        <v>163</v>
      </c>
      <c r="D291" t="s">
        <v>289</v>
      </c>
      <c r="E291" t="s">
        <v>220</v>
      </c>
      <c r="F291" t="s">
        <v>417</v>
      </c>
      <c r="G291" s="3">
        <f t="shared" si="4"/>
        <v>0</v>
      </c>
      <c r="H291" t="s">
        <v>498</v>
      </c>
      <c r="I291" s="3">
        <f>D291/(VLOOKUP(B291,'2025 Team'!$B$2:$G$33,3,FALSE))</f>
        <v>4.5977011494252873E-3</v>
      </c>
    </row>
    <row r="292" spans="1:9" x14ac:dyDescent="0.25">
      <c r="A292" t="s">
        <v>727</v>
      </c>
      <c r="B292" t="s">
        <v>20</v>
      </c>
      <c r="C292" t="s">
        <v>159</v>
      </c>
      <c r="D292" t="s">
        <v>289</v>
      </c>
      <c r="E292" t="s">
        <v>289</v>
      </c>
      <c r="F292" t="s">
        <v>417</v>
      </c>
      <c r="G292" s="3">
        <f t="shared" si="4"/>
        <v>0</v>
      </c>
      <c r="H292" t="s">
        <v>614</v>
      </c>
      <c r="I292" s="3">
        <f>D292/(VLOOKUP(B292,'2025 Team'!$B$2:$G$33,3,FALSE))</f>
        <v>5.2493438320209973E-3</v>
      </c>
    </row>
    <row r="293" spans="1:9" x14ac:dyDescent="0.25">
      <c r="A293" t="s">
        <v>728</v>
      </c>
      <c r="B293" t="s">
        <v>20</v>
      </c>
      <c r="C293" t="s">
        <v>163</v>
      </c>
      <c r="D293" t="s">
        <v>289</v>
      </c>
      <c r="E293" t="s">
        <v>211</v>
      </c>
      <c r="F293" t="s">
        <v>417</v>
      </c>
      <c r="G293" s="3">
        <f t="shared" si="4"/>
        <v>0</v>
      </c>
      <c r="H293" t="s">
        <v>258</v>
      </c>
      <c r="I293" s="3">
        <f>D293/(VLOOKUP(B293,'2025 Team'!$B$2:$G$33,3,FALSE))</f>
        <v>5.2493438320209973E-3</v>
      </c>
    </row>
    <row r="294" spans="1:9" x14ac:dyDescent="0.25">
      <c r="A294" t="s">
        <v>729</v>
      </c>
      <c r="B294" t="s">
        <v>12</v>
      </c>
      <c r="C294" t="s">
        <v>613</v>
      </c>
      <c r="D294" t="s">
        <v>300</v>
      </c>
      <c r="E294" t="s">
        <v>314</v>
      </c>
      <c r="F294" t="s">
        <v>417</v>
      </c>
      <c r="G294" s="3">
        <f t="shared" si="4"/>
        <v>0</v>
      </c>
      <c r="H294" t="s">
        <v>502</v>
      </c>
      <c r="I294" s="3">
        <f>D294/(VLOOKUP(B294,'2025 Team'!$B$2:$G$33,3,FALSE))</f>
        <v>1.9723865877712033E-3</v>
      </c>
    </row>
    <row r="295" spans="1:9" x14ac:dyDescent="0.25">
      <c r="A295" t="s">
        <v>730</v>
      </c>
      <c r="B295" t="s">
        <v>70</v>
      </c>
      <c r="C295" t="s">
        <v>163</v>
      </c>
      <c r="D295" t="s">
        <v>300</v>
      </c>
      <c r="E295" t="s">
        <v>207</v>
      </c>
      <c r="F295" t="s">
        <v>417</v>
      </c>
      <c r="G295" s="3">
        <f t="shared" si="4"/>
        <v>0</v>
      </c>
      <c r="H295" t="s">
        <v>648</v>
      </c>
      <c r="I295" s="3">
        <f>D295/(VLOOKUP(B295,'2025 Team'!$B$2:$G$33,3,FALSE))</f>
        <v>2.0661157024793389E-3</v>
      </c>
    </row>
    <row r="296" spans="1:9" x14ac:dyDescent="0.25">
      <c r="A296" t="s">
        <v>731</v>
      </c>
      <c r="B296" t="s">
        <v>70</v>
      </c>
      <c r="C296" t="s">
        <v>163</v>
      </c>
      <c r="D296" t="s">
        <v>300</v>
      </c>
      <c r="E296" t="s">
        <v>270</v>
      </c>
      <c r="F296" t="s">
        <v>417</v>
      </c>
      <c r="G296" s="3">
        <f t="shared" si="4"/>
        <v>0</v>
      </c>
      <c r="H296" t="s">
        <v>732</v>
      </c>
      <c r="I296" s="3">
        <f>D296/(VLOOKUP(B296,'2025 Team'!$B$2:$G$33,3,FALSE))</f>
        <v>2.0661157024793389E-3</v>
      </c>
    </row>
    <row r="297" spans="1:9" x14ac:dyDescent="0.25">
      <c r="A297" t="s">
        <v>733</v>
      </c>
      <c r="B297" t="s">
        <v>46</v>
      </c>
      <c r="C297" t="s">
        <v>153</v>
      </c>
      <c r="D297" t="s">
        <v>300</v>
      </c>
      <c r="E297" t="s">
        <v>734</v>
      </c>
      <c r="F297" t="s">
        <v>417</v>
      </c>
      <c r="G297" s="3">
        <f t="shared" si="4"/>
        <v>0</v>
      </c>
      <c r="H297" t="s">
        <v>735</v>
      </c>
      <c r="I297" s="3">
        <f>D297/(VLOOKUP(B297,'2025 Team'!$B$2:$G$33,3,FALSE))</f>
        <v>2.3148148148148147E-3</v>
      </c>
    </row>
    <row r="298" spans="1:9" x14ac:dyDescent="0.25">
      <c r="A298" t="s">
        <v>736</v>
      </c>
      <c r="B298" t="s">
        <v>46</v>
      </c>
      <c r="C298" t="s">
        <v>153</v>
      </c>
      <c r="D298" t="s">
        <v>300</v>
      </c>
      <c r="E298" t="s">
        <v>229</v>
      </c>
      <c r="F298" t="s">
        <v>417</v>
      </c>
      <c r="G298" s="3">
        <f t="shared" si="4"/>
        <v>0</v>
      </c>
      <c r="H298" t="s">
        <v>235</v>
      </c>
      <c r="I298" s="3">
        <f>D298/(VLOOKUP(B298,'2025 Team'!$B$2:$G$33,3,FALSE))</f>
        <v>2.3148148148148147E-3</v>
      </c>
    </row>
    <row r="299" spans="1:9" x14ac:dyDescent="0.25">
      <c r="A299" t="s">
        <v>737</v>
      </c>
      <c r="B299" t="s">
        <v>48</v>
      </c>
      <c r="C299" t="s">
        <v>153</v>
      </c>
      <c r="D299" t="s">
        <v>300</v>
      </c>
      <c r="E299" t="s">
        <v>417</v>
      </c>
      <c r="F299" t="s">
        <v>417</v>
      </c>
      <c r="G299" s="3">
        <f t="shared" si="4"/>
        <v>0</v>
      </c>
      <c r="H299" t="s">
        <v>504</v>
      </c>
      <c r="I299" s="3">
        <f>D299/(VLOOKUP(B299,'2025 Team'!$B$2:$G$33,3,FALSE))</f>
        <v>2.4390243902439024E-3</v>
      </c>
    </row>
    <row r="300" spans="1:9" x14ac:dyDescent="0.25">
      <c r="A300" t="s">
        <v>738</v>
      </c>
      <c r="B300" t="s">
        <v>30</v>
      </c>
      <c r="C300" t="s">
        <v>153</v>
      </c>
      <c r="D300" t="s">
        <v>300</v>
      </c>
      <c r="E300" t="s">
        <v>314</v>
      </c>
      <c r="F300" t="s">
        <v>417</v>
      </c>
      <c r="G300" s="3">
        <f t="shared" si="4"/>
        <v>0</v>
      </c>
      <c r="H300" t="s">
        <v>502</v>
      </c>
      <c r="I300" s="3">
        <f>D300/(VLOOKUP(B300,'2025 Team'!$B$2:$G$33,3,FALSE))</f>
        <v>2.0325203252032522E-3</v>
      </c>
    </row>
    <row r="301" spans="1:9" x14ac:dyDescent="0.25">
      <c r="A301" t="s">
        <v>739</v>
      </c>
      <c r="B301" t="s">
        <v>30</v>
      </c>
      <c r="C301" t="s">
        <v>163</v>
      </c>
      <c r="D301" t="s">
        <v>300</v>
      </c>
      <c r="E301" t="s">
        <v>314</v>
      </c>
      <c r="F301" t="s">
        <v>417</v>
      </c>
      <c r="G301" s="3">
        <f t="shared" si="4"/>
        <v>0</v>
      </c>
      <c r="H301" t="s">
        <v>502</v>
      </c>
      <c r="I301" s="3">
        <f>D301/(VLOOKUP(B301,'2025 Team'!$B$2:$G$33,3,FALSE))</f>
        <v>2.0325203252032522E-3</v>
      </c>
    </row>
    <row r="302" spans="1:9" x14ac:dyDescent="0.25">
      <c r="A302" t="s">
        <v>740</v>
      </c>
      <c r="B302" t="s">
        <v>30</v>
      </c>
      <c r="C302" t="s">
        <v>163</v>
      </c>
      <c r="D302" t="s">
        <v>300</v>
      </c>
      <c r="E302" t="s">
        <v>247</v>
      </c>
      <c r="F302" t="s">
        <v>417</v>
      </c>
      <c r="G302" s="3">
        <f t="shared" si="4"/>
        <v>0</v>
      </c>
      <c r="H302" t="s">
        <v>389</v>
      </c>
      <c r="I302" s="3">
        <f>D302/(VLOOKUP(B302,'2025 Team'!$B$2:$G$33,3,FALSE))</f>
        <v>2.0325203252032522E-3</v>
      </c>
    </row>
    <row r="303" spans="1:9" x14ac:dyDescent="0.25">
      <c r="A303" t="s">
        <v>741</v>
      </c>
      <c r="B303" t="s">
        <v>56</v>
      </c>
      <c r="C303" t="s">
        <v>613</v>
      </c>
      <c r="D303" t="s">
        <v>300</v>
      </c>
      <c r="E303" t="s">
        <v>220</v>
      </c>
      <c r="F303" t="s">
        <v>417</v>
      </c>
      <c r="G303" s="3">
        <f t="shared" si="4"/>
        <v>0</v>
      </c>
      <c r="H303" t="s">
        <v>258</v>
      </c>
      <c r="I303" s="3">
        <f>D303/(VLOOKUP(B303,'2025 Team'!$B$2:$G$33,3,FALSE))</f>
        <v>2.1929824561403508E-3</v>
      </c>
    </row>
    <row r="304" spans="1:9" x14ac:dyDescent="0.25">
      <c r="A304" t="s">
        <v>742</v>
      </c>
      <c r="B304" t="s">
        <v>56</v>
      </c>
      <c r="C304" t="s">
        <v>163</v>
      </c>
      <c r="D304" t="s">
        <v>300</v>
      </c>
      <c r="E304" t="s">
        <v>651</v>
      </c>
      <c r="F304" t="s">
        <v>417</v>
      </c>
      <c r="G304" s="3">
        <f t="shared" si="4"/>
        <v>0</v>
      </c>
      <c r="H304" t="s">
        <v>743</v>
      </c>
      <c r="I304" s="3">
        <f>D304/(VLOOKUP(B304,'2025 Team'!$B$2:$G$33,3,FALSE))</f>
        <v>2.1929824561403508E-3</v>
      </c>
    </row>
    <row r="305" spans="1:9" x14ac:dyDescent="0.25">
      <c r="A305" t="s">
        <v>744</v>
      </c>
      <c r="B305" t="s">
        <v>14</v>
      </c>
      <c r="C305" t="s">
        <v>163</v>
      </c>
      <c r="D305" t="s">
        <v>300</v>
      </c>
      <c r="E305" t="s">
        <v>220</v>
      </c>
      <c r="F305" t="s">
        <v>417</v>
      </c>
      <c r="G305" s="3">
        <f t="shared" si="4"/>
        <v>0</v>
      </c>
      <c r="H305" t="s">
        <v>258</v>
      </c>
      <c r="I305" s="3">
        <f>D305/(VLOOKUP(B305,'2025 Team'!$B$2:$G$33,3,FALSE))</f>
        <v>1.8281535648994515E-3</v>
      </c>
    </row>
    <row r="306" spans="1:9" x14ac:dyDescent="0.25">
      <c r="A306" t="s">
        <v>745</v>
      </c>
      <c r="B306" t="s">
        <v>58</v>
      </c>
      <c r="C306" t="s">
        <v>165</v>
      </c>
      <c r="D306" t="s">
        <v>300</v>
      </c>
      <c r="E306" t="s">
        <v>746</v>
      </c>
      <c r="F306" t="s">
        <v>417</v>
      </c>
      <c r="G306" s="3">
        <f t="shared" si="4"/>
        <v>0</v>
      </c>
      <c r="H306" t="s">
        <v>747</v>
      </c>
      <c r="I306" s="3">
        <f>D306/(VLOOKUP(B306,'2025 Team'!$B$2:$G$33,3,FALSE))</f>
        <v>2.0920502092050207E-3</v>
      </c>
    </row>
    <row r="307" spans="1:9" x14ac:dyDescent="0.25">
      <c r="A307" t="s">
        <v>748</v>
      </c>
      <c r="B307" t="s">
        <v>50</v>
      </c>
      <c r="C307" t="s">
        <v>163</v>
      </c>
      <c r="D307" t="s">
        <v>300</v>
      </c>
      <c r="E307" t="s">
        <v>229</v>
      </c>
      <c r="F307" t="s">
        <v>417</v>
      </c>
      <c r="G307" s="3">
        <f t="shared" si="4"/>
        <v>0</v>
      </c>
      <c r="H307" t="s">
        <v>235</v>
      </c>
      <c r="I307" s="3">
        <f>D307/(VLOOKUP(B307,'2025 Team'!$B$2:$G$33,3,FALSE))</f>
        <v>2.0242914979757085E-3</v>
      </c>
    </row>
    <row r="308" spans="1:9" x14ac:dyDescent="0.25">
      <c r="A308" t="s">
        <v>710</v>
      </c>
      <c r="B308" t="s">
        <v>16</v>
      </c>
      <c r="C308" t="s">
        <v>159</v>
      </c>
      <c r="D308" t="s">
        <v>300</v>
      </c>
      <c r="E308" t="s">
        <v>417</v>
      </c>
      <c r="F308" t="s">
        <v>417</v>
      </c>
      <c r="G308" s="3">
        <f t="shared" si="4"/>
        <v>0</v>
      </c>
      <c r="H308" t="s">
        <v>504</v>
      </c>
      <c r="I308" s="3">
        <f>D308/(VLOOKUP(B308,'2025 Team'!$B$2:$G$33,3,FALSE))</f>
        <v>2.1691973969631237E-3</v>
      </c>
    </row>
    <row r="309" spans="1:9" x14ac:dyDescent="0.25">
      <c r="A309" t="s">
        <v>749</v>
      </c>
      <c r="B309" t="s">
        <v>16</v>
      </c>
      <c r="C309" t="s">
        <v>153</v>
      </c>
      <c r="D309" t="s">
        <v>300</v>
      </c>
      <c r="E309" t="s">
        <v>300</v>
      </c>
      <c r="F309" t="s">
        <v>417</v>
      </c>
      <c r="G309" s="3">
        <f t="shared" si="4"/>
        <v>0</v>
      </c>
      <c r="H309" t="s">
        <v>614</v>
      </c>
      <c r="I309" s="3">
        <f>D309/(VLOOKUP(B309,'2025 Team'!$B$2:$G$33,3,FALSE))</f>
        <v>2.1691973969631237E-3</v>
      </c>
    </row>
    <row r="310" spans="1:9" x14ac:dyDescent="0.25">
      <c r="A310" t="s">
        <v>750</v>
      </c>
      <c r="B310" t="s">
        <v>16</v>
      </c>
      <c r="C310" t="s">
        <v>163</v>
      </c>
      <c r="D310" t="s">
        <v>300</v>
      </c>
      <c r="E310" t="s">
        <v>417</v>
      </c>
      <c r="F310" t="s">
        <v>417</v>
      </c>
      <c r="G310" s="3">
        <f t="shared" si="4"/>
        <v>0</v>
      </c>
      <c r="H310" t="s">
        <v>504</v>
      </c>
      <c r="I310" s="3">
        <f>D310/(VLOOKUP(B310,'2025 Team'!$B$2:$G$33,3,FALSE))</f>
        <v>2.1691973969631237E-3</v>
      </c>
    </row>
    <row r="311" spans="1:9" x14ac:dyDescent="0.25">
      <c r="A311" t="s">
        <v>751</v>
      </c>
      <c r="B311" t="s">
        <v>16</v>
      </c>
      <c r="C311" t="s">
        <v>163</v>
      </c>
      <c r="D311" t="s">
        <v>300</v>
      </c>
      <c r="E311" t="s">
        <v>198</v>
      </c>
      <c r="F311" t="s">
        <v>417</v>
      </c>
      <c r="G311" s="3">
        <f t="shared" si="4"/>
        <v>0</v>
      </c>
      <c r="H311" t="s">
        <v>752</v>
      </c>
      <c r="I311" s="3">
        <f>D311/(VLOOKUP(B311,'2025 Team'!$B$2:$G$33,3,FALSE))</f>
        <v>2.1691973969631237E-3</v>
      </c>
    </row>
    <row r="312" spans="1:9" x14ac:dyDescent="0.25">
      <c r="A312" t="s">
        <v>753</v>
      </c>
      <c r="B312" t="s">
        <v>40</v>
      </c>
      <c r="C312" t="s">
        <v>163</v>
      </c>
      <c r="D312" t="s">
        <v>300</v>
      </c>
      <c r="E312" t="s">
        <v>314</v>
      </c>
      <c r="F312" t="s">
        <v>417</v>
      </c>
      <c r="G312" s="3">
        <f t="shared" si="4"/>
        <v>0</v>
      </c>
      <c r="H312" t="s">
        <v>502</v>
      </c>
      <c r="I312" s="3">
        <f>D312/(VLOOKUP(B312,'2025 Team'!$B$2:$G$33,3,FALSE))</f>
        <v>2.7100271002710027E-3</v>
      </c>
    </row>
    <row r="313" spans="1:9" x14ac:dyDescent="0.25">
      <c r="A313" t="s">
        <v>145</v>
      </c>
      <c r="B313" t="s">
        <v>40</v>
      </c>
      <c r="C313" t="s">
        <v>82</v>
      </c>
      <c r="D313" t="s">
        <v>300</v>
      </c>
      <c r="E313" t="s">
        <v>207</v>
      </c>
      <c r="F313" t="s">
        <v>417</v>
      </c>
      <c r="G313" s="3">
        <f t="shared" si="4"/>
        <v>0</v>
      </c>
      <c r="H313" t="s">
        <v>648</v>
      </c>
      <c r="I313" s="3">
        <f>D313/(VLOOKUP(B313,'2025 Team'!$B$2:$G$33,3,FALSE))</f>
        <v>2.7100271002710027E-3</v>
      </c>
    </row>
    <row r="314" spans="1:9" x14ac:dyDescent="0.25">
      <c r="A314" t="s">
        <v>754</v>
      </c>
      <c r="B314" t="s">
        <v>40</v>
      </c>
      <c r="C314" t="s">
        <v>755</v>
      </c>
      <c r="D314" t="s">
        <v>300</v>
      </c>
      <c r="E314" t="s">
        <v>314</v>
      </c>
      <c r="F314" t="s">
        <v>417</v>
      </c>
      <c r="G314" s="3">
        <f t="shared" si="4"/>
        <v>0</v>
      </c>
      <c r="H314" t="s">
        <v>502</v>
      </c>
      <c r="I314" s="3">
        <f>D314/(VLOOKUP(B314,'2025 Team'!$B$2:$G$33,3,FALSE))</f>
        <v>2.7100271002710027E-3</v>
      </c>
    </row>
    <row r="315" spans="1:9" x14ac:dyDescent="0.25">
      <c r="A315" t="s">
        <v>756</v>
      </c>
      <c r="B315" t="s">
        <v>54</v>
      </c>
      <c r="C315" t="s">
        <v>165</v>
      </c>
      <c r="D315" t="s">
        <v>300</v>
      </c>
      <c r="E315" t="s">
        <v>757</v>
      </c>
      <c r="F315" t="s">
        <v>417</v>
      </c>
      <c r="G315" s="3">
        <f t="shared" si="4"/>
        <v>0</v>
      </c>
      <c r="H315" t="s">
        <v>758</v>
      </c>
      <c r="I315" s="3">
        <f>D315/(VLOOKUP(B315,'2025 Team'!$B$2:$G$33,3,FALSE))</f>
        <v>1.9569471624266144E-3</v>
      </c>
    </row>
    <row r="316" spans="1:9" x14ac:dyDescent="0.25">
      <c r="A316" t="s">
        <v>759</v>
      </c>
      <c r="B316" t="s">
        <v>10</v>
      </c>
      <c r="C316" t="s">
        <v>163</v>
      </c>
      <c r="D316" t="s">
        <v>300</v>
      </c>
      <c r="E316" t="s">
        <v>220</v>
      </c>
      <c r="F316" t="s">
        <v>417</v>
      </c>
      <c r="G316" s="3">
        <f t="shared" si="4"/>
        <v>0</v>
      </c>
      <c r="H316" t="s">
        <v>258</v>
      </c>
      <c r="I316" s="3">
        <f>D316/(VLOOKUP(B316,'2025 Team'!$B$2:$G$33,3,FALSE))</f>
        <v>2.0964360587002098E-3</v>
      </c>
    </row>
    <row r="317" spans="1:9" x14ac:dyDescent="0.25">
      <c r="A317" t="s">
        <v>760</v>
      </c>
      <c r="B317" t="s">
        <v>34</v>
      </c>
      <c r="C317" t="s">
        <v>159</v>
      </c>
      <c r="D317" t="s">
        <v>300</v>
      </c>
      <c r="E317" t="s">
        <v>417</v>
      </c>
      <c r="F317" t="s">
        <v>417</v>
      </c>
      <c r="G317" s="3">
        <f t="shared" si="4"/>
        <v>0</v>
      </c>
      <c r="H317" t="s">
        <v>504</v>
      </c>
      <c r="I317" s="3">
        <f>D317/(VLOOKUP(B317,'2025 Team'!$B$2:$G$33,3,FALSE))</f>
        <v>2.2624434389140274E-3</v>
      </c>
    </row>
    <row r="318" spans="1:9" x14ac:dyDescent="0.25">
      <c r="A318" t="s">
        <v>761</v>
      </c>
      <c r="B318" t="s">
        <v>34</v>
      </c>
      <c r="C318" t="s">
        <v>755</v>
      </c>
      <c r="D318" t="s">
        <v>300</v>
      </c>
      <c r="E318" t="s">
        <v>314</v>
      </c>
      <c r="F318" t="s">
        <v>417</v>
      </c>
      <c r="G318" s="3">
        <f t="shared" si="4"/>
        <v>0</v>
      </c>
      <c r="H318" t="s">
        <v>502</v>
      </c>
      <c r="I318" s="3">
        <f>D318/(VLOOKUP(B318,'2025 Team'!$B$2:$G$33,3,FALSE))</f>
        <v>2.2624434389140274E-3</v>
      </c>
    </row>
    <row r="319" spans="1:9" x14ac:dyDescent="0.25">
      <c r="A319" t="s">
        <v>762</v>
      </c>
      <c r="B319" t="s">
        <v>22</v>
      </c>
      <c r="C319" t="s">
        <v>163</v>
      </c>
      <c r="D319" t="s">
        <v>300</v>
      </c>
      <c r="E319" t="s">
        <v>220</v>
      </c>
      <c r="F319" t="s">
        <v>417</v>
      </c>
      <c r="G319" s="3">
        <f t="shared" si="4"/>
        <v>0</v>
      </c>
      <c r="H319" t="s">
        <v>258</v>
      </c>
      <c r="I319" s="3">
        <f>D319/(VLOOKUP(B319,'2025 Team'!$B$2:$G$33,3,FALSE))</f>
        <v>2.3752969121140144E-3</v>
      </c>
    </row>
    <row r="320" spans="1:9" x14ac:dyDescent="0.25">
      <c r="A320" t="s">
        <v>763</v>
      </c>
      <c r="B320" t="s">
        <v>22</v>
      </c>
      <c r="C320" t="s">
        <v>163</v>
      </c>
      <c r="D320" t="s">
        <v>300</v>
      </c>
      <c r="E320" t="s">
        <v>314</v>
      </c>
      <c r="F320" t="s">
        <v>417</v>
      </c>
      <c r="G320" s="3">
        <f t="shared" si="4"/>
        <v>0</v>
      </c>
      <c r="H320" t="s">
        <v>502</v>
      </c>
      <c r="I320" s="3">
        <f>D320/(VLOOKUP(B320,'2025 Team'!$B$2:$G$33,3,FALSE))</f>
        <v>2.3752969121140144E-3</v>
      </c>
    </row>
    <row r="321" spans="1:9" x14ac:dyDescent="0.25">
      <c r="A321" t="s">
        <v>764</v>
      </c>
      <c r="B321" t="s">
        <v>66</v>
      </c>
      <c r="C321" t="s">
        <v>163</v>
      </c>
      <c r="D321" t="s">
        <v>300</v>
      </c>
      <c r="E321" t="s">
        <v>300</v>
      </c>
      <c r="F321" t="s">
        <v>417</v>
      </c>
      <c r="G321" s="3">
        <f t="shared" si="4"/>
        <v>0</v>
      </c>
      <c r="H321" t="s">
        <v>614</v>
      </c>
      <c r="I321" s="3">
        <f>D321/(VLOOKUP(B321,'2025 Team'!$B$2:$G$33,3,FALSE))</f>
        <v>2.1186440677966102E-3</v>
      </c>
    </row>
    <row r="322" spans="1:9" x14ac:dyDescent="0.25">
      <c r="A322" t="s">
        <v>765</v>
      </c>
      <c r="B322" t="s">
        <v>36</v>
      </c>
      <c r="C322" t="s">
        <v>163</v>
      </c>
      <c r="D322" t="s">
        <v>300</v>
      </c>
      <c r="E322" t="s">
        <v>417</v>
      </c>
      <c r="F322" t="s">
        <v>417</v>
      </c>
      <c r="G322" s="3">
        <f t="shared" ref="G322:G385" si="5">F322/D322</f>
        <v>0</v>
      </c>
      <c r="H322" t="s">
        <v>504</v>
      </c>
      <c r="I322" s="3">
        <f>D322/(VLOOKUP(B322,'2025 Team'!$B$2:$G$33,3,FALSE))</f>
        <v>2.0449897750511249E-3</v>
      </c>
    </row>
    <row r="323" spans="1:9" x14ac:dyDescent="0.25">
      <c r="A323" t="s">
        <v>766</v>
      </c>
      <c r="B323" t="s">
        <v>42</v>
      </c>
      <c r="C323" t="s">
        <v>153</v>
      </c>
      <c r="D323" t="s">
        <v>300</v>
      </c>
      <c r="E323" t="s">
        <v>289</v>
      </c>
      <c r="F323" t="s">
        <v>417</v>
      </c>
      <c r="G323" s="3">
        <f t="shared" si="5"/>
        <v>0</v>
      </c>
      <c r="H323" t="s">
        <v>643</v>
      </c>
      <c r="I323" s="3">
        <f>D323/(VLOOKUP(B323,'2025 Team'!$B$2:$G$33,3,FALSE))</f>
        <v>2.1459227467811159E-3</v>
      </c>
    </row>
    <row r="324" spans="1:9" x14ac:dyDescent="0.25">
      <c r="A324" t="s">
        <v>767</v>
      </c>
      <c r="B324" t="s">
        <v>18</v>
      </c>
      <c r="C324" t="s">
        <v>159</v>
      </c>
      <c r="D324" t="s">
        <v>300</v>
      </c>
      <c r="E324" t="s">
        <v>649</v>
      </c>
      <c r="F324" t="s">
        <v>417</v>
      </c>
      <c r="G324" s="3">
        <f t="shared" si="5"/>
        <v>0</v>
      </c>
      <c r="H324" t="s">
        <v>768</v>
      </c>
      <c r="I324" s="3">
        <f>D324/(VLOOKUP(B324,'2025 Team'!$B$2:$G$33,3,FALSE))</f>
        <v>1.9801980198019802E-3</v>
      </c>
    </row>
    <row r="325" spans="1:9" x14ac:dyDescent="0.25">
      <c r="A325" t="s">
        <v>769</v>
      </c>
      <c r="B325" t="s">
        <v>18</v>
      </c>
      <c r="C325" t="s">
        <v>153</v>
      </c>
      <c r="D325" t="s">
        <v>300</v>
      </c>
      <c r="E325" t="s">
        <v>649</v>
      </c>
      <c r="F325" t="s">
        <v>417</v>
      </c>
      <c r="G325" s="3">
        <f t="shared" si="5"/>
        <v>0</v>
      </c>
      <c r="H325" t="s">
        <v>768</v>
      </c>
      <c r="I325" s="3">
        <f>D325/(VLOOKUP(B325,'2025 Team'!$B$2:$G$33,3,FALSE))</f>
        <v>1.9801980198019802E-3</v>
      </c>
    </row>
    <row r="326" spans="1:9" x14ac:dyDescent="0.25">
      <c r="A326" t="s">
        <v>770</v>
      </c>
      <c r="B326" t="s">
        <v>62</v>
      </c>
      <c r="C326" t="s">
        <v>153</v>
      </c>
      <c r="D326" t="s">
        <v>300</v>
      </c>
      <c r="E326" t="s">
        <v>687</v>
      </c>
      <c r="F326" t="s">
        <v>417</v>
      </c>
      <c r="G326" s="3">
        <f t="shared" si="5"/>
        <v>0</v>
      </c>
      <c r="H326" t="s">
        <v>771</v>
      </c>
      <c r="I326" s="3">
        <f>D326/(VLOOKUP(B326,'2025 Team'!$B$2:$G$33,3,FALSE))</f>
        <v>2.0790020790020791E-3</v>
      </c>
    </row>
    <row r="327" spans="1:9" x14ac:dyDescent="0.25">
      <c r="A327" t="s">
        <v>772</v>
      </c>
      <c r="B327" t="s">
        <v>62</v>
      </c>
      <c r="C327" t="s">
        <v>82</v>
      </c>
      <c r="D327" t="s">
        <v>300</v>
      </c>
      <c r="E327" t="s">
        <v>663</v>
      </c>
      <c r="F327" t="s">
        <v>417</v>
      </c>
      <c r="G327" s="3">
        <f t="shared" si="5"/>
        <v>0</v>
      </c>
      <c r="H327" t="s">
        <v>652</v>
      </c>
      <c r="I327" s="3">
        <f>D327/(VLOOKUP(B327,'2025 Team'!$B$2:$G$33,3,FALSE))</f>
        <v>2.0790020790020791E-3</v>
      </c>
    </row>
    <row r="328" spans="1:9" x14ac:dyDescent="0.25">
      <c r="A328" t="s">
        <v>773</v>
      </c>
      <c r="B328" t="s">
        <v>62</v>
      </c>
      <c r="C328" t="s">
        <v>163</v>
      </c>
      <c r="D328" t="s">
        <v>300</v>
      </c>
      <c r="E328" t="s">
        <v>247</v>
      </c>
      <c r="F328" t="s">
        <v>417</v>
      </c>
      <c r="G328" s="3">
        <f t="shared" si="5"/>
        <v>0</v>
      </c>
      <c r="H328" t="s">
        <v>389</v>
      </c>
      <c r="I328" s="3">
        <f>D328/(VLOOKUP(B328,'2025 Team'!$B$2:$G$33,3,FALSE))</f>
        <v>2.0790020790020791E-3</v>
      </c>
    </row>
    <row r="329" spans="1:9" x14ac:dyDescent="0.25">
      <c r="A329" t="s">
        <v>774</v>
      </c>
      <c r="B329" t="s">
        <v>28</v>
      </c>
      <c r="C329" t="s">
        <v>163</v>
      </c>
      <c r="D329" t="s">
        <v>300</v>
      </c>
      <c r="E329" t="s">
        <v>300</v>
      </c>
      <c r="F329" t="s">
        <v>417</v>
      </c>
      <c r="G329" s="3">
        <f t="shared" si="5"/>
        <v>0</v>
      </c>
      <c r="H329" t="s">
        <v>614</v>
      </c>
      <c r="I329" s="3">
        <f>D329/(VLOOKUP(B329,'2025 Team'!$B$2:$G$33,3,FALSE))</f>
        <v>2.2624434389140274E-3</v>
      </c>
    </row>
    <row r="330" spans="1:9" x14ac:dyDescent="0.25">
      <c r="A330" t="s">
        <v>775</v>
      </c>
      <c r="B330" t="s">
        <v>28</v>
      </c>
      <c r="C330" t="s">
        <v>186</v>
      </c>
      <c r="D330" t="s">
        <v>300</v>
      </c>
      <c r="E330" t="s">
        <v>417</v>
      </c>
      <c r="F330" t="s">
        <v>417</v>
      </c>
      <c r="G330" s="3">
        <f t="shared" si="5"/>
        <v>0</v>
      </c>
      <c r="H330" t="s">
        <v>504</v>
      </c>
      <c r="I330" s="3">
        <f>D330/(VLOOKUP(B330,'2025 Team'!$B$2:$G$33,3,FALSE))</f>
        <v>2.2624434389140274E-3</v>
      </c>
    </row>
    <row r="331" spans="1:9" x14ac:dyDescent="0.25">
      <c r="A331" t="s">
        <v>776</v>
      </c>
      <c r="B331" t="s">
        <v>28</v>
      </c>
      <c r="C331" t="s">
        <v>159</v>
      </c>
      <c r="D331" t="s">
        <v>300</v>
      </c>
      <c r="E331" t="s">
        <v>229</v>
      </c>
      <c r="F331" t="s">
        <v>417</v>
      </c>
      <c r="G331" s="3">
        <f t="shared" si="5"/>
        <v>0</v>
      </c>
      <c r="H331" t="s">
        <v>235</v>
      </c>
      <c r="I331" s="3">
        <f>D331/(VLOOKUP(B331,'2025 Team'!$B$2:$G$33,3,FALSE))</f>
        <v>2.2624434389140274E-3</v>
      </c>
    </row>
    <row r="332" spans="1:9" x14ac:dyDescent="0.25">
      <c r="A332" t="s">
        <v>148</v>
      </c>
      <c r="B332" t="s">
        <v>38</v>
      </c>
      <c r="C332" t="s">
        <v>82</v>
      </c>
      <c r="D332" t="s">
        <v>300</v>
      </c>
      <c r="E332" t="s">
        <v>229</v>
      </c>
      <c r="F332" t="s">
        <v>417</v>
      </c>
      <c r="G332" s="3">
        <f t="shared" si="5"/>
        <v>0</v>
      </c>
      <c r="H332" t="s">
        <v>235</v>
      </c>
      <c r="I332" s="3">
        <f>D332/(VLOOKUP(B332,'2025 Team'!$B$2:$G$33,3,FALSE))</f>
        <v>2.3255813953488372E-3</v>
      </c>
    </row>
    <row r="333" spans="1:9" x14ac:dyDescent="0.25">
      <c r="A333" t="s">
        <v>777</v>
      </c>
      <c r="B333" t="s">
        <v>38</v>
      </c>
      <c r="C333" t="s">
        <v>153</v>
      </c>
      <c r="D333" t="s">
        <v>300</v>
      </c>
      <c r="E333" t="s">
        <v>300</v>
      </c>
      <c r="F333" t="s">
        <v>417</v>
      </c>
      <c r="G333" s="3">
        <f t="shared" si="5"/>
        <v>0</v>
      </c>
      <c r="H333" t="s">
        <v>614</v>
      </c>
      <c r="I333" s="3">
        <f>D333/(VLOOKUP(B333,'2025 Team'!$B$2:$G$33,3,FALSE))</f>
        <v>2.3255813953488372E-3</v>
      </c>
    </row>
    <row r="334" spans="1:9" x14ac:dyDescent="0.25">
      <c r="A334" t="s">
        <v>778</v>
      </c>
      <c r="B334" t="s">
        <v>38</v>
      </c>
      <c r="C334" t="s">
        <v>163</v>
      </c>
      <c r="D334" t="s">
        <v>300</v>
      </c>
      <c r="E334" t="s">
        <v>266</v>
      </c>
      <c r="F334" t="s">
        <v>417</v>
      </c>
      <c r="G334" s="3">
        <f t="shared" si="5"/>
        <v>0</v>
      </c>
      <c r="H334" t="s">
        <v>779</v>
      </c>
      <c r="I334" s="3">
        <f>D334/(VLOOKUP(B334,'2025 Team'!$B$2:$G$33,3,FALSE))</f>
        <v>2.3255813953488372E-3</v>
      </c>
    </row>
    <row r="335" spans="1:9" x14ac:dyDescent="0.25">
      <c r="A335" t="s">
        <v>177</v>
      </c>
      <c r="B335" t="s">
        <v>52</v>
      </c>
      <c r="C335" t="s">
        <v>163</v>
      </c>
      <c r="D335" t="s">
        <v>300</v>
      </c>
      <c r="E335" t="s">
        <v>687</v>
      </c>
      <c r="F335" t="s">
        <v>417</v>
      </c>
      <c r="G335" s="3">
        <f t="shared" si="5"/>
        <v>0</v>
      </c>
      <c r="H335" t="s">
        <v>771</v>
      </c>
      <c r="I335" s="3">
        <f>D335/(VLOOKUP(B335,'2025 Team'!$B$2:$G$33,3,FALSE))</f>
        <v>2.2988505747126436E-3</v>
      </c>
    </row>
    <row r="336" spans="1:9" x14ac:dyDescent="0.25">
      <c r="A336" t="s">
        <v>780</v>
      </c>
      <c r="B336" t="s">
        <v>44</v>
      </c>
      <c r="C336" t="s">
        <v>153</v>
      </c>
      <c r="D336" t="s">
        <v>300</v>
      </c>
      <c r="E336" t="s">
        <v>417</v>
      </c>
      <c r="F336" t="s">
        <v>417</v>
      </c>
      <c r="G336" s="3">
        <f t="shared" si="5"/>
        <v>0</v>
      </c>
      <c r="H336" t="s">
        <v>504</v>
      </c>
      <c r="I336" s="3">
        <f>D336/(VLOOKUP(B336,'2025 Team'!$B$2:$G$33,3,FALSE))</f>
        <v>2.1505376344086021E-3</v>
      </c>
    </row>
    <row r="337" spans="1:9" x14ac:dyDescent="0.25">
      <c r="A337" t="s">
        <v>781</v>
      </c>
      <c r="B337" t="s">
        <v>26</v>
      </c>
      <c r="C337" t="s">
        <v>153</v>
      </c>
      <c r="D337" t="s">
        <v>300</v>
      </c>
      <c r="E337" t="s">
        <v>207</v>
      </c>
      <c r="F337" t="s">
        <v>417</v>
      </c>
      <c r="G337" s="3">
        <f t="shared" si="5"/>
        <v>0</v>
      </c>
      <c r="H337" t="s">
        <v>648</v>
      </c>
      <c r="I337" s="3">
        <f>D337/(VLOOKUP(B337,'2025 Team'!$B$2:$G$33,3,FALSE))</f>
        <v>2.1929824561403508E-3</v>
      </c>
    </row>
    <row r="338" spans="1:9" x14ac:dyDescent="0.25">
      <c r="A338" t="s">
        <v>782</v>
      </c>
      <c r="B338" t="s">
        <v>26</v>
      </c>
      <c r="C338" t="s">
        <v>82</v>
      </c>
      <c r="D338" t="s">
        <v>300</v>
      </c>
      <c r="E338" t="s">
        <v>663</v>
      </c>
      <c r="F338" t="s">
        <v>417</v>
      </c>
      <c r="G338" s="3">
        <f t="shared" si="5"/>
        <v>0</v>
      </c>
      <c r="H338" t="s">
        <v>652</v>
      </c>
      <c r="I338" s="3">
        <f>D338/(VLOOKUP(B338,'2025 Team'!$B$2:$G$33,3,FALSE))</f>
        <v>2.1929824561403508E-3</v>
      </c>
    </row>
    <row r="339" spans="1:9" x14ac:dyDescent="0.25">
      <c r="A339" t="s">
        <v>783</v>
      </c>
      <c r="B339" t="s">
        <v>24</v>
      </c>
      <c r="C339" t="s">
        <v>174</v>
      </c>
      <c r="D339" t="s">
        <v>300</v>
      </c>
      <c r="E339" t="s">
        <v>247</v>
      </c>
      <c r="F339" t="s">
        <v>417</v>
      </c>
      <c r="G339" s="3">
        <f t="shared" si="5"/>
        <v>0</v>
      </c>
      <c r="H339" t="s">
        <v>389</v>
      </c>
      <c r="I339" s="3">
        <f>D339/(VLOOKUP(B339,'2025 Team'!$B$2:$G$33,3,FALSE))</f>
        <v>2.1505376344086021E-3</v>
      </c>
    </row>
    <row r="340" spans="1:9" x14ac:dyDescent="0.25">
      <c r="A340" t="s">
        <v>784</v>
      </c>
      <c r="B340" t="s">
        <v>24</v>
      </c>
      <c r="C340" t="s">
        <v>153</v>
      </c>
      <c r="D340" t="s">
        <v>300</v>
      </c>
      <c r="E340" t="s">
        <v>300</v>
      </c>
      <c r="F340" t="s">
        <v>417</v>
      </c>
      <c r="G340" s="3">
        <f t="shared" si="5"/>
        <v>0</v>
      </c>
      <c r="H340" t="s">
        <v>614</v>
      </c>
      <c r="I340" s="3">
        <f>D340/(VLOOKUP(B340,'2025 Team'!$B$2:$G$33,3,FALSE))</f>
        <v>2.1505376344086021E-3</v>
      </c>
    </row>
    <row r="341" spans="1:9" x14ac:dyDescent="0.25">
      <c r="A341" t="s">
        <v>785</v>
      </c>
      <c r="B341" t="s">
        <v>24</v>
      </c>
      <c r="C341" t="s">
        <v>163</v>
      </c>
      <c r="D341" t="s">
        <v>300</v>
      </c>
      <c r="E341" t="s">
        <v>289</v>
      </c>
      <c r="F341" t="s">
        <v>417</v>
      </c>
      <c r="G341" s="3">
        <f t="shared" si="5"/>
        <v>0</v>
      </c>
      <c r="H341" t="s">
        <v>643</v>
      </c>
      <c r="I341" s="3">
        <f>D341/(VLOOKUP(B341,'2025 Team'!$B$2:$G$33,3,FALSE))</f>
        <v>2.1505376344086021E-3</v>
      </c>
    </row>
    <row r="342" spans="1:9" x14ac:dyDescent="0.25">
      <c r="A342" t="s">
        <v>786</v>
      </c>
      <c r="B342" t="s">
        <v>20</v>
      </c>
      <c r="C342" t="s">
        <v>153</v>
      </c>
      <c r="D342" t="s">
        <v>300</v>
      </c>
      <c r="E342" t="s">
        <v>314</v>
      </c>
      <c r="F342" t="s">
        <v>417</v>
      </c>
      <c r="G342" s="3">
        <f t="shared" si="5"/>
        <v>0</v>
      </c>
      <c r="H342" t="s">
        <v>502</v>
      </c>
      <c r="I342" s="3">
        <f>D342/(VLOOKUP(B342,'2025 Team'!$B$2:$G$33,3,FALSE))</f>
        <v>2.6246719160104987E-3</v>
      </c>
    </row>
    <row r="343" spans="1:9" x14ac:dyDescent="0.25">
      <c r="A343" t="s">
        <v>563</v>
      </c>
      <c r="B343" t="s">
        <v>8</v>
      </c>
      <c r="C343" t="s">
        <v>159</v>
      </c>
      <c r="D343" t="s">
        <v>300</v>
      </c>
      <c r="E343" t="s">
        <v>417</v>
      </c>
      <c r="F343" t="s">
        <v>417</v>
      </c>
      <c r="G343" s="3">
        <f t="shared" si="5"/>
        <v>0</v>
      </c>
      <c r="H343" t="s">
        <v>504</v>
      </c>
      <c r="I343" s="3">
        <f>D343/(VLOOKUP(B343,'2025 Team'!$B$2:$G$33,3,FALSE))</f>
        <v>2.7322404371584699E-3</v>
      </c>
    </row>
    <row r="344" spans="1:9" x14ac:dyDescent="0.25">
      <c r="A344" t="s">
        <v>787</v>
      </c>
      <c r="B344" t="s">
        <v>8</v>
      </c>
      <c r="C344" t="s">
        <v>163</v>
      </c>
      <c r="D344" t="s">
        <v>417</v>
      </c>
      <c r="E344" t="s">
        <v>417</v>
      </c>
      <c r="F344" t="s">
        <v>417</v>
      </c>
      <c r="G344" s="3" t="e">
        <f t="shared" si="5"/>
        <v>#DIV/0!</v>
      </c>
      <c r="H344" t="s">
        <v>788</v>
      </c>
      <c r="I344" s="3">
        <f>D344/(VLOOKUP(B344,'2025 Team'!$B$2:$G$33,3,FALSE))</f>
        <v>0</v>
      </c>
    </row>
    <row r="345" spans="1:9" x14ac:dyDescent="0.25">
      <c r="A345" t="s">
        <v>789</v>
      </c>
      <c r="B345" t="s">
        <v>8</v>
      </c>
      <c r="C345" t="s">
        <v>163</v>
      </c>
      <c r="D345" t="s">
        <v>417</v>
      </c>
      <c r="E345" t="s">
        <v>417</v>
      </c>
      <c r="F345" t="s">
        <v>417</v>
      </c>
      <c r="G345" s="3" t="e">
        <f t="shared" si="5"/>
        <v>#DIV/0!</v>
      </c>
      <c r="H345" t="s">
        <v>788</v>
      </c>
      <c r="I345" s="3">
        <f>D345/(VLOOKUP(B345,'2025 Team'!$B$2:$G$33,3,FALSE))</f>
        <v>0</v>
      </c>
    </row>
    <row r="346" spans="1:9" x14ac:dyDescent="0.25">
      <c r="A346" t="s">
        <v>790</v>
      </c>
      <c r="B346" t="s">
        <v>8</v>
      </c>
      <c r="C346" t="s">
        <v>153</v>
      </c>
      <c r="D346" t="s">
        <v>417</v>
      </c>
      <c r="E346" t="s">
        <v>417</v>
      </c>
      <c r="F346" t="s">
        <v>417</v>
      </c>
      <c r="G346" s="3" t="e">
        <f t="shared" si="5"/>
        <v>#DIV/0!</v>
      </c>
      <c r="H346" t="s">
        <v>788</v>
      </c>
      <c r="I346" s="3">
        <f>D346/(VLOOKUP(B346,'2025 Team'!$B$2:$G$33,3,FALSE))</f>
        <v>0</v>
      </c>
    </row>
    <row r="347" spans="1:9" x14ac:dyDescent="0.25">
      <c r="A347" t="s">
        <v>791</v>
      </c>
      <c r="B347" t="s">
        <v>8</v>
      </c>
      <c r="C347" t="s">
        <v>153</v>
      </c>
      <c r="D347" t="s">
        <v>417</v>
      </c>
      <c r="E347" t="s">
        <v>417</v>
      </c>
      <c r="F347" t="s">
        <v>417</v>
      </c>
      <c r="G347" s="3" t="e">
        <f t="shared" si="5"/>
        <v>#DIV/0!</v>
      </c>
      <c r="H347" t="s">
        <v>788</v>
      </c>
      <c r="I347" s="3">
        <f>D347/(VLOOKUP(B347,'2025 Team'!$B$2:$G$33,3,FALSE))</f>
        <v>0</v>
      </c>
    </row>
    <row r="348" spans="1:9" x14ac:dyDescent="0.25">
      <c r="A348" t="s">
        <v>792</v>
      </c>
      <c r="B348" t="s">
        <v>8</v>
      </c>
      <c r="C348" t="s">
        <v>163</v>
      </c>
      <c r="D348" t="s">
        <v>417</v>
      </c>
      <c r="E348" t="s">
        <v>417</v>
      </c>
      <c r="F348" t="s">
        <v>417</v>
      </c>
      <c r="G348" s="3" t="e">
        <f t="shared" si="5"/>
        <v>#DIV/0!</v>
      </c>
      <c r="H348" t="s">
        <v>788</v>
      </c>
      <c r="I348" s="3">
        <f>D348/(VLOOKUP(B348,'2025 Team'!$B$2:$G$33,3,FALSE))</f>
        <v>0</v>
      </c>
    </row>
    <row r="349" spans="1:9" x14ac:dyDescent="0.25">
      <c r="A349" t="s">
        <v>793</v>
      </c>
      <c r="B349" t="s">
        <v>8</v>
      </c>
      <c r="C349" t="s">
        <v>153</v>
      </c>
      <c r="D349" t="s">
        <v>417</v>
      </c>
      <c r="E349" t="s">
        <v>417</v>
      </c>
      <c r="F349" t="s">
        <v>417</v>
      </c>
      <c r="G349" s="3" t="e">
        <f t="shared" si="5"/>
        <v>#DIV/0!</v>
      </c>
      <c r="H349" t="s">
        <v>788</v>
      </c>
      <c r="I349" s="3">
        <f>D349/(VLOOKUP(B349,'2025 Team'!$B$2:$G$33,3,FALSE))</f>
        <v>0</v>
      </c>
    </row>
    <row r="350" spans="1:9" x14ac:dyDescent="0.25">
      <c r="A350" t="s">
        <v>794</v>
      </c>
      <c r="B350" t="s">
        <v>8</v>
      </c>
      <c r="C350" t="s">
        <v>163</v>
      </c>
      <c r="D350" t="s">
        <v>417</v>
      </c>
      <c r="E350" t="s">
        <v>417</v>
      </c>
      <c r="F350" t="s">
        <v>417</v>
      </c>
      <c r="G350" s="3" t="e">
        <f t="shared" si="5"/>
        <v>#DIV/0!</v>
      </c>
      <c r="H350" t="s">
        <v>788</v>
      </c>
      <c r="I350" s="3">
        <f>D350/(VLOOKUP(B350,'2025 Team'!$B$2:$G$33,3,FALSE))</f>
        <v>0</v>
      </c>
    </row>
    <row r="351" spans="1:9" x14ac:dyDescent="0.25">
      <c r="A351" t="s">
        <v>795</v>
      </c>
      <c r="B351" t="s">
        <v>8</v>
      </c>
      <c r="C351" t="s">
        <v>153</v>
      </c>
      <c r="D351" t="s">
        <v>417</v>
      </c>
      <c r="E351" t="s">
        <v>417</v>
      </c>
      <c r="F351" t="s">
        <v>417</v>
      </c>
      <c r="G351" s="3" t="e">
        <f t="shared" si="5"/>
        <v>#DIV/0!</v>
      </c>
      <c r="H351" t="s">
        <v>788</v>
      </c>
      <c r="I351" s="3">
        <f>D351/(VLOOKUP(B351,'2025 Team'!$B$2:$G$33,3,FALSE))</f>
        <v>0</v>
      </c>
    </row>
    <row r="352" spans="1:9" x14ac:dyDescent="0.25">
      <c r="A352" t="s">
        <v>796</v>
      </c>
      <c r="B352" t="s">
        <v>8</v>
      </c>
      <c r="C352" t="s">
        <v>153</v>
      </c>
      <c r="D352" t="s">
        <v>417</v>
      </c>
      <c r="E352" t="s">
        <v>417</v>
      </c>
      <c r="F352" t="s">
        <v>417</v>
      </c>
      <c r="G352" s="3" t="e">
        <f t="shared" si="5"/>
        <v>#DIV/0!</v>
      </c>
      <c r="H352" t="s">
        <v>788</v>
      </c>
      <c r="I352" s="3">
        <f>D352/(VLOOKUP(B352,'2025 Team'!$B$2:$G$33,3,FALSE))</f>
        <v>0</v>
      </c>
    </row>
    <row r="353" spans="1:9" x14ac:dyDescent="0.25">
      <c r="A353" t="s">
        <v>797</v>
      </c>
      <c r="B353" t="s">
        <v>8</v>
      </c>
      <c r="C353" t="s">
        <v>163</v>
      </c>
      <c r="D353" t="s">
        <v>417</v>
      </c>
      <c r="E353" t="s">
        <v>417</v>
      </c>
      <c r="F353" t="s">
        <v>417</v>
      </c>
      <c r="G353" s="3" t="e">
        <f t="shared" si="5"/>
        <v>#DIV/0!</v>
      </c>
      <c r="H353" t="s">
        <v>788</v>
      </c>
      <c r="I353" s="3">
        <f>D353/(VLOOKUP(B353,'2025 Team'!$B$2:$G$33,3,FALSE))</f>
        <v>0</v>
      </c>
    </row>
    <row r="354" spans="1:9" x14ac:dyDescent="0.25">
      <c r="A354" t="s">
        <v>798</v>
      </c>
      <c r="B354" t="s">
        <v>8</v>
      </c>
      <c r="C354" t="s">
        <v>163</v>
      </c>
      <c r="D354" t="s">
        <v>417</v>
      </c>
      <c r="E354" t="s">
        <v>417</v>
      </c>
      <c r="F354" t="s">
        <v>417</v>
      </c>
      <c r="G354" s="3" t="e">
        <f t="shared" si="5"/>
        <v>#DIV/0!</v>
      </c>
      <c r="H354" t="s">
        <v>788</v>
      </c>
      <c r="I354" s="3">
        <f>D354/(VLOOKUP(B354,'2025 Team'!$B$2:$G$33,3,FALSE))</f>
        <v>0</v>
      </c>
    </row>
    <row r="355" spans="1:9" x14ac:dyDescent="0.25">
      <c r="A355" t="s">
        <v>799</v>
      </c>
      <c r="B355" t="s">
        <v>8</v>
      </c>
      <c r="C355" t="s">
        <v>163</v>
      </c>
      <c r="D355" t="s">
        <v>417</v>
      </c>
      <c r="E355" t="s">
        <v>417</v>
      </c>
      <c r="F355" t="s">
        <v>417</v>
      </c>
      <c r="G355" s="3" t="e">
        <f t="shared" si="5"/>
        <v>#DIV/0!</v>
      </c>
      <c r="H355" t="s">
        <v>788</v>
      </c>
      <c r="I355" s="3">
        <f>D355/(VLOOKUP(B355,'2025 Team'!$B$2:$G$33,3,FALSE))</f>
        <v>0</v>
      </c>
    </row>
    <row r="356" spans="1:9" x14ac:dyDescent="0.25">
      <c r="A356" t="s">
        <v>800</v>
      </c>
      <c r="B356" t="s">
        <v>8</v>
      </c>
      <c r="C356" t="s">
        <v>163</v>
      </c>
      <c r="D356" t="s">
        <v>417</v>
      </c>
      <c r="E356" t="s">
        <v>417</v>
      </c>
      <c r="F356" t="s">
        <v>417</v>
      </c>
      <c r="G356" s="3" t="e">
        <f t="shared" si="5"/>
        <v>#DIV/0!</v>
      </c>
      <c r="H356" t="s">
        <v>788</v>
      </c>
      <c r="I356" s="3">
        <f>D356/(VLOOKUP(B356,'2025 Team'!$B$2:$G$33,3,FALSE))</f>
        <v>0</v>
      </c>
    </row>
    <row r="357" spans="1:9" x14ac:dyDescent="0.25">
      <c r="A357" t="s">
        <v>801</v>
      </c>
      <c r="B357" t="s">
        <v>10</v>
      </c>
      <c r="C357" t="s">
        <v>163</v>
      </c>
      <c r="D357" t="s">
        <v>417</v>
      </c>
      <c r="E357" t="s">
        <v>417</v>
      </c>
      <c r="F357" t="s">
        <v>417</v>
      </c>
      <c r="G357" s="3" t="e">
        <f t="shared" si="5"/>
        <v>#DIV/0!</v>
      </c>
      <c r="H357" t="s">
        <v>788</v>
      </c>
      <c r="I357" s="3">
        <f>D357/(VLOOKUP(B357,'2025 Team'!$B$2:$G$33,3,FALSE))</f>
        <v>0</v>
      </c>
    </row>
    <row r="358" spans="1:9" x14ac:dyDescent="0.25">
      <c r="A358" t="s">
        <v>802</v>
      </c>
      <c r="B358" t="s">
        <v>10</v>
      </c>
      <c r="C358" t="s">
        <v>163</v>
      </c>
      <c r="D358" t="s">
        <v>417</v>
      </c>
      <c r="E358" t="s">
        <v>417</v>
      </c>
      <c r="F358" t="s">
        <v>417</v>
      </c>
      <c r="G358" s="3" t="e">
        <f t="shared" si="5"/>
        <v>#DIV/0!</v>
      </c>
      <c r="H358" t="s">
        <v>788</v>
      </c>
      <c r="I358" s="3">
        <f>D358/(VLOOKUP(B358,'2025 Team'!$B$2:$G$33,3,FALSE))</f>
        <v>0</v>
      </c>
    </row>
    <row r="359" spans="1:9" x14ac:dyDescent="0.25">
      <c r="A359" t="s">
        <v>803</v>
      </c>
      <c r="B359" t="s">
        <v>10</v>
      </c>
      <c r="C359" t="s">
        <v>163</v>
      </c>
      <c r="D359" t="s">
        <v>417</v>
      </c>
      <c r="E359" t="s">
        <v>417</v>
      </c>
      <c r="F359" t="s">
        <v>417</v>
      </c>
      <c r="G359" s="3" t="e">
        <f t="shared" si="5"/>
        <v>#DIV/0!</v>
      </c>
      <c r="H359" t="s">
        <v>788</v>
      </c>
      <c r="I359" s="3">
        <f>D359/(VLOOKUP(B359,'2025 Team'!$B$2:$G$33,3,FALSE))</f>
        <v>0</v>
      </c>
    </row>
    <row r="360" spans="1:9" x14ac:dyDescent="0.25">
      <c r="A360" t="s">
        <v>804</v>
      </c>
      <c r="B360" t="s">
        <v>10</v>
      </c>
      <c r="C360" t="s">
        <v>805</v>
      </c>
      <c r="D360" t="s">
        <v>417</v>
      </c>
      <c r="E360" t="s">
        <v>417</v>
      </c>
      <c r="F360" t="s">
        <v>417</v>
      </c>
      <c r="G360" s="3" t="e">
        <f t="shared" si="5"/>
        <v>#DIV/0!</v>
      </c>
      <c r="H360" t="s">
        <v>788</v>
      </c>
      <c r="I360" s="3">
        <f>D360/(VLOOKUP(B360,'2025 Team'!$B$2:$G$33,3,FALSE))</f>
        <v>0</v>
      </c>
    </row>
    <row r="361" spans="1:9" x14ac:dyDescent="0.25">
      <c r="A361" t="s">
        <v>806</v>
      </c>
      <c r="B361" t="s">
        <v>10</v>
      </c>
      <c r="C361" t="s">
        <v>163</v>
      </c>
      <c r="D361" t="s">
        <v>417</v>
      </c>
      <c r="E361" t="s">
        <v>417</v>
      </c>
      <c r="F361" t="s">
        <v>417</v>
      </c>
      <c r="G361" s="3" t="e">
        <f t="shared" si="5"/>
        <v>#DIV/0!</v>
      </c>
      <c r="H361" t="s">
        <v>788</v>
      </c>
      <c r="I361" s="3">
        <f>D361/(VLOOKUP(B361,'2025 Team'!$B$2:$G$33,3,FALSE))</f>
        <v>0</v>
      </c>
    </row>
    <row r="362" spans="1:9" x14ac:dyDescent="0.25">
      <c r="A362" t="s">
        <v>807</v>
      </c>
      <c r="B362" t="s">
        <v>10</v>
      </c>
      <c r="C362" t="s">
        <v>163</v>
      </c>
      <c r="D362" t="s">
        <v>417</v>
      </c>
      <c r="E362" t="s">
        <v>417</v>
      </c>
      <c r="F362" t="s">
        <v>417</v>
      </c>
      <c r="G362" s="3" t="e">
        <f t="shared" si="5"/>
        <v>#DIV/0!</v>
      </c>
      <c r="H362" t="s">
        <v>788</v>
      </c>
      <c r="I362" s="3">
        <f>D362/(VLOOKUP(B362,'2025 Team'!$B$2:$G$33,3,FALSE))</f>
        <v>0</v>
      </c>
    </row>
    <row r="363" spans="1:9" x14ac:dyDescent="0.25">
      <c r="A363" t="s">
        <v>808</v>
      </c>
      <c r="B363" t="s">
        <v>10</v>
      </c>
      <c r="C363" t="s">
        <v>153</v>
      </c>
      <c r="D363" t="s">
        <v>417</v>
      </c>
      <c r="E363" t="s">
        <v>417</v>
      </c>
      <c r="F363" t="s">
        <v>417</v>
      </c>
      <c r="G363" s="3" t="e">
        <f t="shared" si="5"/>
        <v>#DIV/0!</v>
      </c>
      <c r="H363" t="s">
        <v>788</v>
      </c>
      <c r="I363" s="3">
        <f>D363/(VLOOKUP(B363,'2025 Team'!$B$2:$G$33,3,FALSE))</f>
        <v>0</v>
      </c>
    </row>
    <row r="364" spans="1:9" x14ac:dyDescent="0.25">
      <c r="A364" t="s">
        <v>809</v>
      </c>
      <c r="B364" t="s">
        <v>10</v>
      </c>
      <c r="C364" t="s">
        <v>163</v>
      </c>
      <c r="D364" t="s">
        <v>417</v>
      </c>
      <c r="E364" t="s">
        <v>417</v>
      </c>
      <c r="F364" t="s">
        <v>417</v>
      </c>
      <c r="G364" s="3" t="e">
        <f t="shared" si="5"/>
        <v>#DIV/0!</v>
      </c>
      <c r="H364" t="s">
        <v>788</v>
      </c>
      <c r="I364" s="3">
        <f>D364/(VLOOKUP(B364,'2025 Team'!$B$2:$G$33,3,FALSE))</f>
        <v>0</v>
      </c>
    </row>
    <row r="365" spans="1:9" x14ac:dyDescent="0.25">
      <c r="A365" t="s">
        <v>810</v>
      </c>
      <c r="B365" t="s">
        <v>10</v>
      </c>
      <c r="C365" t="s">
        <v>163</v>
      </c>
      <c r="D365" t="s">
        <v>417</v>
      </c>
      <c r="E365" t="s">
        <v>417</v>
      </c>
      <c r="F365" t="s">
        <v>417</v>
      </c>
      <c r="G365" s="3" t="e">
        <f t="shared" si="5"/>
        <v>#DIV/0!</v>
      </c>
      <c r="H365" t="s">
        <v>788</v>
      </c>
      <c r="I365" s="3">
        <f>D365/(VLOOKUP(B365,'2025 Team'!$B$2:$G$33,3,FALSE))</f>
        <v>0</v>
      </c>
    </row>
    <row r="366" spans="1:9" x14ac:dyDescent="0.25">
      <c r="A366" t="s">
        <v>811</v>
      </c>
      <c r="B366" t="s">
        <v>10</v>
      </c>
      <c r="C366" t="s">
        <v>153</v>
      </c>
      <c r="D366" t="s">
        <v>417</v>
      </c>
      <c r="E366" t="s">
        <v>417</v>
      </c>
      <c r="F366" t="s">
        <v>417</v>
      </c>
      <c r="G366" s="3" t="e">
        <f t="shared" si="5"/>
        <v>#DIV/0!</v>
      </c>
      <c r="H366" t="s">
        <v>788</v>
      </c>
      <c r="I366" s="3">
        <f>D366/(VLOOKUP(B366,'2025 Team'!$B$2:$G$33,3,FALSE))</f>
        <v>0</v>
      </c>
    </row>
    <row r="367" spans="1:9" x14ac:dyDescent="0.25">
      <c r="A367" t="s">
        <v>812</v>
      </c>
      <c r="B367" t="s">
        <v>12</v>
      </c>
      <c r="C367" t="s">
        <v>163</v>
      </c>
      <c r="D367" t="s">
        <v>417</v>
      </c>
      <c r="E367" t="s">
        <v>417</v>
      </c>
      <c r="F367" t="s">
        <v>417</v>
      </c>
      <c r="G367" s="3" t="e">
        <f t="shared" si="5"/>
        <v>#DIV/0!</v>
      </c>
      <c r="H367" t="s">
        <v>788</v>
      </c>
      <c r="I367" s="3">
        <f>D367/(VLOOKUP(B367,'2025 Team'!$B$2:$G$33,3,FALSE))</f>
        <v>0</v>
      </c>
    </row>
    <row r="368" spans="1:9" x14ac:dyDescent="0.25">
      <c r="A368" t="s">
        <v>813</v>
      </c>
      <c r="B368" t="s">
        <v>12</v>
      </c>
      <c r="C368" t="s">
        <v>163</v>
      </c>
      <c r="D368" t="s">
        <v>417</v>
      </c>
      <c r="E368" t="s">
        <v>417</v>
      </c>
      <c r="F368" t="s">
        <v>417</v>
      </c>
      <c r="G368" s="3" t="e">
        <f t="shared" si="5"/>
        <v>#DIV/0!</v>
      </c>
      <c r="H368" t="s">
        <v>788</v>
      </c>
      <c r="I368" s="3">
        <f>D368/(VLOOKUP(B368,'2025 Team'!$B$2:$G$33,3,FALSE))</f>
        <v>0</v>
      </c>
    </row>
    <row r="369" spans="1:9" x14ac:dyDescent="0.25">
      <c r="A369" t="s">
        <v>814</v>
      </c>
      <c r="B369" t="s">
        <v>12</v>
      </c>
      <c r="C369" t="s">
        <v>153</v>
      </c>
      <c r="D369" t="s">
        <v>417</v>
      </c>
      <c r="E369" t="s">
        <v>417</v>
      </c>
      <c r="F369" t="s">
        <v>417</v>
      </c>
      <c r="G369" s="3" t="e">
        <f t="shared" si="5"/>
        <v>#DIV/0!</v>
      </c>
      <c r="H369" t="s">
        <v>788</v>
      </c>
      <c r="I369" s="3">
        <f>D369/(VLOOKUP(B369,'2025 Team'!$B$2:$G$33,3,FALSE))</f>
        <v>0</v>
      </c>
    </row>
    <row r="370" spans="1:9" x14ac:dyDescent="0.25">
      <c r="A370" t="s">
        <v>815</v>
      </c>
      <c r="B370" t="s">
        <v>12</v>
      </c>
      <c r="C370" t="s">
        <v>153</v>
      </c>
      <c r="D370" t="s">
        <v>417</v>
      </c>
      <c r="E370" t="s">
        <v>417</v>
      </c>
      <c r="F370" t="s">
        <v>417</v>
      </c>
      <c r="G370" s="3" t="e">
        <f t="shared" si="5"/>
        <v>#DIV/0!</v>
      </c>
      <c r="H370" t="s">
        <v>788</v>
      </c>
      <c r="I370" s="3">
        <f>D370/(VLOOKUP(B370,'2025 Team'!$B$2:$G$33,3,FALSE))</f>
        <v>0</v>
      </c>
    </row>
    <row r="371" spans="1:9" x14ac:dyDescent="0.25">
      <c r="A371" t="s">
        <v>816</v>
      </c>
      <c r="B371" t="s">
        <v>12</v>
      </c>
      <c r="C371" t="s">
        <v>153</v>
      </c>
      <c r="D371" t="s">
        <v>417</v>
      </c>
      <c r="E371" t="s">
        <v>417</v>
      </c>
      <c r="F371" t="s">
        <v>417</v>
      </c>
      <c r="G371" s="3" t="e">
        <f t="shared" si="5"/>
        <v>#DIV/0!</v>
      </c>
      <c r="H371" t="s">
        <v>788</v>
      </c>
      <c r="I371" s="3">
        <f>D371/(VLOOKUP(B371,'2025 Team'!$B$2:$G$33,3,FALSE))</f>
        <v>0</v>
      </c>
    </row>
    <row r="372" spans="1:9" x14ac:dyDescent="0.25">
      <c r="A372" t="s">
        <v>817</v>
      </c>
      <c r="B372" t="s">
        <v>12</v>
      </c>
      <c r="C372" t="s">
        <v>163</v>
      </c>
      <c r="D372" t="s">
        <v>417</v>
      </c>
      <c r="E372" t="s">
        <v>417</v>
      </c>
      <c r="F372" t="s">
        <v>417</v>
      </c>
      <c r="G372" s="3" t="e">
        <f t="shared" si="5"/>
        <v>#DIV/0!</v>
      </c>
      <c r="H372" t="s">
        <v>788</v>
      </c>
      <c r="I372" s="3">
        <f>D372/(VLOOKUP(B372,'2025 Team'!$B$2:$G$33,3,FALSE))</f>
        <v>0</v>
      </c>
    </row>
    <row r="373" spans="1:9" x14ac:dyDescent="0.25">
      <c r="A373" t="s">
        <v>818</v>
      </c>
      <c r="B373" t="s">
        <v>12</v>
      </c>
      <c r="C373" t="s">
        <v>163</v>
      </c>
      <c r="D373" t="s">
        <v>417</v>
      </c>
      <c r="E373" t="s">
        <v>417</v>
      </c>
      <c r="F373" t="s">
        <v>417</v>
      </c>
      <c r="G373" s="3" t="e">
        <f t="shared" si="5"/>
        <v>#DIV/0!</v>
      </c>
      <c r="H373" t="s">
        <v>788</v>
      </c>
      <c r="I373" s="3">
        <f>D373/(VLOOKUP(B373,'2025 Team'!$B$2:$G$33,3,FALSE))</f>
        <v>0</v>
      </c>
    </row>
    <row r="374" spans="1:9" x14ac:dyDescent="0.25">
      <c r="A374" t="s">
        <v>819</v>
      </c>
      <c r="B374" t="s">
        <v>14</v>
      </c>
      <c r="C374" t="s">
        <v>163</v>
      </c>
      <c r="D374" t="s">
        <v>417</v>
      </c>
      <c r="E374" t="s">
        <v>417</v>
      </c>
      <c r="F374" t="s">
        <v>417</v>
      </c>
      <c r="G374" s="3" t="e">
        <f t="shared" si="5"/>
        <v>#DIV/0!</v>
      </c>
      <c r="H374" t="s">
        <v>788</v>
      </c>
      <c r="I374" s="3">
        <f>D374/(VLOOKUP(B374,'2025 Team'!$B$2:$G$33,3,FALSE))</f>
        <v>0</v>
      </c>
    </row>
    <row r="375" spans="1:9" x14ac:dyDescent="0.25">
      <c r="A375" t="s">
        <v>820</v>
      </c>
      <c r="B375" t="s">
        <v>14</v>
      </c>
      <c r="C375" t="s">
        <v>163</v>
      </c>
      <c r="D375" t="s">
        <v>417</v>
      </c>
      <c r="E375" t="s">
        <v>417</v>
      </c>
      <c r="F375" t="s">
        <v>417</v>
      </c>
      <c r="G375" s="3" t="e">
        <f t="shared" si="5"/>
        <v>#DIV/0!</v>
      </c>
      <c r="H375" t="s">
        <v>788</v>
      </c>
      <c r="I375" s="3">
        <f>D375/(VLOOKUP(B375,'2025 Team'!$B$2:$G$33,3,FALSE))</f>
        <v>0</v>
      </c>
    </row>
    <row r="376" spans="1:9" x14ac:dyDescent="0.25">
      <c r="A376" t="s">
        <v>821</v>
      </c>
      <c r="B376" t="s">
        <v>14</v>
      </c>
      <c r="C376" t="s">
        <v>163</v>
      </c>
      <c r="D376" t="s">
        <v>417</v>
      </c>
      <c r="E376" t="s">
        <v>417</v>
      </c>
      <c r="F376" t="s">
        <v>417</v>
      </c>
      <c r="G376" s="3" t="e">
        <f t="shared" si="5"/>
        <v>#DIV/0!</v>
      </c>
      <c r="H376" t="s">
        <v>788</v>
      </c>
      <c r="I376" s="3">
        <f>D376/(VLOOKUP(B376,'2025 Team'!$B$2:$G$33,3,FALSE))</f>
        <v>0</v>
      </c>
    </row>
    <row r="377" spans="1:9" x14ac:dyDescent="0.25">
      <c r="A377" t="s">
        <v>822</v>
      </c>
      <c r="B377" t="s">
        <v>14</v>
      </c>
      <c r="C377" t="s">
        <v>163</v>
      </c>
      <c r="D377" t="s">
        <v>417</v>
      </c>
      <c r="E377" t="s">
        <v>417</v>
      </c>
      <c r="F377" t="s">
        <v>417</v>
      </c>
      <c r="G377" s="3" t="e">
        <f t="shared" si="5"/>
        <v>#DIV/0!</v>
      </c>
      <c r="H377" t="s">
        <v>788</v>
      </c>
      <c r="I377" s="3">
        <f>D377/(VLOOKUP(B377,'2025 Team'!$B$2:$G$33,3,FALSE))</f>
        <v>0</v>
      </c>
    </row>
    <row r="378" spans="1:9" x14ac:dyDescent="0.25">
      <c r="A378" t="s">
        <v>823</v>
      </c>
      <c r="B378" t="s">
        <v>14</v>
      </c>
      <c r="C378" t="s">
        <v>153</v>
      </c>
      <c r="D378" t="s">
        <v>417</v>
      </c>
      <c r="E378" t="s">
        <v>417</v>
      </c>
      <c r="F378" t="s">
        <v>417</v>
      </c>
      <c r="G378" s="3" t="e">
        <f t="shared" si="5"/>
        <v>#DIV/0!</v>
      </c>
      <c r="H378" t="s">
        <v>788</v>
      </c>
      <c r="I378" s="3">
        <f>D378/(VLOOKUP(B378,'2025 Team'!$B$2:$G$33,3,FALSE))</f>
        <v>0</v>
      </c>
    </row>
    <row r="379" spans="1:9" x14ac:dyDescent="0.25">
      <c r="A379" t="s">
        <v>824</v>
      </c>
      <c r="B379" t="s">
        <v>14</v>
      </c>
      <c r="C379" t="s">
        <v>153</v>
      </c>
      <c r="D379" t="s">
        <v>417</v>
      </c>
      <c r="E379" t="s">
        <v>417</v>
      </c>
      <c r="F379" t="s">
        <v>417</v>
      </c>
      <c r="G379" s="3" t="e">
        <f t="shared" si="5"/>
        <v>#DIV/0!</v>
      </c>
      <c r="H379" t="s">
        <v>788</v>
      </c>
      <c r="I379" s="3">
        <f>D379/(VLOOKUP(B379,'2025 Team'!$B$2:$G$33,3,FALSE))</f>
        <v>0</v>
      </c>
    </row>
    <row r="380" spans="1:9" x14ac:dyDescent="0.25">
      <c r="A380" t="s">
        <v>825</v>
      </c>
      <c r="B380" t="s">
        <v>14</v>
      </c>
      <c r="C380" t="s">
        <v>153</v>
      </c>
      <c r="D380" t="s">
        <v>417</v>
      </c>
      <c r="E380" t="s">
        <v>417</v>
      </c>
      <c r="F380" t="s">
        <v>417</v>
      </c>
      <c r="G380" s="3" t="e">
        <f t="shared" si="5"/>
        <v>#DIV/0!</v>
      </c>
      <c r="H380" t="s">
        <v>788</v>
      </c>
      <c r="I380" s="3">
        <f>D380/(VLOOKUP(B380,'2025 Team'!$B$2:$G$33,3,FALSE))</f>
        <v>0</v>
      </c>
    </row>
    <row r="381" spans="1:9" x14ac:dyDescent="0.25">
      <c r="A381" t="s">
        <v>826</v>
      </c>
      <c r="B381" t="s">
        <v>14</v>
      </c>
      <c r="C381" t="s">
        <v>153</v>
      </c>
      <c r="D381" t="s">
        <v>417</v>
      </c>
      <c r="E381" t="s">
        <v>417</v>
      </c>
      <c r="F381" t="s">
        <v>417</v>
      </c>
      <c r="G381" s="3" t="e">
        <f t="shared" si="5"/>
        <v>#DIV/0!</v>
      </c>
      <c r="H381" t="s">
        <v>788</v>
      </c>
      <c r="I381" s="3">
        <f>D381/(VLOOKUP(B381,'2025 Team'!$B$2:$G$33,3,FALSE))</f>
        <v>0</v>
      </c>
    </row>
    <row r="382" spans="1:9" x14ac:dyDescent="0.25">
      <c r="A382" t="s">
        <v>827</v>
      </c>
      <c r="B382" t="s">
        <v>14</v>
      </c>
      <c r="C382" t="s">
        <v>163</v>
      </c>
      <c r="D382" t="s">
        <v>417</v>
      </c>
      <c r="E382" t="s">
        <v>417</v>
      </c>
      <c r="F382" t="s">
        <v>417</v>
      </c>
      <c r="G382" s="3" t="e">
        <f t="shared" si="5"/>
        <v>#DIV/0!</v>
      </c>
      <c r="H382" t="s">
        <v>788</v>
      </c>
      <c r="I382" s="3">
        <f>D382/(VLOOKUP(B382,'2025 Team'!$B$2:$G$33,3,FALSE))</f>
        <v>0</v>
      </c>
    </row>
    <row r="383" spans="1:9" x14ac:dyDescent="0.25">
      <c r="A383" t="s">
        <v>828</v>
      </c>
      <c r="B383" t="s">
        <v>14</v>
      </c>
      <c r="C383" t="s">
        <v>163</v>
      </c>
      <c r="D383" t="s">
        <v>417</v>
      </c>
      <c r="E383" t="s">
        <v>417</v>
      </c>
      <c r="F383" t="s">
        <v>417</v>
      </c>
      <c r="G383" s="3" t="e">
        <f t="shared" si="5"/>
        <v>#DIV/0!</v>
      </c>
      <c r="H383" t="s">
        <v>788</v>
      </c>
      <c r="I383" s="3">
        <f>D383/(VLOOKUP(B383,'2025 Team'!$B$2:$G$33,3,FALSE))</f>
        <v>0</v>
      </c>
    </row>
    <row r="384" spans="1:9" x14ac:dyDescent="0.25">
      <c r="A384" t="s">
        <v>829</v>
      </c>
      <c r="B384" t="s">
        <v>14</v>
      </c>
      <c r="C384" t="s">
        <v>163</v>
      </c>
      <c r="D384" t="s">
        <v>417</v>
      </c>
      <c r="E384" t="s">
        <v>417</v>
      </c>
      <c r="F384" t="s">
        <v>417</v>
      </c>
      <c r="G384" s="3" t="e">
        <f t="shared" si="5"/>
        <v>#DIV/0!</v>
      </c>
      <c r="H384" t="s">
        <v>788</v>
      </c>
      <c r="I384" s="3">
        <f>D384/(VLOOKUP(B384,'2025 Team'!$B$2:$G$33,3,FALSE))</f>
        <v>0</v>
      </c>
    </row>
    <row r="385" spans="1:9" x14ac:dyDescent="0.25">
      <c r="A385" t="s">
        <v>830</v>
      </c>
      <c r="B385" t="s">
        <v>16</v>
      </c>
      <c r="C385" t="s">
        <v>163</v>
      </c>
      <c r="D385" t="s">
        <v>417</v>
      </c>
      <c r="E385" t="s">
        <v>417</v>
      </c>
      <c r="F385" t="s">
        <v>417</v>
      </c>
      <c r="G385" s="3" t="e">
        <f t="shared" si="5"/>
        <v>#DIV/0!</v>
      </c>
      <c r="H385" t="s">
        <v>788</v>
      </c>
      <c r="I385" s="3">
        <f>D385/(VLOOKUP(B385,'2025 Team'!$B$2:$G$33,3,FALSE))</f>
        <v>0</v>
      </c>
    </row>
    <row r="386" spans="1:9" x14ac:dyDescent="0.25">
      <c r="A386" t="s">
        <v>831</v>
      </c>
      <c r="B386" t="s">
        <v>16</v>
      </c>
      <c r="C386" t="s">
        <v>163</v>
      </c>
      <c r="D386" t="s">
        <v>417</v>
      </c>
      <c r="E386" t="s">
        <v>417</v>
      </c>
      <c r="F386" t="s">
        <v>417</v>
      </c>
      <c r="G386" s="3" t="e">
        <f t="shared" ref="G386:G449" si="6">F386/D386</f>
        <v>#DIV/0!</v>
      </c>
      <c r="H386" t="s">
        <v>788</v>
      </c>
      <c r="I386" s="3">
        <f>D386/(VLOOKUP(B386,'2025 Team'!$B$2:$G$33,3,FALSE))</f>
        <v>0</v>
      </c>
    </row>
    <row r="387" spans="1:9" x14ac:dyDescent="0.25">
      <c r="A387" t="s">
        <v>832</v>
      </c>
      <c r="B387" t="s">
        <v>16</v>
      </c>
      <c r="C387" t="s">
        <v>153</v>
      </c>
      <c r="D387" t="s">
        <v>417</v>
      </c>
      <c r="E387" t="s">
        <v>417</v>
      </c>
      <c r="F387" t="s">
        <v>417</v>
      </c>
      <c r="G387" s="3" t="e">
        <f t="shared" si="6"/>
        <v>#DIV/0!</v>
      </c>
      <c r="H387" t="s">
        <v>788</v>
      </c>
      <c r="I387" s="3">
        <f>D387/(VLOOKUP(B387,'2025 Team'!$B$2:$G$33,3,FALSE))</f>
        <v>0</v>
      </c>
    </row>
    <row r="388" spans="1:9" x14ac:dyDescent="0.25">
      <c r="A388" t="s">
        <v>833</v>
      </c>
      <c r="B388" t="s">
        <v>16</v>
      </c>
      <c r="C388" t="s">
        <v>163</v>
      </c>
      <c r="D388" t="s">
        <v>417</v>
      </c>
      <c r="E388" t="s">
        <v>417</v>
      </c>
      <c r="F388" t="s">
        <v>417</v>
      </c>
      <c r="G388" s="3" t="e">
        <f t="shared" si="6"/>
        <v>#DIV/0!</v>
      </c>
      <c r="H388" t="s">
        <v>788</v>
      </c>
      <c r="I388" s="3">
        <f>D388/(VLOOKUP(B388,'2025 Team'!$B$2:$G$33,3,FALSE))</f>
        <v>0</v>
      </c>
    </row>
    <row r="389" spans="1:9" x14ac:dyDescent="0.25">
      <c r="A389" t="s">
        <v>834</v>
      </c>
      <c r="B389" t="s">
        <v>16</v>
      </c>
      <c r="C389" t="s">
        <v>153</v>
      </c>
      <c r="D389" t="s">
        <v>417</v>
      </c>
      <c r="E389" t="s">
        <v>417</v>
      </c>
      <c r="F389" t="s">
        <v>417</v>
      </c>
      <c r="G389" s="3" t="e">
        <f t="shared" si="6"/>
        <v>#DIV/0!</v>
      </c>
      <c r="H389" t="s">
        <v>788</v>
      </c>
      <c r="I389" s="3">
        <f>D389/(VLOOKUP(B389,'2025 Team'!$B$2:$G$33,3,FALSE))</f>
        <v>0</v>
      </c>
    </row>
    <row r="390" spans="1:9" x14ac:dyDescent="0.25">
      <c r="A390" t="s">
        <v>835</v>
      </c>
      <c r="B390" t="s">
        <v>16</v>
      </c>
      <c r="C390" t="s">
        <v>163</v>
      </c>
      <c r="D390" t="s">
        <v>417</v>
      </c>
      <c r="E390" t="s">
        <v>417</v>
      </c>
      <c r="F390" t="s">
        <v>417</v>
      </c>
      <c r="G390" s="3" t="e">
        <f t="shared" si="6"/>
        <v>#DIV/0!</v>
      </c>
      <c r="H390" t="s">
        <v>788</v>
      </c>
      <c r="I390" s="3">
        <f>D390/(VLOOKUP(B390,'2025 Team'!$B$2:$G$33,3,FALSE))</f>
        <v>0</v>
      </c>
    </row>
    <row r="391" spans="1:9" x14ac:dyDescent="0.25">
      <c r="A391" t="s">
        <v>836</v>
      </c>
      <c r="B391" t="s">
        <v>16</v>
      </c>
      <c r="C391" t="s">
        <v>153</v>
      </c>
      <c r="D391" t="s">
        <v>417</v>
      </c>
      <c r="E391" t="s">
        <v>417</v>
      </c>
      <c r="F391" t="s">
        <v>417</v>
      </c>
      <c r="G391" s="3" t="e">
        <f t="shared" si="6"/>
        <v>#DIV/0!</v>
      </c>
      <c r="H391" t="s">
        <v>788</v>
      </c>
      <c r="I391" s="3">
        <f>D391/(VLOOKUP(B391,'2025 Team'!$B$2:$G$33,3,FALSE))</f>
        <v>0</v>
      </c>
    </row>
    <row r="392" spans="1:9" x14ac:dyDescent="0.25">
      <c r="A392" t="s">
        <v>837</v>
      </c>
      <c r="B392" t="s">
        <v>18</v>
      </c>
      <c r="C392" t="s">
        <v>163</v>
      </c>
      <c r="D392" t="s">
        <v>417</v>
      </c>
      <c r="E392" t="s">
        <v>417</v>
      </c>
      <c r="F392" t="s">
        <v>417</v>
      </c>
      <c r="G392" s="3" t="e">
        <f t="shared" si="6"/>
        <v>#DIV/0!</v>
      </c>
      <c r="H392" t="s">
        <v>788</v>
      </c>
      <c r="I392" s="3">
        <f>D392/(VLOOKUP(B392,'2025 Team'!$B$2:$G$33,3,FALSE))</f>
        <v>0</v>
      </c>
    </row>
    <row r="393" spans="1:9" x14ac:dyDescent="0.25">
      <c r="A393" t="s">
        <v>168</v>
      </c>
      <c r="B393" t="s">
        <v>18</v>
      </c>
      <c r="C393" t="s">
        <v>153</v>
      </c>
      <c r="D393" t="s">
        <v>417</v>
      </c>
      <c r="E393" t="s">
        <v>417</v>
      </c>
      <c r="F393" t="s">
        <v>417</v>
      </c>
      <c r="G393" s="3" t="e">
        <f t="shared" si="6"/>
        <v>#DIV/0!</v>
      </c>
      <c r="H393" t="s">
        <v>788</v>
      </c>
      <c r="I393" s="3">
        <f>D393/(VLOOKUP(B393,'2025 Team'!$B$2:$G$33,3,FALSE))</f>
        <v>0</v>
      </c>
    </row>
    <row r="394" spans="1:9" x14ac:dyDescent="0.25">
      <c r="A394" t="s">
        <v>838</v>
      </c>
      <c r="B394" t="s">
        <v>18</v>
      </c>
      <c r="C394" t="s">
        <v>163</v>
      </c>
      <c r="D394" t="s">
        <v>417</v>
      </c>
      <c r="E394" t="s">
        <v>417</v>
      </c>
      <c r="F394" t="s">
        <v>417</v>
      </c>
      <c r="G394" s="3" t="e">
        <f t="shared" si="6"/>
        <v>#DIV/0!</v>
      </c>
      <c r="H394" t="s">
        <v>788</v>
      </c>
      <c r="I394" s="3">
        <f>D394/(VLOOKUP(B394,'2025 Team'!$B$2:$G$33,3,FALSE))</f>
        <v>0</v>
      </c>
    </row>
    <row r="395" spans="1:9" x14ac:dyDescent="0.25">
      <c r="A395" t="s">
        <v>839</v>
      </c>
      <c r="B395" t="s">
        <v>18</v>
      </c>
      <c r="C395" t="s">
        <v>153</v>
      </c>
      <c r="D395" t="s">
        <v>417</v>
      </c>
      <c r="E395" t="s">
        <v>417</v>
      </c>
      <c r="F395" t="s">
        <v>417</v>
      </c>
      <c r="G395" s="3" t="e">
        <f t="shared" si="6"/>
        <v>#DIV/0!</v>
      </c>
      <c r="H395" t="s">
        <v>788</v>
      </c>
      <c r="I395" s="3">
        <f>D395/(VLOOKUP(B395,'2025 Team'!$B$2:$G$33,3,FALSE))</f>
        <v>0</v>
      </c>
    </row>
    <row r="396" spans="1:9" x14ac:dyDescent="0.25">
      <c r="A396" t="s">
        <v>840</v>
      </c>
      <c r="B396" t="s">
        <v>18</v>
      </c>
      <c r="C396" t="s">
        <v>163</v>
      </c>
      <c r="D396" t="s">
        <v>417</v>
      </c>
      <c r="E396" t="s">
        <v>417</v>
      </c>
      <c r="F396" t="s">
        <v>417</v>
      </c>
      <c r="G396" s="3" t="e">
        <f t="shared" si="6"/>
        <v>#DIV/0!</v>
      </c>
      <c r="H396" t="s">
        <v>788</v>
      </c>
      <c r="I396" s="3">
        <f>D396/(VLOOKUP(B396,'2025 Team'!$B$2:$G$33,3,FALSE))</f>
        <v>0</v>
      </c>
    </row>
    <row r="397" spans="1:9" x14ac:dyDescent="0.25">
      <c r="A397" t="s">
        <v>841</v>
      </c>
      <c r="B397" t="s">
        <v>20</v>
      </c>
      <c r="C397" t="s">
        <v>153</v>
      </c>
      <c r="D397" t="s">
        <v>417</v>
      </c>
      <c r="E397" t="s">
        <v>417</v>
      </c>
      <c r="F397" t="s">
        <v>417</v>
      </c>
      <c r="G397" s="3" t="e">
        <f t="shared" si="6"/>
        <v>#DIV/0!</v>
      </c>
      <c r="H397" t="s">
        <v>788</v>
      </c>
      <c r="I397" s="3">
        <f>D397/(VLOOKUP(B397,'2025 Team'!$B$2:$G$33,3,FALSE))</f>
        <v>0</v>
      </c>
    </row>
    <row r="398" spans="1:9" x14ac:dyDescent="0.25">
      <c r="A398" t="s">
        <v>842</v>
      </c>
      <c r="B398" t="s">
        <v>20</v>
      </c>
      <c r="C398" t="s">
        <v>843</v>
      </c>
      <c r="D398" t="s">
        <v>417</v>
      </c>
      <c r="E398" t="s">
        <v>417</v>
      </c>
      <c r="F398" t="s">
        <v>417</v>
      </c>
      <c r="G398" s="3" t="e">
        <f t="shared" si="6"/>
        <v>#DIV/0!</v>
      </c>
      <c r="H398" t="s">
        <v>788</v>
      </c>
      <c r="I398" s="3">
        <f>D398/(VLOOKUP(B398,'2025 Team'!$B$2:$G$33,3,FALSE))</f>
        <v>0</v>
      </c>
    </row>
    <row r="399" spans="1:9" x14ac:dyDescent="0.25">
      <c r="A399" t="s">
        <v>844</v>
      </c>
      <c r="B399" t="s">
        <v>20</v>
      </c>
      <c r="C399" t="s">
        <v>153</v>
      </c>
      <c r="D399" t="s">
        <v>417</v>
      </c>
      <c r="E399" t="s">
        <v>417</v>
      </c>
      <c r="F399" t="s">
        <v>417</v>
      </c>
      <c r="G399" s="3" t="e">
        <f t="shared" si="6"/>
        <v>#DIV/0!</v>
      </c>
      <c r="H399" t="s">
        <v>788</v>
      </c>
      <c r="I399" s="3">
        <f>D399/(VLOOKUP(B399,'2025 Team'!$B$2:$G$33,3,FALSE))</f>
        <v>0</v>
      </c>
    </row>
    <row r="400" spans="1:9" x14ac:dyDescent="0.25">
      <c r="A400" t="s">
        <v>845</v>
      </c>
      <c r="B400" t="s">
        <v>20</v>
      </c>
      <c r="C400" t="s">
        <v>153</v>
      </c>
      <c r="D400" t="s">
        <v>417</v>
      </c>
      <c r="E400" t="s">
        <v>417</v>
      </c>
      <c r="F400" t="s">
        <v>417</v>
      </c>
      <c r="G400" s="3" t="e">
        <f t="shared" si="6"/>
        <v>#DIV/0!</v>
      </c>
      <c r="H400" t="s">
        <v>788</v>
      </c>
      <c r="I400" s="3">
        <f>D400/(VLOOKUP(B400,'2025 Team'!$B$2:$G$33,3,FALSE))</f>
        <v>0</v>
      </c>
    </row>
    <row r="401" spans="1:9" x14ac:dyDescent="0.25">
      <c r="A401" t="s">
        <v>846</v>
      </c>
      <c r="B401" t="s">
        <v>20</v>
      </c>
      <c r="C401" t="s">
        <v>163</v>
      </c>
      <c r="D401" t="s">
        <v>417</v>
      </c>
      <c r="E401" t="s">
        <v>417</v>
      </c>
      <c r="F401" t="s">
        <v>417</v>
      </c>
      <c r="G401" s="3" t="e">
        <f t="shared" si="6"/>
        <v>#DIV/0!</v>
      </c>
      <c r="H401" t="s">
        <v>788</v>
      </c>
      <c r="I401" s="3">
        <f>D401/(VLOOKUP(B401,'2025 Team'!$B$2:$G$33,3,FALSE))</f>
        <v>0</v>
      </c>
    </row>
    <row r="402" spans="1:9" x14ac:dyDescent="0.25">
      <c r="A402" t="s">
        <v>847</v>
      </c>
      <c r="B402" t="s">
        <v>20</v>
      </c>
      <c r="C402" t="s">
        <v>153</v>
      </c>
      <c r="D402" t="s">
        <v>417</v>
      </c>
      <c r="E402" t="s">
        <v>417</v>
      </c>
      <c r="F402" t="s">
        <v>417</v>
      </c>
      <c r="G402" s="3" t="e">
        <f t="shared" si="6"/>
        <v>#DIV/0!</v>
      </c>
      <c r="H402" t="s">
        <v>788</v>
      </c>
      <c r="I402" s="3">
        <f>D402/(VLOOKUP(B402,'2025 Team'!$B$2:$G$33,3,FALSE))</f>
        <v>0</v>
      </c>
    </row>
    <row r="403" spans="1:9" x14ac:dyDescent="0.25">
      <c r="A403" t="s">
        <v>848</v>
      </c>
      <c r="B403" t="s">
        <v>20</v>
      </c>
      <c r="C403" t="s">
        <v>163</v>
      </c>
      <c r="D403" t="s">
        <v>417</v>
      </c>
      <c r="E403" t="s">
        <v>417</v>
      </c>
      <c r="F403" t="s">
        <v>417</v>
      </c>
      <c r="G403" s="3" t="e">
        <f t="shared" si="6"/>
        <v>#DIV/0!</v>
      </c>
      <c r="H403" t="s">
        <v>788</v>
      </c>
      <c r="I403" s="3">
        <f>D403/(VLOOKUP(B403,'2025 Team'!$B$2:$G$33,3,FALSE))</f>
        <v>0</v>
      </c>
    </row>
    <row r="404" spans="1:9" x14ac:dyDescent="0.25">
      <c r="A404" t="s">
        <v>849</v>
      </c>
      <c r="B404" t="s">
        <v>20</v>
      </c>
      <c r="C404" t="s">
        <v>163</v>
      </c>
      <c r="D404" t="s">
        <v>417</v>
      </c>
      <c r="E404" t="s">
        <v>417</v>
      </c>
      <c r="F404" t="s">
        <v>417</v>
      </c>
      <c r="G404" s="3" t="e">
        <f t="shared" si="6"/>
        <v>#DIV/0!</v>
      </c>
      <c r="H404" t="s">
        <v>788</v>
      </c>
      <c r="I404" s="3">
        <f>D404/(VLOOKUP(B404,'2025 Team'!$B$2:$G$33,3,FALSE))</f>
        <v>0</v>
      </c>
    </row>
    <row r="405" spans="1:9" x14ac:dyDescent="0.25">
      <c r="A405" t="s">
        <v>850</v>
      </c>
      <c r="B405" t="s">
        <v>22</v>
      </c>
      <c r="C405" t="s">
        <v>153</v>
      </c>
      <c r="D405" t="s">
        <v>417</v>
      </c>
      <c r="E405" t="s">
        <v>417</v>
      </c>
      <c r="F405" t="s">
        <v>417</v>
      </c>
      <c r="G405" s="3" t="e">
        <f t="shared" si="6"/>
        <v>#DIV/0!</v>
      </c>
      <c r="H405" t="s">
        <v>788</v>
      </c>
      <c r="I405" s="3">
        <f>D405/(VLOOKUP(B405,'2025 Team'!$B$2:$G$33,3,FALSE))</f>
        <v>0</v>
      </c>
    </row>
    <row r="406" spans="1:9" x14ac:dyDescent="0.25">
      <c r="A406" t="s">
        <v>851</v>
      </c>
      <c r="B406" t="s">
        <v>22</v>
      </c>
      <c r="C406" t="s">
        <v>153</v>
      </c>
      <c r="D406" t="s">
        <v>417</v>
      </c>
      <c r="E406" t="s">
        <v>417</v>
      </c>
      <c r="F406" t="s">
        <v>417</v>
      </c>
      <c r="G406" s="3" t="e">
        <f t="shared" si="6"/>
        <v>#DIV/0!</v>
      </c>
      <c r="H406" t="s">
        <v>788</v>
      </c>
      <c r="I406" s="3">
        <f>D406/(VLOOKUP(B406,'2025 Team'!$B$2:$G$33,3,FALSE))</f>
        <v>0</v>
      </c>
    </row>
    <row r="407" spans="1:9" x14ac:dyDescent="0.25">
      <c r="A407" t="s">
        <v>852</v>
      </c>
      <c r="B407" t="s">
        <v>22</v>
      </c>
      <c r="C407" t="s">
        <v>153</v>
      </c>
      <c r="D407" t="s">
        <v>417</v>
      </c>
      <c r="E407" t="s">
        <v>417</v>
      </c>
      <c r="F407" t="s">
        <v>417</v>
      </c>
      <c r="G407" s="3" t="e">
        <f t="shared" si="6"/>
        <v>#DIV/0!</v>
      </c>
      <c r="H407" t="s">
        <v>788</v>
      </c>
      <c r="I407" s="3">
        <f>D407/(VLOOKUP(B407,'2025 Team'!$B$2:$G$33,3,FALSE))</f>
        <v>0</v>
      </c>
    </row>
    <row r="408" spans="1:9" x14ac:dyDescent="0.25">
      <c r="A408" t="s">
        <v>853</v>
      </c>
      <c r="B408" t="s">
        <v>22</v>
      </c>
      <c r="C408" t="s">
        <v>163</v>
      </c>
      <c r="D408" t="s">
        <v>417</v>
      </c>
      <c r="E408" t="s">
        <v>417</v>
      </c>
      <c r="F408" t="s">
        <v>417</v>
      </c>
      <c r="G408" s="3" t="e">
        <f t="shared" si="6"/>
        <v>#DIV/0!</v>
      </c>
      <c r="H408" t="s">
        <v>788</v>
      </c>
      <c r="I408" s="3">
        <f>D408/(VLOOKUP(B408,'2025 Team'!$B$2:$G$33,3,FALSE))</f>
        <v>0</v>
      </c>
    </row>
    <row r="409" spans="1:9" x14ac:dyDescent="0.25">
      <c r="A409" t="s">
        <v>854</v>
      </c>
      <c r="B409" t="s">
        <v>22</v>
      </c>
      <c r="C409" t="s">
        <v>163</v>
      </c>
      <c r="D409" t="s">
        <v>417</v>
      </c>
      <c r="E409" t="s">
        <v>417</v>
      </c>
      <c r="F409" t="s">
        <v>417</v>
      </c>
      <c r="G409" s="3" t="e">
        <f t="shared" si="6"/>
        <v>#DIV/0!</v>
      </c>
      <c r="H409" t="s">
        <v>788</v>
      </c>
      <c r="I409" s="3">
        <f>D409/(VLOOKUP(B409,'2025 Team'!$B$2:$G$33,3,FALSE))</f>
        <v>0</v>
      </c>
    </row>
    <row r="410" spans="1:9" x14ac:dyDescent="0.25">
      <c r="A410" t="s">
        <v>855</v>
      </c>
      <c r="B410" t="s">
        <v>22</v>
      </c>
      <c r="C410" t="s">
        <v>153</v>
      </c>
      <c r="D410" t="s">
        <v>417</v>
      </c>
      <c r="E410" t="s">
        <v>417</v>
      </c>
      <c r="F410" t="s">
        <v>417</v>
      </c>
      <c r="G410" s="3" t="e">
        <f t="shared" si="6"/>
        <v>#DIV/0!</v>
      </c>
      <c r="H410" t="s">
        <v>788</v>
      </c>
      <c r="I410" s="3">
        <f>D410/(VLOOKUP(B410,'2025 Team'!$B$2:$G$33,3,FALSE))</f>
        <v>0</v>
      </c>
    </row>
    <row r="411" spans="1:9" x14ac:dyDescent="0.25">
      <c r="A411" t="s">
        <v>856</v>
      </c>
      <c r="B411" t="s">
        <v>22</v>
      </c>
      <c r="C411" t="s">
        <v>857</v>
      </c>
      <c r="D411" t="s">
        <v>417</v>
      </c>
      <c r="E411" t="s">
        <v>417</v>
      </c>
      <c r="F411" t="s">
        <v>417</v>
      </c>
      <c r="G411" s="3" t="e">
        <f t="shared" si="6"/>
        <v>#DIV/0!</v>
      </c>
      <c r="H411" t="s">
        <v>788</v>
      </c>
      <c r="I411" s="3">
        <f>D411/(VLOOKUP(B411,'2025 Team'!$B$2:$G$33,3,FALSE))</f>
        <v>0</v>
      </c>
    </row>
    <row r="412" spans="1:9" x14ac:dyDescent="0.25">
      <c r="A412" t="s">
        <v>858</v>
      </c>
      <c r="B412" t="s">
        <v>24</v>
      </c>
      <c r="C412" t="s">
        <v>163</v>
      </c>
      <c r="D412" t="s">
        <v>417</v>
      </c>
      <c r="E412" t="s">
        <v>417</v>
      </c>
      <c r="F412" t="s">
        <v>417</v>
      </c>
      <c r="G412" s="3" t="e">
        <f t="shared" si="6"/>
        <v>#DIV/0!</v>
      </c>
      <c r="H412" t="s">
        <v>788</v>
      </c>
      <c r="I412" s="3">
        <f>D412/(VLOOKUP(B412,'2025 Team'!$B$2:$G$33,3,FALSE))</f>
        <v>0</v>
      </c>
    </row>
    <row r="413" spans="1:9" x14ac:dyDescent="0.25">
      <c r="A413" t="s">
        <v>859</v>
      </c>
      <c r="B413" t="s">
        <v>24</v>
      </c>
      <c r="C413" t="s">
        <v>163</v>
      </c>
      <c r="D413" t="s">
        <v>417</v>
      </c>
      <c r="E413" t="s">
        <v>417</v>
      </c>
      <c r="F413" t="s">
        <v>417</v>
      </c>
      <c r="G413" s="3" t="e">
        <f t="shared" si="6"/>
        <v>#DIV/0!</v>
      </c>
      <c r="H413" t="s">
        <v>788</v>
      </c>
      <c r="I413" s="3">
        <f>D413/(VLOOKUP(B413,'2025 Team'!$B$2:$G$33,3,FALSE))</f>
        <v>0</v>
      </c>
    </row>
    <row r="414" spans="1:9" x14ac:dyDescent="0.25">
      <c r="A414" t="s">
        <v>860</v>
      </c>
      <c r="B414" t="s">
        <v>24</v>
      </c>
      <c r="C414" t="s">
        <v>153</v>
      </c>
      <c r="D414" t="s">
        <v>417</v>
      </c>
      <c r="E414" t="s">
        <v>417</v>
      </c>
      <c r="F414" t="s">
        <v>417</v>
      </c>
      <c r="G414" s="3" t="e">
        <f t="shared" si="6"/>
        <v>#DIV/0!</v>
      </c>
      <c r="H414" t="s">
        <v>788</v>
      </c>
      <c r="I414" s="3">
        <f>D414/(VLOOKUP(B414,'2025 Team'!$B$2:$G$33,3,FALSE))</f>
        <v>0</v>
      </c>
    </row>
    <row r="415" spans="1:9" x14ac:dyDescent="0.25">
      <c r="A415" t="s">
        <v>861</v>
      </c>
      <c r="B415" t="s">
        <v>24</v>
      </c>
      <c r="C415" t="s">
        <v>153</v>
      </c>
      <c r="D415" t="s">
        <v>417</v>
      </c>
      <c r="E415" t="s">
        <v>417</v>
      </c>
      <c r="F415" t="s">
        <v>417</v>
      </c>
      <c r="G415" s="3" t="e">
        <f t="shared" si="6"/>
        <v>#DIV/0!</v>
      </c>
      <c r="H415" t="s">
        <v>788</v>
      </c>
      <c r="I415" s="3">
        <f>D415/(VLOOKUP(B415,'2025 Team'!$B$2:$G$33,3,FALSE))</f>
        <v>0</v>
      </c>
    </row>
    <row r="416" spans="1:9" x14ac:dyDescent="0.25">
      <c r="A416" t="s">
        <v>862</v>
      </c>
      <c r="B416" t="s">
        <v>24</v>
      </c>
      <c r="C416" t="s">
        <v>163</v>
      </c>
      <c r="D416" t="s">
        <v>417</v>
      </c>
      <c r="E416" t="s">
        <v>417</v>
      </c>
      <c r="F416" t="s">
        <v>417</v>
      </c>
      <c r="G416" s="3" t="e">
        <f t="shared" si="6"/>
        <v>#DIV/0!</v>
      </c>
      <c r="H416" t="s">
        <v>788</v>
      </c>
      <c r="I416" s="3">
        <f>D416/(VLOOKUP(B416,'2025 Team'!$B$2:$G$33,3,FALSE))</f>
        <v>0</v>
      </c>
    </row>
    <row r="417" spans="1:9" x14ac:dyDescent="0.25">
      <c r="A417" t="s">
        <v>863</v>
      </c>
      <c r="B417" t="s">
        <v>26</v>
      </c>
      <c r="C417" t="s">
        <v>153</v>
      </c>
      <c r="D417" t="s">
        <v>417</v>
      </c>
      <c r="E417" t="s">
        <v>417</v>
      </c>
      <c r="F417" t="s">
        <v>417</v>
      </c>
      <c r="G417" s="3" t="e">
        <f t="shared" si="6"/>
        <v>#DIV/0!</v>
      </c>
      <c r="H417" t="s">
        <v>788</v>
      </c>
      <c r="I417" s="3">
        <f>D417/(VLOOKUP(B417,'2025 Team'!$B$2:$G$33,3,FALSE))</f>
        <v>0</v>
      </c>
    </row>
    <row r="418" spans="1:9" x14ac:dyDescent="0.25">
      <c r="A418" t="s">
        <v>864</v>
      </c>
      <c r="B418" t="s">
        <v>26</v>
      </c>
      <c r="C418" t="s">
        <v>163</v>
      </c>
      <c r="D418" t="s">
        <v>417</v>
      </c>
      <c r="E418" t="s">
        <v>417</v>
      </c>
      <c r="F418" t="s">
        <v>417</v>
      </c>
      <c r="G418" s="3" t="e">
        <f t="shared" si="6"/>
        <v>#DIV/0!</v>
      </c>
      <c r="H418" t="s">
        <v>788</v>
      </c>
      <c r="I418" s="3">
        <f>D418/(VLOOKUP(B418,'2025 Team'!$B$2:$G$33,3,FALSE))</f>
        <v>0</v>
      </c>
    </row>
    <row r="419" spans="1:9" x14ac:dyDescent="0.25">
      <c r="A419" t="s">
        <v>865</v>
      </c>
      <c r="B419" t="s">
        <v>26</v>
      </c>
      <c r="C419" t="s">
        <v>805</v>
      </c>
      <c r="D419" t="s">
        <v>417</v>
      </c>
      <c r="E419" t="s">
        <v>417</v>
      </c>
      <c r="F419" t="s">
        <v>417</v>
      </c>
      <c r="G419" s="3" t="e">
        <f t="shared" si="6"/>
        <v>#DIV/0!</v>
      </c>
      <c r="H419" t="s">
        <v>788</v>
      </c>
      <c r="I419" s="3">
        <f>D419/(VLOOKUP(B419,'2025 Team'!$B$2:$G$33,3,FALSE))</f>
        <v>0</v>
      </c>
    </row>
    <row r="420" spans="1:9" x14ac:dyDescent="0.25">
      <c r="A420" t="s">
        <v>866</v>
      </c>
      <c r="B420" t="s">
        <v>26</v>
      </c>
      <c r="C420" t="s">
        <v>163</v>
      </c>
      <c r="D420" t="s">
        <v>417</v>
      </c>
      <c r="E420" t="s">
        <v>417</v>
      </c>
      <c r="F420" t="s">
        <v>417</v>
      </c>
      <c r="G420" s="3" t="e">
        <f t="shared" si="6"/>
        <v>#DIV/0!</v>
      </c>
      <c r="H420" t="s">
        <v>788</v>
      </c>
      <c r="I420" s="3">
        <f>D420/(VLOOKUP(B420,'2025 Team'!$B$2:$G$33,3,FALSE))</f>
        <v>0</v>
      </c>
    </row>
    <row r="421" spans="1:9" x14ac:dyDescent="0.25">
      <c r="A421" t="s">
        <v>867</v>
      </c>
      <c r="B421" t="s">
        <v>26</v>
      </c>
      <c r="C421" t="s">
        <v>163</v>
      </c>
      <c r="D421" t="s">
        <v>417</v>
      </c>
      <c r="E421" t="s">
        <v>417</v>
      </c>
      <c r="F421" t="s">
        <v>417</v>
      </c>
      <c r="G421" s="3" t="e">
        <f t="shared" si="6"/>
        <v>#DIV/0!</v>
      </c>
      <c r="H421" t="s">
        <v>788</v>
      </c>
      <c r="I421" s="3">
        <f>D421/(VLOOKUP(B421,'2025 Team'!$B$2:$G$33,3,FALSE))</f>
        <v>0</v>
      </c>
    </row>
    <row r="422" spans="1:9" x14ac:dyDescent="0.25">
      <c r="A422" t="s">
        <v>868</v>
      </c>
      <c r="B422" t="s">
        <v>26</v>
      </c>
      <c r="C422" t="s">
        <v>153</v>
      </c>
      <c r="D422" t="s">
        <v>417</v>
      </c>
      <c r="E422" t="s">
        <v>417</v>
      </c>
      <c r="F422" t="s">
        <v>417</v>
      </c>
      <c r="G422" s="3" t="e">
        <f t="shared" si="6"/>
        <v>#DIV/0!</v>
      </c>
      <c r="H422" t="s">
        <v>788</v>
      </c>
      <c r="I422" s="3">
        <f>D422/(VLOOKUP(B422,'2025 Team'!$B$2:$G$33,3,FALSE))</f>
        <v>0</v>
      </c>
    </row>
    <row r="423" spans="1:9" x14ac:dyDescent="0.25">
      <c r="A423" t="s">
        <v>797</v>
      </c>
      <c r="B423" t="s">
        <v>26</v>
      </c>
      <c r="C423" t="s">
        <v>163</v>
      </c>
      <c r="D423" t="s">
        <v>417</v>
      </c>
      <c r="E423" t="s">
        <v>417</v>
      </c>
      <c r="F423" t="s">
        <v>417</v>
      </c>
      <c r="G423" s="3" t="e">
        <f t="shared" si="6"/>
        <v>#DIV/0!</v>
      </c>
      <c r="H423" t="s">
        <v>788</v>
      </c>
      <c r="I423" s="3">
        <f>D423/(VLOOKUP(B423,'2025 Team'!$B$2:$G$33,3,FALSE))</f>
        <v>0</v>
      </c>
    </row>
    <row r="424" spans="1:9" x14ac:dyDescent="0.25">
      <c r="A424" t="s">
        <v>184</v>
      </c>
      <c r="B424" t="s">
        <v>26</v>
      </c>
      <c r="C424" t="s">
        <v>163</v>
      </c>
      <c r="D424" t="s">
        <v>417</v>
      </c>
      <c r="E424" t="s">
        <v>417</v>
      </c>
      <c r="F424" t="s">
        <v>417</v>
      </c>
      <c r="G424" s="3" t="e">
        <f t="shared" si="6"/>
        <v>#DIV/0!</v>
      </c>
      <c r="H424" t="s">
        <v>788</v>
      </c>
      <c r="I424" s="3">
        <f>D424/(VLOOKUP(B424,'2025 Team'!$B$2:$G$33,3,FALSE))</f>
        <v>0</v>
      </c>
    </row>
    <row r="425" spans="1:9" x14ac:dyDescent="0.25">
      <c r="A425" t="s">
        <v>869</v>
      </c>
      <c r="B425" t="s">
        <v>26</v>
      </c>
      <c r="C425" t="s">
        <v>153</v>
      </c>
      <c r="D425" t="s">
        <v>417</v>
      </c>
      <c r="E425" t="s">
        <v>417</v>
      </c>
      <c r="F425" t="s">
        <v>417</v>
      </c>
      <c r="G425" s="3" t="e">
        <f t="shared" si="6"/>
        <v>#DIV/0!</v>
      </c>
      <c r="H425" t="s">
        <v>788</v>
      </c>
      <c r="I425" s="3">
        <f>D425/(VLOOKUP(B425,'2025 Team'!$B$2:$G$33,3,FALSE))</f>
        <v>0</v>
      </c>
    </row>
    <row r="426" spans="1:9" x14ac:dyDescent="0.25">
      <c r="A426" t="s">
        <v>870</v>
      </c>
      <c r="B426" t="s">
        <v>28</v>
      </c>
      <c r="C426" t="s">
        <v>153</v>
      </c>
      <c r="D426" t="s">
        <v>417</v>
      </c>
      <c r="E426" t="s">
        <v>417</v>
      </c>
      <c r="F426" t="s">
        <v>417</v>
      </c>
      <c r="G426" s="3" t="e">
        <f t="shared" si="6"/>
        <v>#DIV/0!</v>
      </c>
      <c r="H426" t="s">
        <v>788</v>
      </c>
      <c r="I426" s="3">
        <f>D426/(VLOOKUP(B426,'2025 Team'!$B$2:$G$33,3,FALSE))</f>
        <v>0</v>
      </c>
    </row>
    <row r="427" spans="1:9" x14ac:dyDescent="0.25">
      <c r="A427" t="s">
        <v>871</v>
      </c>
      <c r="B427" t="s">
        <v>28</v>
      </c>
      <c r="C427" t="s">
        <v>153</v>
      </c>
      <c r="D427" t="s">
        <v>417</v>
      </c>
      <c r="E427" t="s">
        <v>417</v>
      </c>
      <c r="F427" t="s">
        <v>417</v>
      </c>
      <c r="G427" s="3" t="e">
        <f t="shared" si="6"/>
        <v>#DIV/0!</v>
      </c>
      <c r="H427" t="s">
        <v>788</v>
      </c>
      <c r="I427" s="3">
        <f>D427/(VLOOKUP(B427,'2025 Team'!$B$2:$G$33,3,FALSE))</f>
        <v>0</v>
      </c>
    </row>
    <row r="428" spans="1:9" x14ac:dyDescent="0.25">
      <c r="A428" t="s">
        <v>872</v>
      </c>
      <c r="B428" t="s">
        <v>28</v>
      </c>
      <c r="C428" t="s">
        <v>163</v>
      </c>
      <c r="D428" t="s">
        <v>417</v>
      </c>
      <c r="E428" t="s">
        <v>417</v>
      </c>
      <c r="F428" t="s">
        <v>417</v>
      </c>
      <c r="G428" s="3" t="e">
        <f t="shared" si="6"/>
        <v>#DIV/0!</v>
      </c>
      <c r="H428" t="s">
        <v>788</v>
      </c>
      <c r="I428" s="3">
        <f>D428/(VLOOKUP(B428,'2025 Team'!$B$2:$G$33,3,FALSE))</f>
        <v>0</v>
      </c>
    </row>
    <row r="429" spans="1:9" x14ac:dyDescent="0.25">
      <c r="A429" t="s">
        <v>873</v>
      </c>
      <c r="B429" t="s">
        <v>28</v>
      </c>
      <c r="C429" t="s">
        <v>153</v>
      </c>
      <c r="D429" t="s">
        <v>417</v>
      </c>
      <c r="E429" t="s">
        <v>417</v>
      </c>
      <c r="F429" t="s">
        <v>417</v>
      </c>
      <c r="G429" s="3" t="e">
        <f t="shared" si="6"/>
        <v>#DIV/0!</v>
      </c>
      <c r="H429" t="s">
        <v>788</v>
      </c>
      <c r="I429" s="3">
        <f>D429/(VLOOKUP(B429,'2025 Team'!$B$2:$G$33,3,FALSE))</f>
        <v>0</v>
      </c>
    </row>
    <row r="430" spans="1:9" x14ac:dyDescent="0.25">
      <c r="A430" t="s">
        <v>874</v>
      </c>
      <c r="B430" t="s">
        <v>28</v>
      </c>
      <c r="C430" t="s">
        <v>153</v>
      </c>
      <c r="D430" t="s">
        <v>417</v>
      </c>
      <c r="E430" t="s">
        <v>417</v>
      </c>
      <c r="F430" t="s">
        <v>417</v>
      </c>
      <c r="G430" s="3" t="e">
        <f t="shared" si="6"/>
        <v>#DIV/0!</v>
      </c>
      <c r="H430" t="s">
        <v>788</v>
      </c>
      <c r="I430" s="3">
        <f>D430/(VLOOKUP(B430,'2025 Team'!$B$2:$G$33,3,FALSE))</f>
        <v>0</v>
      </c>
    </row>
    <row r="431" spans="1:9" x14ac:dyDescent="0.25">
      <c r="A431" t="s">
        <v>875</v>
      </c>
      <c r="B431" t="s">
        <v>28</v>
      </c>
      <c r="C431" t="s">
        <v>163</v>
      </c>
      <c r="D431" t="s">
        <v>417</v>
      </c>
      <c r="E431" t="s">
        <v>417</v>
      </c>
      <c r="F431" t="s">
        <v>417</v>
      </c>
      <c r="G431" s="3" t="e">
        <f t="shared" si="6"/>
        <v>#DIV/0!</v>
      </c>
      <c r="H431" t="s">
        <v>788</v>
      </c>
      <c r="I431" s="3">
        <f>D431/(VLOOKUP(B431,'2025 Team'!$B$2:$G$33,3,FALSE))</f>
        <v>0</v>
      </c>
    </row>
    <row r="432" spans="1:9" x14ac:dyDescent="0.25">
      <c r="A432" t="s">
        <v>876</v>
      </c>
      <c r="B432" t="s">
        <v>28</v>
      </c>
      <c r="C432" t="s">
        <v>153</v>
      </c>
      <c r="D432" t="s">
        <v>417</v>
      </c>
      <c r="E432" t="s">
        <v>417</v>
      </c>
      <c r="F432" t="s">
        <v>417</v>
      </c>
      <c r="G432" s="3" t="e">
        <f t="shared" si="6"/>
        <v>#DIV/0!</v>
      </c>
      <c r="H432" t="s">
        <v>788</v>
      </c>
      <c r="I432" s="3">
        <f>D432/(VLOOKUP(B432,'2025 Team'!$B$2:$G$33,3,FALSE))</f>
        <v>0</v>
      </c>
    </row>
    <row r="433" spans="1:9" x14ac:dyDescent="0.25">
      <c r="A433" t="s">
        <v>877</v>
      </c>
      <c r="B433" t="s">
        <v>28</v>
      </c>
      <c r="C433" t="s">
        <v>153</v>
      </c>
      <c r="D433" t="s">
        <v>417</v>
      </c>
      <c r="E433" t="s">
        <v>417</v>
      </c>
      <c r="F433" t="s">
        <v>417</v>
      </c>
      <c r="G433" s="3" t="e">
        <f t="shared" si="6"/>
        <v>#DIV/0!</v>
      </c>
      <c r="H433" t="s">
        <v>788</v>
      </c>
      <c r="I433" s="3">
        <f>D433/(VLOOKUP(B433,'2025 Team'!$B$2:$G$33,3,FALSE))</f>
        <v>0</v>
      </c>
    </row>
    <row r="434" spans="1:9" x14ac:dyDescent="0.25">
      <c r="A434" t="s">
        <v>878</v>
      </c>
      <c r="B434" t="s">
        <v>30</v>
      </c>
      <c r="C434" t="s">
        <v>153</v>
      </c>
      <c r="D434" t="s">
        <v>417</v>
      </c>
      <c r="E434" t="s">
        <v>417</v>
      </c>
      <c r="F434" t="s">
        <v>417</v>
      </c>
      <c r="G434" s="3" t="e">
        <f t="shared" si="6"/>
        <v>#DIV/0!</v>
      </c>
      <c r="H434" t="s">
        <v>788</v>
      </c>
      <c r="I434" s="3">
        <f>D434/(VLOOKUP(B434,'2025 Team'!$B$2:$G$33,3,FALSE))</f>
        <v>0</v>
      </c>
    </row>
    <row r="435" spans="1:9" x14ac:dyDescent="0.25">
      <c r="A435" t="s">
        <v>879</v>
      </c>
      <c r="B435" t="s">
        <v>30</v>
      </c>
      <c r="C435" t="s">
        <v>163</v>
      </c>
      <c r="D435" t="s">
        <v>417</v>
      </c>
      <c r="E435" t="s">
        <v>417</v>
      </c>
      <c r="F435" t="s">
        <v>417</v>
      </c>
      <c r="G435" s="3" t="e">
        <f t="shared" si="6"/>
        <v>#DIV/0!</v>
      </c>
      <c r="H435" t="s">
        <v>788</v>
      </c>
      <c r="I435" s="3">
        <f>D435/(VLOOKUP(B435,'2025 Team'!$B$2:$G$33,3,FALSE))</f>
        <v>0</v>
      </c>
    </row>
    <row r="436" spans="1:9" x14ac:dyDescent="0.25">
      <c r="A436" t="s">
        <v>880</v>
      </c>
      <c r="B436" t="s">
        <v>30</v>
      </c>
      <c r="C436" t="s">
        <v>153</v>
      </c>
      <c r="D436" t="s">
        <v>417</v>
      </c>
      <c r="E436" t="s">
        <v>417</v>
      </c>
      <c r="F436" t="s">
        <v>417</v>
      </c>
      <c r="G436" s="3" t="e">
        <f t="shared" si="6"/>
        <v>#DIV/0!</v>
      </c>
      <c r="H436" t="s">
        <v>788</v>
      </c>
      <c r="I436" s="3">
        <f>D436/(VLOOKUP(B436,'2025 Team'!$B$2:$G$33,3,FALSE))</f>
        <v>0</v>
      </c>
    </row>
    <row r="437" spans="1:9" x14ac:dyDescent="0.25">
      <c r="A437" t="s">
        <v>881</v>
      </c>
      <c r="B437" t="s">
        <v>30</v>
      </c>
      <c r="C437" t="s">
        <v>163</v>
      </c>
      <c r="D437" t="s">
        <v>417</v>
      </c>
      <c r="E437" t="s">
        <v>417</v>
      </c>
      <c r="F437" t="s">
        <v>417</v>
      </c>
      <c r="G437" s="3" t="e">
        <f t="shared" si="6"/>
        <v>#DIV/0!</v>
      </c>
      <c r="H437" t="s">
        <v>788</v>
      </c>
      <c r="I437" s="3">
        <f>D437/(VLOOKUP(B437,'2025 Team'!$B$2:$G$33,3,FALSE))</f>
        <v>0</v>
      </c>
    </row>
    <row r="438" spans="1:9" x14ac:dyDescent="0.25">
      <c r="A438" t="s">
        <v>882</v>
      </c>
      <c r="B438" t="s">
        <v>30</v>
      </c>
      <c r="C438" t="s">
        <v>163</v>
      </c>
      <c r="D438" t="s">
        <v>417</v>
      </c>
      <c r="E438" t="s">
        <v>417</v>
      </c>
      <c r="F438" t="s">
        <v>417</v>
      </c>
      <c r="G438" s="3" t="e">
        <f t="shared" si="6"/>
        <v>#DIV/0!</v>
      </c>
      <c r="H438" t="s">
        <v>788</v>
      </c>
      <c r="I438" s="3">
        <f>D438/(VLOOKUP(B438,'2025 Team'!$B$2:$G$33,3,FALSE))</f>
        <v>0</v>
      </c>
    </row>
    <row r="439" spans="1:9" x14ac:dyDescent="0.25">
      <c r="A439" t="s">
        <v>883</v>
      </c>
      <c r="B439" t="s">
        <v>30</v>
      </c>
      <c r="C439" t="s">
        <v>153</v>
      </c>
      <c r="D439" t="s">
        <v>417</v>
      </c>
      <c r="E439" t="s">
        <v>417</v>
      </c>
      <c r="F439" t="s">
        <v>417</v>
      </c>
      <c r="G439" s="3" t="e">
        <f t="shared" si="6"/>
        <v>#DIV/0!</v>
      </c>
      <c r="H439" t="s">
        <v>788</v>
      </c>
      <c r="I439" s="3">
        <f>D439/(VLOOKUP(B439,'2025 Team'!$B$2:$G$33,3,FALSE))</f>
        <v>0</v>
      </c>
    </row>
    <row r="440" spans="1:9" x14ac:dyDescent="0.25">
      <c r="A440" t="s">
        <v>884</v>
      </c>
      <c r="B440" t="s">
        <v>30</v>
      </c>
      <c r="C440" t="s">
        <v>153</v>
      </c>
      <c r="D440" t="s">
        <v>417</v>
      </c>
      <c r="E440" t="s">
        <v>417</v>
      </c>
      <c r="F440" t="s">
        <v>417</v>
      </c>
      <c r="G440" s="3" t="e">
        <f t="shared" si="6"/>
        <v>#DIV/0!</v>
      </c>
      <c r="H440" t="s">
        <v>788</v>
      </c>
      <c r="I440" s="3">
        <f>D440/(VLOOKUP(B440,'2025 Team'!$B$2:$G$33,3,FALSE))</f>
        <v>0</v>
      </c>
    </row>
    <row r="441" spans="1:9" x14ac:dyDescent="0.25">
      <c r="A441" t="s">
        <v>850</v>
      </c>
      <c r="B441" t="s">
        <v>32</v>
      </c>
      <c r="C441" t="s">
        <v>153</v>
      </c>
      <c r="D441" t="s">
        <v>417</v>
      </c>
      <c r="E441" t="s">
        <v>417</v>
      </c>
      <c r="F441" t="s">
        <v>417</v>
      </c>
      <c r="G441" s="3" t="e">
        <f t="shared" si="6"/>
        <v>#DIV/0!</v>
      </c>
      <c r="H441" t="s">
        <v>788</v>
      </c>
      <c r="I441" s="3">
        <f>D441/(VLOOKUP(B441,'2025 Team'!$B$2:$G$33,3,FALSE))</f>
        <v>0</v>
      </c>
    </row>
    <row r="442" spans="1:9" x14ac:dyDescent="0.25">
      <c r="A442" t="s">
        <v>885</v>
      </c>
      <c r="B442" t="s">
        <v>32</v>
      </c>
      <c r="C442" t="s">
        <v>163</v>
      </c>
      <c r="D442" t="s">
        <v>417</v>
      </c>
      <c r="E442" t="s">
        <v>417</v>
      </c>
      <c r="F442" t="s">
        <v>417</v>
      </c>
      <c r="G442" s="3" t="e">
        <f t="shared" si="6"/>
        <v>#DIV/0!</v>
      </c>
      <c r="H442" t="s">
        <v>788</v>
      </c>
      <c r="I442" s="3">
        <f>D442/(VLOOKUP(B442,'2025 Team'!$B$2:$G$33,3,FALSE))</f>
        <v>0</v>
      </c>
    </row>
    <row r="443" spans="1:9" x14ac:dyDescent="0.25">
      <c r="A443" t="s">
        <v>886</v>
      </c>
      <c r="B443" t="s">
        <v>32</v>
      </c>
      <c r="C443" t="s">
        <v>153</v>
      </c>
      <c r="D443" t="s">
        <v>417</v>
      </c>
      <c r="E443" t="s">
        <v>417</v>
      </c>
      <c r="F443" t="s">
        <v>417</v>
      </c>
      <c r="G443" s="3" t="e">
        <f t="shared" si="6"/>
        <v>#DIV/0!</v>
      </c>
      <c r="H443" t="s">
        <v>788</v>
      </c>
      <c r="I443" s="3">
        <f>D443/(VLOOKUP(B443,'2025 Team'!$B$2:$G$33,3,FALSE))</f>
        <v>0</v>
      </c>
    </row>
    <row r="444" spans="1:9" x14ac:dyDescent="0.25">
      <c r="A444" t="s">
        <v>887</v>
      </c>
      <c r="B444" t="s">
        <v>32</v>
      </c>
      <c r="C444" t="s">
        <v>163</v>
      </c>
      <c r="D444" t="s">
        <v>417</v>
      </c>
      <c r="E444" t="s">
        <v>417</v>
      </c>
      <c r="F444" t="s">
        <v>417</v>
      </c>
      <c r="G444" s="3" t="e">
        <f t="shared" si="6"/>
        <v>#DIV/0!</v>
      </c>
      <c r="H444" t="s">
        <v>788</v>
      </c>
      <c r="I444" s="3">
        <f>D444/(VLOOKUP(B444,'2025 Team'!$B$2:$G$33,3,FALSE))</f>
        <v>0</v>
      </c>
    </row>
    <row r="445" spans="1:9" x14ac:dyDescent="0.25">
      <c r="A445" t="s">
        <v>888</v>
      </c>
      <c r="B445" t="s">
        <v>32</v>
      </c>
      <c r="C445" t="s">
        <v>163</v>
      </c>
      <c r="D445" t="s">
        <v>417</v>
      </c>
      <c r="E445" t="s">
        <v>417</v>
      </c>
      <c r="F445" t="s">
        <v>417</v>
      </c>
      <c r="G445" s="3" t="e">
        <f t="shared" si="6"/>
        <v>#DIV/0!</v>
      </c>
      <c r="H445" t="s">
        <v>788</v>
      </c>
      <c r="I445" s="3">
        <f>D445/(VLOOKUP(B445,'2025 Team'!$B$2:$G$33,3,FALSE))</f>
        <v>0</v>
      </c>
    </row>
    <row r="446" spans="1:9" x14ac:dyDescent="0.25">
      <c r="A446" t="s">
        <v>889</v>
      </c>
      <c r="B446" t="s">
        <v>32</v>
      </c>
      <c r="C446" t="s">
        <v>153</v>
      </c>
      <c r="D446" t="s">
        <v>417</v>
      </c>
      <c r="E446" t="s">
        <v>417</v>
      </c>
      <c r="F446" t="s">
        <v>417</v>
      </c>
      <c r="G446" s="3" t="e">
        <f t="shared" si="6"/>
        <v>#DIV/0!</v>
      </c>
      <c r="H446" t="s">
        <v>788</v>
      </c>
      <c r="I446" s="3">
        <f>D446/(VLOOKUP(B446,'2025 Team'!$B$2:$G$33,3,FALSE))</f>
        <v>0</v>
      </c>
    </row>
    <row r="447" spans="1:9" x14ac:dyDescent="0.25">
      <c r="A447" t="s">
        <v>890</v>
      </c>
      <c r="B447" t="s">
        <v>32</v>
      </c>
      <c r="C447" t="s">
        <v>163</v>
      </c>
      <c r="D447" t="s">
        <v>417</v>
      </c>
      <c r="E447" t="s">
        <v>417</v>
      </c>
      <c r="F447" t="s">
        <v>417</v>
      </c>
      <c r="G447" s="3" t="e">
        <f t="shared" si="6"/>
        <v>#DIV/0!</v>
      </c>
      <c r="H447" t="s">
        <v>788</v>
      </c>
      <c r="I447" s="3">
        <f>D447/(VLOOKUP(B447,'2025 Team'!$B$2:$G$33,3,FALSE))</f>
        <v>0</v>
      </c>
    </row>
    <row r="448" spans="1:9" x14ac:dyDescent="0.25">
      <c r="A448" t="s">
        <v>891</v>
      </c>
      <c r="B448" t="s">
        <v>32</v>
      </c>
      <c r="C448" t="s">
        <v>163</v>
      </c>
      <c r="D448" t="s">
        <v>417</v>
      </c>
      <c r="E448" t="s">
        <v>417</v>
      </c>
      <c r="F448" t="s">
        <v>417</v>
      </c>
      <c r="G448" s="3" t="e">
        <f t="shared" si="6"/>
        <v>#DIV/0!</v>
      </c>
      <c r="H448" t="s">
        <v>788</v>
      </c>
      <c r="I448" s="3">
        <f>D448/(VLOOKUP(B448,'2025 Team'!$B$2:$G$33,3,FALSE))</f>
        <v>0</v>
      </c>
    </row>
    <row r="449" spans="1:9" x14ac:dyDescent="0.25">
      <c r="A449" t="s">
        <v>742</v>
      </c>
      <c r="B449" t="s">
        <v>34</v>
      </c>
      <c r="C449" t="s">
        <v>163</v>
      </c>
      <c r="D449" t="s">
        <v>417</v>
      </c>
      <c r="E449" t="s">
        <v>417</v>
      </c>
      <c r="F449" t="s">
        <v>417</v>
      </c>
      <c r="G449" s="3" t="e">
        <f t="shared" si="6"/>
        <v>#DIV/0!</v>
      </c>
      <c r="H449" t="s">
        <v>788</v>
      </c>
      <c r="I449" s="3">
        <f>D449/(VLOOKUP(B449,'2025 Team'!$B$2:$G$33,3,FALSE))</f>
        <v>0</v>
      </c>
    </row>
    <row r="450" spans="1:9" x14ac:dyDescent="0.25">
      <c r="A450" t="s">
        <v>892</v>
      </c>
      <c r="B450" t="s">
        <v>34</v>
      </c>
      <c r="C450" t="s">
        <v>153</v>
      </c>
      <c r="D450" t="s">
        <v>417</v>
      </c>
      <c r="E450" t="s">
        <v>417</v>
      </c>
      <c r="F450" t="s">
        <v>417</v>
      </c>
      <c r="G450" s="3" t="e">
        <f t="shared" ref="G450:G513" si="7">F450/D450</f>
        <v>#DIV/0!</v>
      </c>
      <c r="H450" t="s">
        <v>788</v>
      </c>
      <c r="I450" s="3">
        <f>D450/(VLOOKUP(B450,'2025 Team'!$B$2:$G$33,3,FALSE))</f>
        <v>0</v>
      </c>
    </row>
    <row r="451" spans="1:9" x14ac:dyDescent="0.25">
      <c r="A451" t="s">
        <v>893</v>
      </c>
      <c r="B451" t="s">
        <v>34</v>
      </c>
      <c r="C451" t="s">
        <v>163</v>
      </c>
      <c r="D451" t="s">
        <v>417</v>
      </c>
      <c r="E451" t="s">
        <v>417</v>
      </c>
      <c r="F451" t="s">
        <v>417</v>
      </c>
      <c r="G451" s="3" t="e">
        <f t="shared" si="7"/>
        <v>#DIV/0!</v>
      </c>
      <c r="H451" t="s">
        <v>788</v>
      </c>
      <c r="I451" s="3">
        <f>D451/(VLOOKUP(B451,'2025 Team'!$B$2:$G$33,3,FALSE))</f>
        <v>0</v>
      </c>
    </row>
    <row r="452" spans="1:9" x14ac:dyDescent="0.25">
      <c r="A452" t="s">
        <v>894</v>
      </c>
      <c r="B452" t="s">
        <v>34</v>
      </c>
      <c r="C452" t="s">
        <v>153</v>
      </c>
      <c r="D452" t="s">
        <v>417</v>
      </c>
      <c r="E452" t="s">
        <v>417</v>
      </c>
      <c r="F452" t="s">
        <v>417</v>
      </c>
      <c r="G452" s="3" t="e">
        <f t="shared" si="7"/>
        <v>#DIV/0!</v>
      </c>
      <c r="H452" t="s">
        <v>788</v>
      </c>
      <c r="I452" s="3">
        <f>D452/(VLOOKUP(B452,'2025 Team'!$B$2:$G$33,3,FALSE))</f>
        <v>0</v>
      </c>
    </row>
    <row r="453" spans="1:9" x14ac:dyDescent="0.25">
      <c r="A453" t="s">
        <v>895</v>
      </c>
      <c r="B453" t="s">
        <v>34</v>
      </c>
      <c r="C453" t="s">
        <v>153</v>
      </c>
      <c r="D453" t="s">
        <v>417</v>
      </c>
      <c r="E453" t="s">
        <v>417</v>
      </c>
      <c r="F453" t="s">
        <v>417</v>
      </c>
      <c r="G453" s="3" t="e">
        <f t="shared" si="7"/>
        <v>#DIV/0!</v>
      </c>
      <c r="H453" t="s">
        <v>788</v>
      </c>
      <c r="I453" s="3">
        <f>D453/(VLOOKUP(B453,'2025 Team'!$B$2:$G$33,3,FALSE))</f>
        <v>0</v>
      </c>
    </row>
    <row r="454" spans="1:9" x14ac:dyDescent="0.25">
      <c r="A454" t="s">
        <v>896</v>
      </c>
      <c r="B454" t="s">
        <v>34</v>
      </c>
      <c r="C454" t="s">
        <v>163</v>
      </c>
      <c r="D454" t="s">
        <v>417</v>
      </c>
      <c r="E454" t="s">
        <v>417</v>
      </c>
      <c r="F454" t="s">
        <v>417</v>
      </c>
      <c r="G454" s="3" t="e">
        <f t="shared" si="7"/>
        <v>#DIV/0!</v>
      </c>
      <c r="H454" t="s">
        <v>788</v>
      </c>
      <c r="I454" s="3">
        <f>D454/(VLOOKUP(B454,'2025 Team'!$B$2:$G$33,3,FALSE))</f>
        <v>0</v>
      </c>
    </row>
    <row r="455" spans="1:9" x14ac:dyDescent="0.25">
      <c r="A455" t="s">
        <v>897</v>
      </c>
      <c r="B455" t="s">
        <v>34</v>
      </c>
      <c r="C455" t="s">
        <v>163</v>
      </c>
      <c r="D455" t="s">
        <v>417</v>
      </c>
      <c r="E455" t="s">
        <v>417</v>
      </c>
      <c r="F455" t="s">
        <v>417</v>
      </c>
      <c r="G455" s="3" t="e">
        <f t="shared" si="7"/>
        <v>#DIV/0!</v>
      </c>
      <c r="H455" t="s">
        <v>788</v>
      </c>
      <c r="I455" s="3">
        <f>D455/(VLOOKUP(B455,'2025 Team'!$B$2:$G$33,3,FALSE))</f>
        <v>0</v>
      </c>
    </row>
    <row r="456" spans="1:9" x14ac:dyDescent="0.25">
      <c r="A456" t="s">
        <v>898</v>
      </c>
      <c r="B456" t="s">
        <v>34</v>
      </c>
      <c r="C456" t="s">
        <v>163</v>
      </c>
      <c r="D456" t="s">
        <v>417</v>
      </c>
      <c r="E456" t="s">
        <v>417</v>
      </c>
      <c r="F456" t="s">
        <v>417</v>
      </c>
      <c r="G456" s="3" t="e">
        <f t="shared" si="7"/>
        <v>#DIV/0!</v>
      </c>
      <c r="H456" t="s">
        <v>788</v>
      </c>
      <c r="I456" s="3">
        <f>D456/(VLOOKUP(B456,'2025 Team'!$B$2:$G$33,3,FALSE))</f>
        <v>0</v>
      </c>
    </row>
    <row r="457" spans="1:9" x14ac:dyDescent="0.25">
      <c r="A457" t="s">
        <v>899</v>
      </c>
      <c r="B457" t="s">
        <v>34</v>
      </c>
      <c r="C457" t="s">
        <v>805</v>
      </c>
      <c r="D457" t="s">
        <v>417</v>
      </c>
      <c r="E457" t="s">
        <v>417</v>
      </c>
      <c r="F457" t="s">
        <v>417</v>
      </c>
      <c r="G457" s="3" t="e">
        <f t="shared" si="7"/>
        <v>#DIV/0!</v>
      </c>
      <c r="H457" t="s">
        <v>788</v>
      </c>
      <c r="I457" s="3">
        <f>D457/(VLOOKUP(B457,'2025 Team'!$B$2:$G$33,3,FALSE))</f>
        <v>0</v>
      </c>
    </row>
    <row r="458" spans="1:9" x14ac:dyDescent="0.25">
      <c r="A458" t="s">
        <v>900</v>
      </c>
      <c r="B458" t="s">
        <v>36</v>
      </c>
      <c r="C458" t="s">
        <v>163</v>
      </c>
      <c r="D458" t="s">
        <v>417</v>
      </c>
      <c r="E458" t="s">
        <v>417</v>
      </c>
      <c r="F458" t="s">
        <v>417</v>
      </c>
      <c r="G458" s="3" t="e">
        <f t="shared" si="7"/>
        <v>#DIV/0!</v>
      </c>
      <c r="H458" t="s">
        <v>788</v>
      </c>
      <c r="I458" s="3">
        <f>D458/(VLOOKUP(B458,'2025 Team'!$B$2:$G$33,3,FALSE))</f>
        <v>0</v>
      </c>
    </row>
    <row r="459" spans="1:9" x14ac:dyDescent="0.25">
      <c r="A459" t="s">
        <v>901</v>
      </c>
      <c r="B459" t="s">
        <v>36</v>
      </c>
      <c r="C459" t="s">
        <v>153</v>
      </c>
      <c r="D459" t="s">
        <v>417</v>
      </c>
      <c r="E459" t="s">
        <v>417</v>
      </c>
      <c r="F459" t="s">
        <v>417</v>
      </c>
      <c r="G459" s="3" t="e">
        <f t="shared" si="7"/>
        <v>#DIV/0!</v>
      </c>
      <c r="H459" t="s">
        <v>788</v>
      </c>
      <c r="I459" s="3">
        <f>D459/(VLOOKUP(B459,'2025 Team'!$B$2:$G$33,3,FALSE))</f>
        <v>0</v>
      </c>
    </row>
    <row r="460" spans="1:9" x14ac:dyDescent="0.25">
      <c r="A460" t="s">
        <v>902</v>
      </c>
      <c r="B460" t="s">
        <v>36</v>
      </c>
      <c r="C460" t="s">
        <v>153</v>
      </c>
      <c r="D460" t="s">
        <v>417</v>
      </c>
      <c r="E460" t="s">
        <v>417</v>
      </c>
      <c r="F460" t="s">
        <v>417</v>
      </c>
      <c r="G460" s="3" t="e">
        <f t="shared" si="7"/>
        <v>#DIV/0!</v>
      </c>
      <c r="H460" t="s">
        <v>788</v>
      </c>
      <c r="I460" s="3">
        <f>D460/(VLOOKUP(B460,'2025 Team'!$B$2:$G$33,3,FALSE))</f>
        <v>0</v>
      </c>
    </row>
    <row r="461" spans="1:9" x14ac:dyDescent="0.25">
      <c r="A461" t="s">
        <v>903</v>
      </c>
      <c r="B461" t="s">
        <v>36</v>
      </c>
      <c r="C461" t="s">
        <v>153</v>
      </c>
      <c r="D461" t="s">
        <v>417</v>
      </c>
      <c r="E461" t="s">
        <v>417</v>
      </c>
      <c r="F461" t="s">
        <v>417</v>
      </c>
      <c r="G461" s="3" t="e">
        <f t="shared" si="7"/>
        <v>#DIV/0!</v>
      </c>
      <c r="H461" t="s">
        <v>788</v>
      </c>
      <c r="I461" s="3">
        <f>D461/(VLOOKUP(B461,'2025 Team'!$B$2:$G$33,3,FALSE))</f>
        <v>0</v>
      </c>
    </row>
    <row r="462" spans="1:9" x14ac:dyDescent="0.25">
      <c r="A462" t="s">
        <v>904</v>
      </c>
      <c r="B462" t="s">
        <v>36</v>
      </c>
      <c r="C462" t="s">
        <v>163</v>
      </c>
      <c r="D462" t="s">
        <v>417</v>
      </c>
      <c r="E462" t="s">
        <v>417</v>
      </c>
      <c r="F462" t="s">
        <v>417</v>
      </c>
      <c r="G462" s="3" t="e">
        <f t="shared" si="7"/>
        <v>#DIV/0!</v>
      </c>
      <c r="H462" t="s">
        <v>788</v>
      </c>
      <c r="I462" s="3">
        <f>D462/(VLOOKUP(B462,'2025 Team'!$B$2:$G$33,3,FALSE))</f>
        <v>0</v>
      </c>
    </row>
    <row r="463" spans="1:9" x14ac:dyDescent="0.25">
      <c r="A463" t="s">
        <v>905</v>
      </c>
      <c r="B463" t="s">
        <v>36</v>
      </c>
      <c r="C463" t="s">
        <v>153</v>
      </c>
      <c r="D463" t="s">
        <v>417</v>
      </c>
      <c r="E463" t="s">
        <v>417</v>
      </c>
      <c r="F463" t="s">
        <v>417</v>
      </c>
      <c r="G463" s="3" t="e">
        <f t="shared" si="7"/>
        <v>#DIV/0!</v>
      </c>
      <c r="H463" t="s">
        <v>788</v>
      </c>
      <c r="I463" s="3">
        <f>D463/(VLOOKUP(B463,'2025 Team'!$B$2:$G$33,3,FALSE))</f>
        <v>0</v>
      </c>
    </row>
    <row r="464" spans="1:9" x14ac:dyDescent="0.25">
      <c r="A464" t="s">
        <v>906</v>
      </c>
      <c r="B464" t="s">
        <v>36</v>
      </c>
      <c r="C464" t="s">
        <v>163</v>
      </c>
      <c r="D464" t="s">
        <v>417</v>
      </c>
      <c r="E464" t="s">
        <v>417</v>
      </c>
      <c r="F464" t="s">
        <v>417</v>
      </c>
      <c r="G464" s="3" t="e">
        <f t="shared" si="7"/>
        <v>#DIV/0!</v>
      </c>
      <c r="H464" t="s">
        <v>788</v>
      </c>
      <c r="I464" s="3">
        <f>D464/(VLOOKUP(B464,'2025 Team'!$B$2:$G$33,3,FALSE))</f>
        <v>0</v>
      </c>
    </row>
    <row r="465" spans="1:9" x14ac:dyDescent="0.25">
      <c r="A465" t="s">
        <v>907</v>
      </c>
      <c r="B465" t="s">
        <v>38</v>
      </c>
      <c r="C465" t="s">
        <v>163</v>
      </c>
      <c r="D465" t="s">
        <v>417</v>
      </c>
      <c r="E465" t="s">
        <v>417</v>
      </c>
      <c r="F465" t="s">
        <v>417</v>
      </c>
      <c r="G465" s="3" t="e">
        <f t="shared" si="7"/>
        <v>#DIV/0!</v>
      </c>
      <c r="H465" t="s">
        <v>788</v>
      </c>
      <c r="I465" s="3">
        <f>D465/(VLOOKUP(B465,'2025 Team'!$B$2:$G$33,3,FALSE))</f>
        <v>0</v>
      </c>
    </row>
    <row r="466" spans="1:9" x14ac:dyDescent="0.25">
      <c r="A466" t="s">
        <v>908</v>
      </c>
      <c r="B466" t="s">
        <v>38</v>
      </c>
      <c r="C466" t="s">
        <v>163</v>
      </c>
      <c r="D466" t="s">
        <v>417</v>
      </c>
      <c r="E466" t="s">
        <v>417</v>
      </c>
      <c r="F466" t="s">
        <v>417</v>
      </c>
      <c r="G466" s="3" t="e">
        <f t="shared" si="7"/>
        <v>#DIV/0!</v>
      </c>
      <c r="H466" t="s">
        <v>788</v>
      </c>
      <c r="I466" s="3">
        <f>D466/(VLOOKUP(B466,'2025 Team'!$B$2:$G$33,3,FALSE))</f>
        <v>0</v>
      </c>
    </row>
    <row r="467" spans="1:9" x14ac:dyDescent="0.25">
      <c r="A467" t="s">
        <v>909</v>
      </c>
      <c r="B467" t="s">
        <v>38</v>
      </c>
      <c r="C467" t="s">
        <v>153</v>
      </c>
      <c r="D467" t="s">
        <v>417</v>
      </c>
      <c r="E467" t="s">
        <v>417</v>
      </c>
      <c r="F467" t="s">
        <v>417</v>
      </c>
      <c r="G467" s="3" t="e">
        <f t="shared" si="7"/>
        <v>#DIV/0!</v>
      </c>
      <c r="H467" t="s">
        <v>788</v>
      </c>
      <c r="I467" s="3">
        <f>D467/(VLOOKUP(B467,'2025 Team'!$B$2:$G$33,3,FALSE))</f>
        <v>0</v>
      </c>
    </row>
    <row r="468" spans="1:9" x14ac:dyDescent="0.25">
      <c r="A468" t="s">
        <v>910</v>
      </c>
      <c r="B468" t="s">
        <v>38</v>
      </c>
      <c r="C468" t="s">
        <v>159</v>
      </c>
      <c r="D468" t="s">
        <v>417</v>
      </c>
      <c r="E468" t="s">
        <v>417</v>
      </c>
      <c r="F468" t="s">
        <v>417</v>
      </c>
      <c r="G468" s="3" t="e">
        <f t="shared" si="7"/>
        <v>#DIV/0!</v>
      </c>
      <c r="H468" t="s">
        <v>788</v>
      </c>
      <c r="I468" s="3">
        <f>D468/(VLOOKUP(B468,'2025 Team'!$B$2:$G$33,3,FALSE))</f>
        <v>0</v>
      </c>
    </row>
    <row r="469" spans="1:9" x14ac:dyDescent="0.25">
      <c r="A469" t="s">
        <v>911</v>
      </c>
      <c r="B469" t="s">
        <v>38</v>
      </c>
      <c r="C469" t="s">
        <v>163</v>
      </c>
      <c r="D469" t="s">
        <v>417</v>
      </c>
      <c r="E469" t="s">
        <v>417</v>
      </c>
      <c r="F469" t="s">
        <v>417</v>
      </c>
      <c r="G469" s="3" t="e">
        <f t="shared" si="7"/>
        <v>#DIV/0!</v>
      </c>
      <c r="H469" t="s">
        <v>788</v>
      </c>
      <c r="I469" s="3">
        <f>D469/(VLOOKUP(B469,'2025 Team'!$B$2:$G$33,3,FALSE))</f>
        <v>0</v>
      </c>
    </row>
    <row r="470" spans="1:9" x14ac:dyDescent="0.25">
      <c r="A470" t="s">
        <v>912</v>
      </c>
      <c r="B470" t="s">
        <v>38</v>
      </c>
      <c r="C470" t="s">
        <v>163</v>
      </c>
      <c r="D470" t="s">
        <v>417</v>
      </c>
      <c r="E470" t="s">
        <v>417</v>
      </c>
      <c r="F470" t="s">
        <v>417</v>
      </c>
      <c r="G470" s="3" t="e">
        <f t="shared" si="7"/>
        <v>#DIV/0!</v>
      </c>
      <c r="H470" t="s">
        <v>788</v>
      </c>
      <c r="I470" s="3">
        <f>D470/(VLOOKUP(B470,'2025 Team'!$B$2:$G$33,3,FALSE))</f>
        <v>0</v>
      </c>
    </row>
    <row r="471" spans="1:9" x14ac:dyDescent="0.25">
      <c r="A471" t="s">
        <v>913</v>
      </c>
      <c r="B471" t="s">
        <v>38</v>
      </c>
      <c r="C471" t="s">
        <v>163</v>
      </c>
      <c r="D471" t="s">
        <v>417</v>
      </c>
      <c r="E471" t="s">
        <v>417</v>
      </c>
      <c r="F471" t="s">
        <v>417</v>
      </c>
      <c r="G471" s="3" t="e">
        <f t="shared" si="7"/>
        <v>#DIV/0!</v>
      </c>
      <c r="H471" t="s">
        <v>788</v>
      </c>
      <c r="I471" s="3">
        <f>D471/(VLOOKUP(B471,'2025 Team'!$B$2:$G$33,3,FALSE))</f>
        <v>0</v>
      </c>
    </row>
    <row r="472" spans="1:9" x14ac:dyDescent="0.25">
      <c r="A472" t="s">
        <v>914</v>
      </c>
      <c r="B472" t="s">
        <v>38</v>
      </c>
      <c r="C472" t="s">
        <v>153</v>
      </c>
      <c r="D472" t="s">
        <v>417</v>
      </c>
      <c r="E472" t="s">
        <v>417</v>
      </c>
      <c r="F472" t="s">
        <v>417</v>
      </c>
      <c r="G472" s="3" t="e">
        <f t="shared" si="7"/>
        <v>#DIV/0!</v>
      </c>
      <c r="H472" t="s">
        <v>788</v>
      </c>
      <c r="I472" s="3">
        <f>D472/(VLOOKUP(B472,'2025 Team'!$B$2:$G$33,3,FALSE))</f>
        <v>0</v>
      </c>
    </row>
    <row r="473" spans="1:9" x14ac:dyDescent="0.25">
      <c r="A473" t="s">
        <v>915</v>
      </c>
      <c r="B473" t="s">
        <v>38</v>
      </c>
      <c r="C473" t="s">
        <v>153</v>
      </c>
      <c r="D473" t="s">
        <v>417</v>
      </c>
      <c r="E473" t="s">
        <v>417</v>
      </c>
      <c r="F473" t="s">
        <v>417</v>
      </c>
      <c r="G473" s="3" t="e">
        <f t="shared" si="7"/>
        <v>#DIV/0!</v>
      </c>
      <c r="H473" t="s">
        <v>788</v>
      </c>
      <c r="I473" s="3">
        <f>D473/(VLOOKUP(B473,'2025 Team'!$B$2:$G$33,3,FALSE))</f>
        <v>0</v>
      </c>
    </row>
    <row r="474" spans="1:9" x14ac:dyDescent="0.25">
      <c r="A474" t="s">
        <v>916</v>
      </c>
      <c r="B474" t="s">
        <v>42</v>
      </c>
      <c r="C474" t="s">
        <v>163</v>
      </c>
      <c r="D474" t="s">
        <v>417</v>
      </c>
      <c r="E474" t="s">
        <v>417</v>
      </c>
      <c r="F474" t="s">
        <v>417</v>
      </c>
      <c r="G474" s="3" t="e">
        <f t="shared" si="7"/>
        <v>#DIV/0!</v>
      </c>
      <c r="H474" t="s">
        <v>788</v>
      </c>
      <c r="I474" s="3">
        <f>D474/(VLOOKUP(B474,'2025 Team'!$B$2:$G$33,3,FALSE))</f>
        <v>0</v>
      </c>
    </row>
    <row r="475" spans="1:9" x14ac:dyDescent="0.25">
      <c r="A475" t="s">
        <v>917</v>
      </c>
      <c r="B475" t="s">
        <v>42</v>
      </c>
      <c r="C475" t="s">
        <v>153</v>
      </c>
      <c r="D475" t="s">
        <v>417</v>
      </c>
      <c r="E475" t="s">
        <v>417</v>
      </c>
      <c r="F475" t="s">
        <v>417</v>
      </c>
      <c r="G475" s="3" t="e">
        <f t="shared" si="7"/>
        <v>#DIV/0!</v>
      </c>
      <c r="H475" t="s">
        <v>788</v>
      </c>
      <c r="I475" s="3">
        <f>D475/(VLOOKUP(B475,'2025 Team'!$B$2:$G$33,3,FALSE))</f>
        <v>0</v>
      </c>
    </row>
    <row r="476" spans="1:9" x14ac:dyDescent="0.25">
      <c r="A476" t="s">
        <v>918</v>
      </c>
      <c r="B476" t="s">
        <v>42</v>
      </c>
      <c r="C476" t="s">
        <v>153</v>
      </c>
      <c r="D476" t="s">
        <v>417</v>
      </c>
      <c r="E476" t="s">
        <v>417</v>
      </c>
      <c r="F476" t="s">
        <v>417</v>
      </c>
      <c r="G476" s="3" t="e">
        <f t="shared" si="7"/>
        <v>#DIV/0!</v>
      </c>
      <c r="H476" t="s">
        <v>788</v>
      </c>
      <c r="I476" s="3">
        <f>D476/(VLOOKUP(B476,'2025 Team'!$B$2:$G$33,3,FALSE))</f>
        <v>0</v>
      </c>
    </row>
    <row r="477" spans="1:9" x14ac:dyDescent="0.25">
      <c r="A477" t="s">
        <v>919</v>
      </c>
      <c r="B477" t="s">
        <v>42</v>
      </c>
      <c r="C477" t="s">
        <v>153</v>
      </c>
      <c r="D477" t="s">
        <v>417</v>
      </c>
      <c r="E477" t="s">
        <v>417</v>
      </c>
      <c r="F477" t="s">
        <v>417</v>
      </c>
      <c r="G477" s="3" t="e">
        <f t="shared" si="7"/>
        <v>#DIV/0!</v>
      </c>
      <c r="H477" t="s">
        <v>788</v>
      </c>
      <c r="I477" s="3">
        <f>D477/(VLOOKUP(B477,'2025 Team'!$B$2:$G$33,3,FALSE))</f>
        <v>0</v>
      </c>
    </row>
    <row r="478" spans="1:9" x14ac:dyDescent="0.25">
      <c r="A478" t="s">
        <v>920</v>
      </c>
      <c r="B478" t="s">
        <v>42</v>
      </c>
      <c r="C478" t="s">
        <v>163</v>
      </c>
      <c r="D478" t="s">
        <v>417</v>
      </c>
      <c r="E478" t="s">
        <v>417</v>
      </c>
      <c r="F478" t="s">
        <v>417</v>
      </c>
      <c r="G478" s="3" t="e">
        <f t="shared" si="7"/>
        <v>#DIV/0!</v>
      </c>
      <c r="H478" t="s">
        <v>788</v>
      </c>
      <c r="I478" s="3">
        <f>D478/(VLOOKUP(B478,'2025 Team'!$B$2:$G$33,3,FALSE))</f>
        <v>0</v>
      </c>
    </row>
    <row r="479" spans="1:9" x14ac:dyDescent="0.25">
      <c r="A479" t="s">
        <v>921</v>
      </c>
      <c r="B479" t="s">
        <v>42</v>
      </c>
      <c r="C479" t="s">
        <v>613</v>
      </c>
      <c r="D479" t="s">
        <v>417</v>
      </c>
      <c r="E479" t="s">
        <v>417</v>
      </c>
      <c r="F479" t="s">
        <v>417</v>
      </c>
      <c r="G479" s="3" t="e">
        <f t="shared" si="7"/>
        <v>#DIV/0!</v>
      </c>
      <c r="H479" t="s">
        <v>788</v>
      </c>
      <c r="I479" s="3">
        <f>D479/(VLOOKUP(B479,'2025 Team'!$B$2:$G$33,3,FALSE))</f>
        <v>0</v>
      </c>
    </row>
    <row r="480" spans="1:9" x14ac:dyDescent="0.25">
      <c r="A480" t="s">
        <v>922</v>
      </c>
      <c r="B480" t="s">
        <v>42</v>
      </c>
      <c r="C480" t="s">
        <v>163</v>
      </c>
      <c r="D480" t="s">
        <v>417</v>
      </c>
      <c r="E480" t="s">
        <v>417</v>
      </c>
      <c r="F480" t="s">
        <v>417</v>
      </c>
      <c r="G480" s="3" t="e">
        <f t="shared" si="7"/>
        <v>#DIV/0!</v>
      </c>
      <c r="H480" t="s">
        <v>788</v>
      </c>
      <c r="I480" s="3">
        <f>D480/(VLOOKUP(B480,'2025 Team'!$B$2:$G$33,3,FALSE))</f>
        <v>0</v>
      </c>
    </row>
    <row r="481" spans="1:9" x14ac:dyDescent="0.25">
      <c r="A481" t="s">
        <v>923</v>
      </c>
      <c r="B481" t="s">
        <v>42</v>
      </c>
      <c r="C481" t="s">
        <v>843</v>
      </c>
      <c r="D481" t="s">
        <v>417</v>
      </c>
      <c r="E481" t="s">
        <v>417</v>
      </c>
      <c r="F481" t="s">
        <v>417</v>
      </c>
      <c r="G481" s="3" t="e">
        <f t="shared" si="7"/>
        <v>#DIV/0!</v>
      </c>
      <c r="H481" t="s">
        <v>788</v>
      </c>
      <c r="I481" s="3">
        <f>D481/(VLOOKUP(B481,'2025 Team'!$B$2:$G$33,3,FALSE))</f>
        <v>0</v>
      </c>
    </row>
    <row r="482" spans="1:9" x14ac:dyDescent="0.25">
      <c r="A482" t="s">
        <v>924</v>
      </c>
      <c r="B482" t="s">
        <v>44</v>
      </c>
      <c r="C482" t="s">
        <v>163</v>
      </c>
      <c r="D482" t="s">
        <v>417</v>
      </c>
      <c r="E482" t="s">
        <v>417</v>
      </c>
      <c r="F482" t="s">
        <v>417</v>
      </c>
      <c r="G482" s="3" t="e">
        <f t="shared" si="7"/>
        <v>#DIV/0!</v>
      </c>
      <c r="H482" t="s">
        <v>788</v>
      </c>
      <c r="I482" s="3">
        <f>D482/(VLOOKUP(B482,'2025 Team'!$B$2:$G$33,3,FALSE))</f>
        <v>0</v>
      </c>
    </row>
    <row r="483" spans="1:9" x14ac:dyDescent="0.25">
      <c r="A483" t="s">
        <v>925</v>
      </c>
      <c r="B483" t="s">
        <v>44</v>
      </c>
      <c r="C483" t="s">
        <v>153</v>
      </c>
      <c r="D483" t="s">
        <v>417</v>
      </c>
      <c r="E483" t="s">
        <v>417</v>
      </c>
      <c r="F483" t="s">
        <v>417</v>
      </c>
      <c r="G483" s="3" t="e">
        <f t="shared" si="7"/>
        <v>#DIV/0!</v>
      </c>
      <c r="H483" t="s">
        <v>788</v>
      </c>
      <c r="I483" s="3">
        <f>D483/(VLOOKUP(B483,'2025 Team'!$B$2:$G$33,3,FALSE))</f>
        <v>0</v>
      </c>
    </row>
    <row r="484" spans="1:9" x14ac:dyDescent="0.25">
      <c r="A484" t="s">
        <v>926</v>
      </c>
      <c r="B484" t="s">
        <v>44</v>
      </c>
      <c r="C484" t="s">
        <v>163</v>
      </c>
      <c r="D484" t="s">
        <v>417</v>
      </c>
      <c r="E484" t="s">
        <v>417</v>
      </c>
      <c r="F484" t="s">
        <v>417</v>
      </c>
      <c r="G484" s="3" t="e">
        <f t="shared" si="7"/>
        <v>#DIV/0!</v>
      </c>
      <c r="H484" t="s">
        <v>788</v>
      </c>
      <c r="I484" s="3">
        <f>D484/(VLOOKUP(B484,'2025 Team'!$B$2:$G$33,3,FALSE))</f>
        <v>0</v>
      </c>
    </row>
    <row r="485" spans="1:9" x14ac:dyDescent="0.25">
      <c r="A485" t="s">
        <v>927</v>
      </c>
      <c r="B485" t="s">
        <v>44</v>
      </c>
      <c r="C485" t="s">
        <v>153</v>
      </c>
      <c r="D485" t="s">
        <v>417</v>
      </c>
      <c r="E485" t="s">
        <v>417</v>
      </c>
      <c r="F485" t="s">
        <v>417</v>
      </c>
      <c r="G485" s="3" t="e">
        <f t="shared" si="7"/>
        <v>#DIV/0!</v>
      </c>
      <c r="H485" t="s">
        <v>788</v>
      </c>
      <c r="I485" s="3">
        <f>D485/(VLOOKUP(B485,'2025 Team'!$B$2:$G$33,3,FALSE))</f>
        <v>0</v>
      </c>
    </row>
    <row r="486" spans="1:9" x14ac:dyDescent="0.25">
      <c r="A486" t="s">
        <v>928</v>
      </c>
      <c r="B486" t="s">
        <v>44</v>
      </c>
      <c r="C486" t="s">
        <v>163</v>
      </c>
      <c r="D486" t="s">
        <v>417</v>
      </c>
      <c r="E486" t="s">
        <v>417</v>
      </c>
      <c r="F486" t="s">
        <v>417</v>
      </c>
      <c r="G486" s="3" t="e">
        <f t="shared" si="7"/>
        <v>#DIV/0!</v>
      </c>
      <c r="H486" t="s">
        <v>788</v>
      </c>
      <c r="I486" s="3">
        <f>D486/(VLOOKUP(B486,'2025 Team'!$B$2:$G$33,3,FALSE))</f>
        <v>0</v>
      </c>
    </row>
    <row r="487" spans="1:9" x14ac:dyDescent="0.25">
      <c r="A487" t="s">
        <v>929</v>
      </c>
      <c r="B487" t="s">
        <v>44</v>
      </c>
      <c r="C487" t="s">
        <v>153</v>
      </c>
      <c r="D487" t="s">
        <v>417</v>
      </c>
      <c r="E487" t="s">
        <v>417</v>
      </c>
      <c r="F487" t="s">
        <v>417</v>
      </c>
      <c r="G487" s="3" t="e">
        <f t="shared" si="7"/>
        <v>#DIV/0!</v>
      </c>
      <c r="H487" t="s">
        <v>788</v>
      </c>
      <c r="I487" s="3">
        <f>D487/(VLOOKUP(B487,'2025 Team'!$B$2:$G$33,3,FALSE))</f>
        <v>0</v>
      </c>
    </row>
    <row r="488" spans="1:9" x14ac:dyDescent="0.25">
      <c r="A488" t="s">
        <v>930</v>
      </c>
      <c r="B488" t="s">
        <v>44</v>
      </c>
      <c r="C488" t="s">
        <v>163</v>
      </c>
      <c r="D488" t="s">
        <v>417</v>
      </c>
      <c r="E488" t="s">
        <v>417</v>
      </c>
      <c r="F488" t="s">
        <v>417</v>
      </c>
      <c r="G488" s="3" t="e">
        <f t="shared" si="7"/>
        <v>#DIV/0!</v>
      </c>
      <c r="H488" t="s">
        <v>788</v>
      </c>
      <c r="I488" s="3">
        <f>D488/(VLOOKUP(B488,'2025 Team'!$B$2:$G$33,3,FALSE))</f>
        <v>0</v>
      </c>
    </row>
    <row r="489" spans="1:9" x14ac:dyDescent="0.25">
      <c r="A489" t="s">
        <v>654</v>
      </c>
      <c r="B489" t="s">
        <v>40</v>
      </c>
      <c r="C489" t="s">
        <v>163</v>
      </c>
      <c r="D489" t="s">
        <v>417</v>
      </c>
      <c r="E489" t="s">
        <v>417</v>
      </c>
      <c r="F489" t="s">
        <v>417</v>
      </c>
      <c r="G489" s="3" t="e">
        <f t="shared" si="7"/>
        <v>#DIV/0!</v>
      </c>
      <c r="H489" t="s">
        <v>788</v>
      </c>
      <c r="I489" s="3">
        <f>D489/(VLOOKUP(B489,'2025 Team'!$B$2:$G$33,3,FALSE))</f>
        <v>0</v>
      </c>
    </row>
    <row r="490" spans="1:9" x14ac:dyDescent="0.25">
      <c r="A490" t="s">
        <v>931</v>
      </c>
      <c r="B490" t="s">
        <v>40</v>
      </c>
      <c r="C490" t="s">
        <v>163</v>
      </c>
      <c r="D490" t="s">
        <v>417</v>
      </c>
      <c r="E490" t="s">
        <v>417</v>
      </c>
      <c r="F490" t="s">
        <v>417</v>
      </c>
      <c r="G490" s="3" t="e">
        <f t="shared" si="7"/>
        <v>#DIV/0!</v>
      </c>
      <c r="H490" t="s">
        <v>788</v>
      </c>
      <c r="I490" s="3">
        <f>D490/(VLOOKUP(B490,'2025 Team'!$B$2:$G$33,3,FALSE))</f>
        <v>0</v>
      </c>
    </row>
    <row r="491" spans="1:9" x14ac:dyDescent="0.25">
      <c r="A491" t="s">
        <v>932</v>
      </c>
      <c r="B491" t="s">
        <v>40</v>
      </c>
      <c r="C491" t="s">
        <v>163</v>
      </c>
      <c r="D491" t="s">
        <v>417</v>
      </c>
      <c r="E491" t="s">
        <v>417</v>
      </c>
      <c r="F491" t="s">
        <v>417</v>
      </c>
      <c r="G491" s="3" t="e">
        <f t="shared" si="7"/>
        <v>#DIV/0!</v>
      </c>
      <c r="H491" t="s">
        <v>788</v>
      </c>
      <c r="I491" s="3">
        <f>D491/(VLOOKUP(B491,'2025 Team'!$B$2:$G$33,3,FALSE))</f>
        <v>0</v>
      </c>
    </row>
    <row r="492" spans="1:9" x14ac:dyDescent="0.25">
      <c r="A492" t="s">
        <v>933</v>
      </c>
      <c r="B492" t="s">
        <v>40</v>
      </c>
      <c r="C492" t="s">
        <v>934</v>
      </c>
      <c r="D492" t="s">
        <v>417</v>
      </c>
      <c r="E492" t="s">
        <v>417</v>
      </c>
      <c r="F492" t="s">
        <v>417</v>
      </c>
      <c r="G492" s="3" t="e">
        <f t="shared" si="7"/>
        <v>#DIV/0!</v>
      </c>
      <c r="H492" t="s">
        <v>788</v>
      </c>
      <c r="I492" s="3">
        <f>D492/(VLOOKUP(B492,'2025 Team'!$B$2:$G$33,3,FALSE))</f>
        <v>0</v>
      </c>
    </row>
    <row r="493" spans="1:9" x14ac:dyDescent="0.25">
      <c r="A493" t="s">
        <v>935</v>
      </c>
      <c r="B493" t="s">
        <v>40</v>
      </c>
      <c r="C493" t="s">
        <v>163</v>
      </c>
      <c r="D493" t="s">
        <v>417</v>
      </c>
      <c r="E493" t="s">
        <v>417</v>
      </c>
      <c r="F493" t="s">
        <v>417</v>
      </c>
      <c r="G493" s="3" t="e">
        <f t="shared" si="7"/>
        <v>#DIV/0!</v>
      </c>
      <c r="H493" t="s">
        <v>788</v>
      </c>
      <c r="I493" s="3">
        <f>D493/(VLOOKUP(B493,'2025 Team'!$B$2:$G$33,3,FALSE))</f>
        <v>0</v>
      </c>
    </row>
    <row r="494" spans="1:9" x14ac:dyDescent="0.25">
      <c r="A494" t="s">
        <v>936</v>
      </c>
      <c r="B494" t="s">
        <v>40</v>
      </c>
      <c r="C494" t="s">
        <v>153</v>
      </c>
      <c r="D494" t="s">
        <v>417</v>
      </c>
      <c r="E494" t="s">
        <v>417</v>
      </c>
      <c r="F494" t="s">
        <v>417</v>
      </c>
      <c r="G494" s="3" t="e">
        <f t="shared" si="7"/>
        <v>#DIV/0!</v>
      </c>
      <c r="H494" t="s">
        <v>788</v>
      </c>
      <c r="I494" s="3">
        <f>D494/(VLOOKUP(B494,'2025 Team'!$B$2:$G$33,3,FALSE))</f>
        <v>0</v>
      </c>
    </row>
    <row r="495" spans="1:9" x14ac:dyDescent="0.25">
      <c r="A495" t="s">
        <v>937</v>
      </c>
      <c r="B495" t="s">
        <v>40</v>
      </c>
      <c r="C495" t="s">
        <v>153</v>
      </c>
      <c r="D495" t="s">
        <v>417</v>
      </c>
      <c r="E495" t="s">
        <v>417</v>
      </c>
      <c r="F495" t="s">
        <v>417</v>
      </c>
      <c r="G495" s="3" t="e">
        <f t="shared" si="7"/>
        <v>#DIV/0!</v>
      </c>
      <c r="H495" t="s">
        <v>788</v>
      </c>
      <c r="I495" s="3">
        <f>D495/(VLOOKUP(B495,'2025 Team'!$B$2:$G$33,3,FALSE))</f>
        <v>0</v>
      </c>
    </row>
    <row r="496" spans="1:9" x14ac:dyDescent="0.25">
      <c r="A496" t="s">
        <v>938</v>
      </c>
      <c r="B496" t="s">
        <v>40</v>
      </c>
      <c r="C496" t="s">
        <v>153</v>
      </c>
      <c r="D496" t="s">
        <v>417</v>
      </c>
      <c r="E496" t="s">
        <v>417</v>
      </c>
      <c r="F496" t="s">
        <v>417</v>
      </c>
      <c r="G496" s="3" t="e">
        <f t="shared" si="7"/>
        <v>#DIV/0!</v>
      </c>
      <c r="H496" t="s">
        <v>788</v>
      </c>
      <c r="I496" s="3">
        <f>D496/(VLOOKUP(B496,'2025 Team'!$B$2:$G$33,3,FALSE))</f>
        <v>0</v>
      </c>
    </row>
    <row r="497" spans="1:9" x14ac:dyDescent="0.25">
      <c r="A497" t="s">
        <v>939</v>
      </c>
      <c r="B497" t="s">
        <v>40</v>
      </c>
      <c r="C497" t="s">
        <v>153</v>
      </c>
      <c r="D497" t="s">
        <v>417</v>
      </c>
      <c r="E497" t="s">
        <v>417</v>
      </c>
      <c r="F497" t="s">
        <v>417</v>
      </c>
      <c r="G497" s="3" t="e">
        <f t="shared" si="7"/>
        <v>#DIV/0!</v>
      </c>
      <c r="H497" t="s">
        <v>788</v>
      </c>
      <c r="I497" s="3">
        <f>D497/(VLOOKUP(B497,'2025 Team'!$B$2:$G$33,3,FALSE))</f>
        <v>0</v>
      </c>
    </row>
    <row r="498" spans="1:9" x14ac:dyDescent="0.25">
      <c r="A498" t="s">
        <v>940</v>
      </c>
      <c r="B498" t="s">
        <v>40</v>
      </c>
      <c r="C498" t="s">
        <v>163</v>
      </c>
      <c r="D498" t="s">
        <v>417</v>
      </c>
      <c r="E498" t="s">
        <v>417</v>
      </c>
      <c r="F498" t="s">
        <v>417</v>
      </c>
      <c r="G498" s="3" t="e">
        <f t="shared" si="7"/>
        <v>#DIV/0!</v>
      </c>
      <c r="H498" t="s">
        <v>788</v>
      </c>
      <c r="I498" s="3">
        <f>D498/(VLOOKUP(B498,'2025 Team'!$B$2:$G$33,3,FALSE))</f>
        <v>0</v>
      </c>
    </row>
    <row r="499" spans="1:9" x14ac:dyDescent="0.25">
      <c r="A499" t="s">
        <v>941</v>
      </c>
      <c r="B499" t="s">
        <v>46</v>
      </c>
      <c r="C499" t="s">
        <v>153</v>
      </c>
      <c r="D499" t="s">
        <v>417</v>
      </c>
      <c r="E499" t="s">
        <v>417</v>
      </c>
      <c r="F499" t="s">
        <v>417</v>
      </c>
      <c r="G499" s="3" t="e">
        <f t="shared" si="7"/>
        <v>#DIV/0!</v>
      </c>
      <c r="H499" t="s">
        <v>788</v>
      </c>
      <c r="I499" s="3">
        <f>D499/(VLOOKUP(B499,'2025 Team'!$B$2:$G$33,3,FALSE))</f>
        <v>0</v>
      </c>
    </row>
    <row r="500" spans="1:9" x14ac:dyDescent="0.25">
      <c r="A500" t="s">
        <v>942</v>
      </c>
      <c r="B500" t="s">
        <v>46</v>
      </c>
      <c r="C500" t="s">
        <v>163</v>
      </c>
      <c r="D500" t="s">
        <v>417</v>
      </c>
      <c r="E500" t="s">
        <v>417</v>
      </c>
      <c r="F500" t="s">
        <v>417</v>
      </c>
      <c r="G500" s="3" t="e">
        <f t="shared" si="7"/>
        <v>#DIV/0!</v>
      </c>
      <c r="H500" t="s">
        <v>788</v>
      </c>
      <c r="I500" s="3">
        <f>D500/(VLOOKUP(B500,'2025 Team'!$B$2:$G$33,3,FALSE))</f>
        <v>0</v>
      </c>
    </row>
    <row r="501" spans="1:9" x14ac:dyDescent="0.25">
      <c r="A501" t="s">
        <v>943</v>
      </c>
      <c r="B501" t="s">
        <v>46</v>
      </c>
      <c r="C501" t="s">
        <v>153</v>
      </c>
      <c r="D501" t="s">
        <v>417</v>
      </c>
      <c r="E501" t="s">
        <v>417</v>
      </c>
      <c r="F501" t="s">
        <v>417</v>
      </c>
      <c r="G501" s="3" t="e">
        <f t="shared" si="7"/>
        <v>#DIV/0!</v>
      </c>
      <c r="H501" t="s">
        <v>788</v>
      </c>
      <c r="I501" s="3">
        <f>D501/(VLOOKUP(B501,'2025 Team'!$B$2:$G$33,3,FALSE))</f>
        <v>0</v>
      </c>
    </row>
    <row r="502" spans="1:9" x14ac:dyDescent="0.25">
      <c r="A502" t="s">
        <v>944</v>
      </c>
      <c r="B502" t="s">
        <v>46</v>
      </c>
      <c r="C502" t="s">
        <v>163</v>
      </c>
      <c r="D502" t="s">
        <v>417</v>
      </c>
      <c r="E502" t="s">
        <v>417</v>
      </c>
      <c r="F502" t="s">
        <v>417</v>
      </c>
      <c r="G502" s="3" t="e">
        <f t="shared" si="7"/>
        <v>#DIV/0!</v>
      </c>
      <c r="H502" t="s">
        <v>788</v>
      </c>
      <c r="I502" s="3">
        <f>D502/(VLOOKUP(B502,'2025 Team'!$B$2:$G$33,3,FALSE))</f>
        <v>0</v>
      </c>
    </row>
    <row r="503" spans="1:9" x14ac:dyDescent="0.25">
      <c r="A503" t="s">
        <v>945</v>
      </c>
      <c r="B503" t="s">
        <v>46</v>
      </c>
      <c r="C503" t="s">
        <v>163</v>
      </c>
      <c r="D503" t="s">
        <v>417</v>
      </c>
      <c r="E503" t="s">
        <v>417</v>
      </c>
      <c r="F503" t="s">
        <v>417</v>
      </c>
      <c r="G503" s="3" t="e">
        <f t="shared" si="7"/>
        <v>#DIV/0!</v>
      </c>
      <c r="H503" t="s">
        <v>788</v>
      </c>
      <c r="I503" s="3">
        <f>D503/(VLOOKUP(B503,'2025 Team'!$B$2:$G$33,3,FALSE))</f>
        <v>0</v>
      </c>
    </row>
    <row r="504" spans="1:9" x14ac:dyDescent="0.25">
      <c r="A504" t="s">
        <v>946</v>
      </c>
      <c r="B504" t="s">
        <v>46</v>
      </c>
      <c r="C504" t="s">
        <v>163</v>
      </c>
      <c r="D504" t="s">
        <v>417</v>
      </c>
      <c r="E504" t="s">
        <v>417</v>
      </c>
      <c r="F504" t="s">
        <v>417</v>
      </c>
      <c r="G504" s="3" t="e">
        <f t="shared" si="7"/>
        <v>#DIV/0!</v>
      </c>
      <c r="H504" t="s">
        <v>788</v>
      </c>
      <c r="I504" s="3">
        <f>D504/(VLOOKUP(B504,'2025 Team'!$B$2:$G$33,3,FALSE))</f>
        <v>0</v>
      </c>
    </row>
    <row r="505" spans="1:9" x14ac:dyDescent="0.25">
      <c r="A505" t="s">
        <v>947</v>
      </c>
      <c r="B505" t="s">
        <v>46</v>
      </c>
      <c r="C505" t="s">
        <v>163</v>
      </c>
      <c r="D505" t="s">
        <v>417</v>
      </c>
      <c r="E505" t="s">
        <v>417</v>
      </c>
      <c r="F505" t="s">
        <v>417</v>
      </c>
      <c r="G505" s="3" t="e">
        <f t="shared" si="7"/>
        <v>#DIV/0!</v>
      </c>
      <c r="H505" t="s">
        <v>788</v>
      </c>
      <c r="I505" s="3">
        <f>D505/(VLOOKUP(B505,'2025 Team'!$B$2:$G$33,3,FALSE))</f>
        <v>0</v>
      </c>
    </row>
    <row r="506" spans="1:9" x14ac:dyDescent="0.25">
      <c r="A506" t="s">
        <v>948</v>
      </c>
      <c r="B506" t="s">
        <v>46</v>
      </c>
      <c r="C506" t="s">
        <v>163</v>
      </c>
      <c r="D506" t="s">
        <v>417</v>
      </c>
      <c r="E506" t="s">
        <v>417</v>
      </c>
      <c r="F506" t="s">
        <v>417</v>
      </c>
      <c r="G506" s="3" t="e">
        <f t="shared" si="7"/>
        <v>#DIV/0!</v>
      </c>
      <c r="H506" t="s">
        <v>788</v>
      </c>
      <c r="I506" s="3">
        <f>D506/(VLOOKUP(B506,'2025 Team'!$B$2:$G$33,3,FALSE))</f>
        <v>0</v>
      </c>
    </row>
    <row r="507" spans="1:9" x14ac:dyDescent="0.25">
      <c r="A507" t="s">
        <v>949</v>
      </c>
      <c r="B507" t="s">
        <v>48</v>
      </c>
      <c r="C507" t="s">
        <v>163</v>
      </c>
      <c r="D507" t="s">
        <v>417</v>
      </c>
      <c r="E507" t="s">
        <v>417</v>
      </c>
      <c r="F507" t="s">
        <v>417</v>
      </c>
      <c r="G507" s="3" t="e">
        <f t="shared" si="7"/>
        <v>#DIV/0!</v>
      </c>
      <c r="H507" t="s">
        <v>788</v>
      </c>
      <c r="I507" s="3">
        <f>D507/(VLOOKUP(B507,'2025 Team'!$B$2:$G$33,3,FALSE))</f>
        <v>0</v>
      </c>
    </row>
    <row r="508" spans="1:9" x14ac:dyDescent="0.25">
      <c r="A508" t="s">
        <v>950</v>
      </c>
      <c r="B508" t="s">
        <v>48</v>
      </c>
      <c r="C508" t="s">
        <v>153</v>
      </c>
      <c r="D508" t="s">
        <v>417</v>
      </c>
      <c r="E508" t="s">
        <v>417</v>
      </c>
      <c r="F508" t="s">
        <v>417</v>
      </c>
      <c r="G508" s="3" t="e">
        <f t="shared" si="7"/>
        <v>#DIV/0!</v>
      </c>
      <c r="H508" t="s">
        <v>788</v>
      </c>
      <c r="I508" s="3">
        <f>D508/(VLOOKUP(B508,'2025 Team'!$B$2:$G$33,3,FALSE))</f>
        <v>0</v>
      </c>
    </row>
    <row r="509" spans="1:9" x14ac:dyDescent="0.25">
      <c r="A509" t="s">
        <v>951</v>
      </c>
      <c r="B509" t="s">
        <v>48</v>
      </c>
      <c r="C509" t="s">
        <v>153</v>
      </c>
      <c r="D509" t="s">
        <v>417</v>
      </c>
      <c r="E509" t="s">
        <v>417</v>
      </c>
      <c r="F509" t="s">
        <v>417</v>
      </c>
      <c r="G509" s="3" t="e">
        <f t="shared" si="7"/>
        <v>#DIV/0!</v>
      </c>
      <c r="H509" t="s">
        <v>788</v>
      </c>
      <c r="I509" s="3">
        <f>D509/(VLOOKUP(B509,'2025 Team'!$B$2:$G$33,3,FALSE))</f>
        <v>0</v>
      </c>
    </row>
    <row r="510" spans="1:9" x14ac:dyDescent="0.25">
      <c r="A510" t="s">
        <v>952</v>
      </c>
      <c r="B510" t="s">
        <v>48</v>
      </c>
      <c r="C510" t="s">
        <v>163</v>
      </c>
      <c r="D510" t="s">
        <v>417</v>
      </c>
      <c r="E510" t="s">
        <v>417</v>
      </c>
      <c r="F510" t="s">
        <v>417</v>
      </c>
      <c r="G510" s="3" t="e">
        <f t="shared" si="7"/>
        <v>#DIV/0!</v>
      </c>
      <c r="H510" t="s">
        <v>788</v>
      </c>
      <c r="I510" s="3">
        <f>D510/(VLOOKUP(B510,'2025 Team'!$B$2:$G$33,3,FALSE))</f>
        <v>0</v>
      </c>
    </row>
    <row r="511" spans="1:9" x14ac:dyDescent="0.25">
      <c r="A511" t="s">
        <v>953</v>
      </c>
      <c r="B511" t="s">
        <v>48</v>
      </c>
      <c r="C511" t="s">
        <v>153</v>
      </c>
      <c r="D511" t="s">
        <v>417</v>
      </c>
      <c r="E511" t="s">
        <v>417</v>
      </c>
      <c r="F511" t="s">
        <v>417</v>
      </c>
      <c r="G511" s="3" t="e">
        <f t="shared" si="7"/>
        <v>#DIV/0!</v>
      </c>
      <c r="H511" t="s">
        <v>788</v>
      </c>
      <c r="I511" s="3">
        <f>D511/(VLOOKUP(B511,'2025 Team'!$B$2:$G$33,3,FALSE))</f>
        <v>0</v>
      </c>
    </row>
    <row r="512" spans="1:9" x14ac:dyDescent="0.25">
      <c r="A512" t="s">
        <v>954</v>
      </c>
      <c r="B512" t="s">
        <v>52</v>
      </c>
      <c r="C512" t="s">
        <v>163</v>
      </c>
      <c r="D512" t="s">
        <v>417</v>
      </c>
      <c r="E512" t="s">
        <v>417</v>
      </c>
      <c r="F512" t="s">
        <v>417</v>
      </c>
      <c r="G512" s="3" t="e">
        <f t="shared" si="7"/>
        <v>#DIV/0!</v>
      </c>
      <c r="H512" t="s">
        <v>788</v>
      </c>
      <c r="I512" s="3">
        <f>D512/(VLOOKUP(B512,'2025 Team'!$B$2:$G$33,3,FALSE))</f>
        <v>0</v>
      </c>
    </row>
    <row r="513" spans="1:9" x14ac:dyDescent="0.25">
      <c r="A513" t="s">
        <v>955</v>
      </c>
      <c r="B513" t="s">
        <v>52</v>
      </c>
      <c r="C513" t="s">
        <v>163</v>
      </c>
      <c r="D513" t="s">
        <v>417</v>
      </c>
      <c r="E513" t="s">
        <v>417</v>
      </c>
      <c r="F513" t="s">
        <v>417</v>
      </c>
      <c r="G513" s="3" t="e">
        <f t="shared" si="7"/>
        <v>#DIV/0!</v>
      </c>
      <c r="H513" t="s">
        <v>788</v>
      </c>
      <c r="I513" s="3">
        <f>D513/(VLOOKUP(B513,'2025 Team'!$B$2:$G$33,3,FALSE))</f>
        <v>0</v>
      </c>
    </row>
    <row r="514" spans="1:9" x14ac:dyDescent="0.25">
      <c r="A514" t="s">
        <v>820</v>
      </c>
      <c r="B514" t="s">
        <v>52</v>
      </c>
      <c r="C514" t="s">
        <v>163</v>
      </c>
      <c r="D514" t="s">
        <v>417</v>
      </c>
      <c r="E514" t="s">
        <v>417</v>
      </c>
      <c r="F514" t="s">
        <v>417</v>
      </c>
      <c r="G514" s="3" t="e">
        <f t="shared" ref="G514:G577" si="8">F514/D514</f>
        <v>#DIV/0!</v>
      </c>
      <c r="H514" t="s">
        <v>788</v>
      </c>
      <c r="I514" s="3">
        <f>D514/(VLOOKUP(B514,'2025 Team'!$B$2:$G$33,3,FALSE))</f>
        <v>0</v>
      </c>
    </row>
    <row r="515" spans="1:9" x14ac:dyDescent="0.25">
      <c r="A515" t="s">
        <v>956</v>
      </c>
      <c r="B515" t="s">
        <v>52</v>
      </c>
      <c r="C515" t="s">
        <v>153</v>
      </c>
      <c r="D515" t="s">
        <v>417</v>
      </c>
      <c r="E515" t="s">
        <v>417</v>
      </c>
      <c r="F515" t="s">
        <v>417</v>
      </c>
      <c r="G515" s="3" t="e">
        <f t="shared" si="8"/>
        <v>#DIV/0!</v>
      </c>
      <c r="H515" t="s">
        <v>788</v>
      </c>
      <c r="I515" s="3">
        <f>D515/(VLOOKUP(B515,'2025 Team'!$B$2:$G$33,3,FALSE))</f>
        <v>0</v>
      </c>
    </row>
    <row r="516" spans="1:9" x14ac:dyDescent="0.25">
      <c r="A516" t="s">
        <v>957</v>
      </c>
      <c r="B516" t="s">
        <v>52</v>
      </c>
      <c r="C516" t="s">
        <v>153</v>
      </c>
      <c r="D516" t="s">
        <v>417</v>
      </c>
      <c r="E516" t="s">
        <v>417</v>
      </c>
      <c r="F516" t="s">
        <v>417</v>
      </c>
      <c r="G516" s="3" t="e">
        <f t="shared" si="8"/>
        <v>#DIV/0!</v>
      </c>
      <c r="H516" t="s">
        <v>788</v>
      </c>
      <c r="I516" s="3">
        <f>D516/(VLOOKUP(B516,'2025 Team'!$B$2:$G$33,3,FALSE))</f>
        <v>0</v>
      </c>
    </row>
    <row r="517" spans="1:9" x14ac:dyDescent="0.25">
      <c r="A517" t="s">
        <v>816</v>
      </c>
      <c r="B517" t="s">
        <v>52</v>
      </c>
      <c r="C517" t="s">
        <v>153</v>
      </c>
      <c r="D517" t="s">
        <v>417</v>
      </c>
      <c r="E517" t="s">
        <v>417</v>
      </c>
      <c r="F517" t="s">
        <v>417</v>
      </c>
      <c r="G517" s="3" t="e">
        <f t="shared" si="8"/>
        <v>#DIV/0!</v>
      </c>
      <c r="H517" t="s">
        <v>788</v>
      </c>
      <c r="I517" s="3">
        <f>D517/(VLOOKUP(B517,'2025 Team'!$B$2:$G$33,3,FALSE))</f>
        <v>0</v>
      </c>
    </row>
    <row r="518" spans="1:9" x14ac:dyDescent="0.25">
      <c r="A518" t="s">
        <v>958</v>
      </c>
      <c r="B518" t="s">
        <v>52</v>
      </c>
      <c r="C518" t="s">
        <v>153</v>
      </c>
      <c r="D518" t="s">
        <v>417</v>
      </c>
      <c r="E518" t="s">
        <v>417</v>
      </c>
      <c r="F518" t="s">
        <v>417</v>
      </c>
      <c r="G518" s="3" t="e">
        <f t="shared" si="8"/>
        <v>#DIV/0!</v>
      </c>
      <c r="H518" t="s">
        <v>788</v>
      </c>
      <c r="I518" s="3">
        <f>D518/(VLOOKUP(B518,'2025 Team'!$B$2:$G$33,3,FALSE))</f>
        <v>0</v>
      </c>
    </row>
    <row r="519" spans="1:9" x14ac:dyDescent="0.25">
      <c r="A519" t="s">
        <v>959</v>
      </c>
      <c r="B519" t="s">
        <v>52</v>
      </c>
      <c r="C519" t="s">
        <v>163</v>
      </c>
      <c r="D519" t="s">
        <v>417</v>
      </c>
      <c r="E519" t="s">
        <v>417</v>
      </c>
      <c r="F519" t="s">
        <v>417</v>
      </c>
      <c r="G519" s="3" t="e">
        <f t="shared" si="8"/>
        <v>#DIV/0!</v>
      </c>
      <c r="H519" t="s">
        <v>788</v>
      </c>
      <c r="I519" s="3">
        <f>D519/(VLOOKUP(B519,'2025 Team'!$B$2:$G$33,3,FALSE))</f>
        <v>0</v>
      </c>
    </row>
    <row r="520" spans="1:9" x14ac:dyDescent="0.25">
      <c r="A520" t="s">
        <v>960</v>
      </c>
      <c r="B520" t="s">
        <v>52</v>
      </c>
      <c r="C520" t="s">
        <v>153</v>
      </c>
      <c r="D520" t="s">
        <v>417</v>
      </c>
      <c r="E520" t="s">
        <v>417</v>
      </c>
      <c r="F520" t="s">
        <v>417</v>
      </c>
      <c r="G520" s="3" t="e">
        <f t="shared" si="8"/>
        <v>#DIV/0!</v>
      </c>
      <c r="H520" t="s">
        <v>788</v>
      </c>
      <c r="I520" s="3">
        <f>D520/(VLOOKUP(B520,'2025 Team'!$B$2:$G$33,3,FALSE))</f>
        <v>0</v>
      </c>
    </row>
    <row r="521" spans="1:9" x14ac:dyDescent="0.25">
      <c r="A521" t="s">
        <v>961</v>
      </c>
      <c r="B521" t="s">
        <v>52</v>
      </c>
      <c r="C521" t="s">
        <v>163</v>
      </c>
      <c r="D521" t="s">
        <v>417</v>
      </c>
      <c r="E521" t="s">
        <v>417</v>
      </c>
      <c r="F521" t="s">
        <v>417</v>
      </c>
      <c r="G521" s="3" t="e">
        <f t="shared" si="8"/>
        <v>#DIV/0!</v>
      </c>
      <c r="H521" t="s">
        <v>788</v>
      </c>
      <c r="I521" s="3">
        <f>D521/(VLOOKUP(B521,'2025 Team'!$B$2:$G$33,3,FALSE))</f>
        <v>0</v>
      </c>
    </row>
    <row r="522" spans="1:9" x14ac:dyDescent="0.25">
      <c r="A522" t="s">
        <v>962</v>
      </c>
      <c r="B522" t="s">
        <v>52</v>
      </c>
      <c r="C522" t="s">
        <v>163</v>
      </c>
      <c r="D522" t="s">
        <v>417</v>
      </c>
      <c r="E522" t="s">
        <v>417</v>
      </c>
      <c r="F522" t="s">
        <v>417</v>
      </c>
      <c r="G522" s="3" t="e">
        <f t="shared" si="8"/>
        <v>#DIV/0!</v>
      </c>
      <c r="H522" t="s">
        <v>788</v>
      </c>
      <c r="I522" s="3">
        <f>D522/(VLOOKUP(B522,'2025 Team'!$B$2:$G$33,3,FALSE))</f>
        <v>0</v>
      </c>
    </row>
    <row r="523" spans="1:9" x14ac:dyDescent="0.25">
      <c r="A523" t="s">
        <v>963</v>
      </c>
      <c r="B523" t="s">
        <v>50</v>
      </c>
      <c r="C523" t="s">
        <v>163</v>
      </c>
      <c r="D523" t="s">
        <v>417</v>
      </c>
      <c r="E523" t="s">
        <v>417</v>
      </c>
      <c r="F523" t="s">
        <v>417</v>
      </c>
      <c r="G523" s="3" t="e">
        <f t="shared" si="8"/>
        <v>#DIV/0!</v>
      </c>
      <c r="H523" t="s">
        <v>788</v>
      </c>
      <c r="I523" s="3">
        <f>D523/(VLOOKUP(B523,'2025 Team'!$B$2:$G$33,3,FALSE))</f>
        <v>0</v>
      </c>
    </row>
    <row r="524" spans="1:9" x14ac:dyDescent="0.25">
      <c r="A524" t="s">
        <v>964</v>
      </c>
      <c r="B524" t="s">
        <v>50</v>
      </c>
      <c r="C524" t="s">
        <v>163</v>
      </c>
      <c r="D524" t="s">
        <v>417</v>
      </c>
      <c r="E524" t="s">
        <v>417</v>
      </c>
      <c r="F524" t="s">
        <v>417</v>
      </c>
      <c r="G524" s="3" t="e">
        <f t="shared" si="8"/>
        <v>#DIV/0!</v>
      </c>
      <c r="H524" t="s">
        <v>788</v>
      </c>
      <c r="I524" s="3">
        <f>D524/(VLOOKUP(B524,'2025 Team'!$B$2:$G$33,3,FALSE))</f>
        <v>0</v>
      </c>
    </row>
    <row r="525" spans="1:9" x14ac:dyDescent="0.25">
      <c r="A525" t="s">
        <v>965</v>
      </c>
      <c r="B525" t="s">
        <v>50</v>
      </c>
      <c r="C525" t="s">
        <v>163</v>
      </c>
      <c r="D525" t="s">
        <v>417</v>
      </c>
      <c r="E525" t="s">
        <v>417</v>
      </c>
      <c r="F525" t="s">
        <v>417</v>
      </c>
      <c r="G525" s="3" t="e">
        <f t="shared" si="8"/>
        <v>#DIV/0!</v>
      </c>
      <c r="H525" t="s">
        <v>788</v>
      </c>
      <c r="I525" s="3">
        <f>D525/(VLOOKUP(B525,'2025 Team'!$B$2:$G$33,3,FALSE))</f>
        <v>0</v>
      </c>
    </row>
    <row r="526" spans="1:9" x14ac:dyDescent="0.25">
      <c r="A526" t="s">
        <v>966</v>
      </c>
      <c r="B526" t="s">
        <v>50</v>
      </c>
      <c r="C526" t="s">
        <v>153</v>
      </c>
      <c r="D526" t="s">
        <v>417</v>
      </c>
      <c r="E526" t="s">
        <v>417</v>
      </c>
      <c r="F526" t="s">
        <v>417</v>
      </c>
      <c r="G526" s="3" t="e">
        <f t="shared" si="8"/>
        <v>#DIV/0!</v>
      </c>
      <c r="H526" t="s">
        <v>788</v>
      </c>
      <c r="I526" s="3">
        <f>D526/(VLOOKUP(B526,'2025 Team'!$B$2:$G$33,3,FALSE))</f>
        <v>0</v>
      </c>
    </row>
    <row r="527" spans="1:9" x14ac:dyDescent="0.25">
      <c r="A527" t="s">
        <v>967</v>
      </c>
      <c r="B527" t="s">
        <v>50</v>
      </c>
      <c r="C527" t="s">
        <v>153</v>
      </c>
      <c r="D527" t="s">
        <v>417</v>
      </c>
      <c r="E527" t="s">
        <v>417</v>
      </c>
      <c r="F527" t="s">
        <v>417</v>
      </c>
      <c r="G527" s="3" t="e">
        <f t="shared" si="8"/>
        <v>#DIV/0!</v>
      </c>
      <c r="H527" t="s">
        <v>788</v>
      </c>
      <c r="I527" s="3">
        <f>D527/(VLOOKUP(B527,'2025 Team'!$B$2:$G$33,3,FALSE))</f>
        <v>0</v>
      </c>
    </row>
    <row r="528" spans="1:9" x14ac:dyDescent="0.25">
      <c r="A528" t="s">
        <v>968</v>
      </c>
      <c r="B528" t="s">
        <v>50</v>
      </c>
      <c r="C528" t="s">
        <v>613</v>
      </c>
      <c r="D528" t="s">
        <v>417</v>
      </c>
      <c r="E528" t="s">
        <v>417</v>
      </c>
      <c r="F528" t="s">
        <v>417</v>
      </c>
      <c r="G528" s="3" t="e">
        <f t="shared" si="8"/>
        <v>#DIV/0!</v>
      </c>
      <c r="H528" t="s">
        <v>788</v>
      </c>
      <c r="I528" s="3">
        <f>D528/(VLOOKUP(B528,'2025 Team'!$B$2:$G$33,3,FALSE))</f>
        <v>0</v>
      </c>
    </row>
    <row r="529" spans="1:9" x14ac:dyDescent="0.25">
      <c r="A529" t="s">
        <v>969</v>
      </c>
      <c r="B529" t="s">
        <v>54</v>
      </c>
      <c r="C529" t="s">
        <v>153</v>
      </c>
      <c r="D529" t="s">
        <v>417</v>
      </c>
      <c r="E529" t="s">
        <v>417</v>
      </c>
      <c r="F529" t="s">
        <v>417</v>
      </c>
      <c r="G529" s="3" t="e">
        <f t="shared" si="8"/>
        <v>#DIV/0!</v>
      </c>
      <c r="H529" t="s">
        <v>788</v>
      </c>
      <c r="I529" s="3">
        <f>D529/(VLOOKUP(B529,'2025 Team'!$B$2:$G$33,3,FALSE))</f>
        <v>0</v>
      </c>
    </row>
    <row r="530" spans="1:9" x14ac:dyDescent="0.25">
      <c r="A530" t="s">
        <v>970</v>
      </c>
      <c r="B530" t="s">
        <v>54</v>
      </c>
      <c r="C530" t="s">
        <v>163</v>
      </c>
      <c r="D530" t="s">
        <v>417</v>
      </c>
      <c r="E530" t="s">
        <v>417</v>
      </c>
      <c r="F530" t="s">
        <v>417</v>
      </c>
      <c r="G530" s="3" t="e">
        <f t="shared" si="8"/>
        <v>#DIV/0!</v>
      </c>
      <c r="H530" t="s">
        <v>788</v>
      </c>
      <c r="I530" s="3">
        <f>D530/(VLOOKUP(B530,'2025 Team'!$B$2:$G$33,3,FALSE))</f>
        <v>0</v>
      </c>
    </row>
    <row r="531" spans="1:9" x14ac:dyDescent="0.25">
      <c r="A531" t="s">
        <v>971</v>
      </c>
      <c r="B531" t="s">
        <v>54</v>
      </c>
      <c r="C531" t="s">
        <v>163</v>
      </c>
      <c r="D531" t="s">
        <v>417</v>
      </c>
      <c r="E531" t="s">
        <v>417</v>
      </c>
      <c r="F531" t="s">
        <v>417</v>
      </c>
      <c r="G531" s="3" t="e">
        <f t="shared" si="8"/>
        <v>#DIV/0!</v>
      </c>
      <c r="H531" t="s">
        <v>788</v>
      </c>
      <c r="I531" s="3">
        <f>D531/(VLOOKUP(B531,'2025 Team'!$B$2:$G$33,3,FALSE))</f>
        <v>0</v>
      </c>
    </row>
    <row r="532" spans="1:9" x14ac:dyDescent="0.25">
      <c r="A532" t="s">
        <v>867</v>
      </c>
      <c r="B532" t="s">
        <v>54</v>
      </c>
      <c r="C532" t="s">
        <v>163</v>
      </c>
      <c r="D532" t="s">
        <v>417</v>
      </c>
      <c r="E532" t="s">
        <v>417</v>
      </c>
      <c r="F532" t="s">
        <v>417</v>
      </c>
      <c r="G532" s="3" t="e">
        <f t="shared" si="8"/>
        <v>#DIV/0!</v>
      </c>
      <c r="H532" t="s">
        <v>788</v>
      </c>
      <c r="I532" s="3">
        <f>D532/(VLOOKUP(B532,'2025 Team'!$B$2:$G$33,3,FALSE))</f>
        <v>0</v>
      </c>
    </row>
    <row r="533" spans="1:9" x14ac:dyDescent="0.25">
      <c r="A533" t="s">
        <v>972</v>
      </c>
      <c r="B533" t="s">
        <v>54</v>
      </c>
      <c r="C533" t="s">
        <v>163</v>
      </c>
      <c r="D533" t="s">
        <v>417</v>
      </c>
      <c r="E533" t="s">
        <v>417</v>
      </c>
      <c r="F533" t="s">
        <v>417</v>
      </c>
      <c r="G533" s="3" t="e">
        <f t="shared" si="8"/>
        <v>#DIV/0!</v>
      </c>
      <c r="H533" t="s">
        <v>788</v>
      </c>
      <c r="I533" s="3">
        <f>D533/(VLOOKUP(B533,'2025 Team'!$B$2:$G$33,3,FALSE))</f>
        <v>0</v>
      </c>
    </row>
    <row r="534" spans="1:9" x14ac:dyDescent="0.25">
      <c r="A534" t="s">
        <v>973</v>
      </c>
      <c r="B534" t="s">
        <v>54</v>
      </c>
      <c r="C534" t="s">
        <v>153</v>
      </c>
      <c r="D534" t="s">
        <v>417</v>
      </c>
      <c r="E534" t="s">
        <v>417</v>
      </c>
      <c r="F534" t="s">
        <v>417</v>
      </c>
      <c r="G534" s="3" t="e">
        <f t="shared" si="8"/>
        <v>#DIV/0!</v>
      </c>
      <c r="H534" t="s">
        <v>788</v>
      </c>
      <c r="I534" s="3">
        <f>D534/(VLOOKUP(B534,'2025 Team'!$B$2:$G$33,3,FALSE))</f>
        <v>0</v>
      </c>
    </row>
    <row r="535" spans="1:9" x14ac:dyDescent="0.25">
      <c r="A535" t="s">
        <v>974</v>
      </c>
      <c r="B535" t="s">
        <v>54</v>
      </c>
      <c r="C535" t="s">
        <v>153</v>
      </c>
      <c r="D535" t="s">
        <v>417</v>
      </c>
      <c r="E535" t="s">
        <v>417</v>
      </c>
      <c r="F535" t="s">
        <v>417</v>
      </c>
      <c r="G535" s="3" t="e">
        <f t="shared" si="8"/>
        <v>#DIV/0!</v>
      </c>
      <c r="H535" t="s">
        <v>788</v>
      </c>
      <c r="I535" s="3">
        <f>D535/(VLOOKUP(B535,'2025 Team'!$B$2:$G$33,3,FALSE))</f>
        <v>0</v>
      </c>
    </row>
    <row r="536" spans="1:9" x14ac:dyDescent="0.25">
      <c r="A536" t="s">
        <v>806</v>
      </c>
      <c r="B536" t="s">
        <v>54</v>
      </c>
      <c r="C536" t="s">
        <v>163</v>
      </c>
      <c r="D536" t="s">
        <v>417</v>
      </c>
      <c r="E536" t="s">
        <v>417</v>
      </c>
      <c r="F536" t="s">
        <v>417</v>
      </c>
      <c r="G536" s="3" t="e">
        <f t="shared" si="8"/>
        <v>#DIV/0!</v>
      </c>
      <c r="H536" t="s">
        <v>788</v>
      </c>
      <c r="I536" s="3">
        <f>D536/(VLOOKUP(B536,'2025 Team'!$B$2:$G$33,3,FALSE))</f>
        <v>0</v>
      </c>
    </row>
    <row r="537" spans="1:9" x14ac:dyDescent="0.25">
      <c r="A537" t="s">
        <v>975</v>
      </c>
      <c r="B537" t="s">
        <v>54</v>
      </c>
      <c r="C537" t="s">
        <v>163</v>
      </c>
      <c r="D537" t="s">
        <v>417</v>
      </c>
      <c r="E537" t="s">
        <v>417</v>
      </c>
      <c r="F537" t="s">
        <v>417</v>
      </c>
      <c r="G537" s="3" t="e">
        <f t="shared" si="8"/>
        <v>#DIV/0!</v>
      </c>
      <c r="H537" t="s">
        <v>788</v>
      </c>
      <c r="I537" s="3">
        <f>D537/(VLOOKUP(B537,'2025 Team'!$B$2:$G$33,3,FALSE))</f>
        <v>0</v>
      </c>
    </row>
    <row r="538" spans="1:9" x14ac:dyDescent="0.25">
      <c r="A538" t="s">
        <v>162</v>
      </c>
      <c r="B538" t="s">
        <v>54</v>
      </c>
      <c r="C538" t="s">
        <v>163</v>
      </c>
      <c r="D538" t="s">
        <v>417</v>
      </c>
      <c r="E538" t="s">
        <v>417</v>
      </c>
      <c r="F538" t="s">
        <v>417</v>
      </c>
      <c r="G538" s="3" t="e">
        <f t="shared" si="8"/>
        <v>#DIV/0!</v>
      </c>
      <c r="H538" t="s">
        <v>788</v>
      </c>
      <c r="I538" s="3">
        <f>D538/(VLOOKUP(B538,'2025 Team'!$B$2:$G$33,3,FALSE))</f>
        <v>0</v>
      </c>
    </row>
    <row r="539" spans="1:9" x14ac:dyDescent="0.25">
      <c r="A539" t="s">
        <v>976</v>
      </c>
      <c r="B539" t="s">
        <v>54</v>
      </c>
      <c r="C539" t="s">
        <v>163</v>
      </c>
      <c r="D539" t="s">
        <v>417</v>
      </c>
      <c r="E539" t="s">
        <v>417</v>
      </c>
      <c r="F539" t="s">
        <v>417</v>
      </c>
      <c r="G539" s="3" t="e">
        <f t="shared" si="8"/>
        <v>#DIV/0!</v>
      </c>
      <c r="H539" t="s">
        <v>788</v>
      </c>
      <c r="I539" s="3">
        <f>D539/(VLOOKUP(B539,'2025 Team'!$B$2:$G$33,3,FALSE))</f>
        <v>0</v>
      </c>
    </row>
    <row r="540" spans="1:9" x14ac:dyDescent="0.25">
      <c r="A540" t="s">
        <v>977</v>
      </c>
      <c r="B540" t="s">
        <v>56</v>
      </c>
      <c r="C540" t="s">
        <v>163</v>
      </c>
      <c r="D540" t="s">
        <v>417</v>
      </c>
      <c r="E540" t="s">
        <v>417</v>
      </c>
      <c r="F540" t="s">
        <v>417</v>
      </c>
      <c r="G540" s="3" t="e">
        <f t="shared" si="8"/>
        <v>#DIV/0!</v>
      </c>
      <c r="H540" t="s">
        <v>788</v>
      </c>
      <c r="I540" s="3">
        <f>D540/(VLOOKUP(B540,'2025 Team'!$B$2:$G$33,3,FALSE))</f>
        <v>0</v>
      </c>
    </row>
    <row r="541" spans="1:9" x14ac:dyDescent="0.25">
      <c r="A541" t="s">
        <v>978</v>
      </c>
      <c r="B541" t="s">
        <v>56</v>
      </c>
      <c r="C541" t="s">
        <v>163</v>
      </c>
      <c r="D541" t="s">
        <v>417</v>
      </c>
      <c r="E541" t="s">
        <v>417</v>
      </c>
      <c r="F541" t="s">
        <v>417</v>
      </c>
      <c r="G541" s="3" t="e">
        <f t="shared" si="8"/>
        <v>#DIV/0!</v>
      </c>
      <c r="H541" t="s">
        <v>788</v>
      </c>
      <c r="I541" s="3">
        <f>D541/(VLOOKUP(B541,'2025 Team'!$B$2:$G$33,3,FALSE))</f>
        <v>0</v>
      </c>
    </row>
    <row r="542" spans="1:9" x14ac:dyDescent="0.25">
      <c r="A542" t="s">
        <v>979</v>
      </c>
      <c r="B542" t="s">
        <v>56</v>
      </c>
      <c r="C542" t="s">
        <v>980</v>
      </c>
      <c r="D542" t="s">
        <v>417</v>
      </c>
      <c r="E542" t="s">
        <v>417</v>
      </c>
      <c r="F542" t="s">
        <v>417</v>
      </c>
      <c r="G542" s="3" t="e">
        <f t="shared" si="8"/>
        <v>#DIV/0!</v>
      </c>
      <c r="H542" t="s">
        <v>788</v>
      </c>
      <c r="I542" s="3">
        <f>D542/(VLOOKUP(B542,'2025 Team'!$B$2:$G$33,3,FALSE))</f>
        <v>0</v>
      </c>
    </row>
    <row r="543" spans="1:9" x14ac:dyDescent="0.25">
      <c r="A543" t="s">
        <v>981</v>
      </c>
      <c r="B543" t="s">
        <v>56</v>
      </c>
      <c r="C543" t="s">
        <v>163</v>
      </c>
      <c r="D543" t="s">
        <v>417</v>
      </c>
      <c r="E543" t="s">
        <v>417</v>
      </c>
      <c r="F543" t="s">
        <v>417</v>
      </c>
      <c r="G543" s="3" t="e">
        <f t="shared" si="8"/>
        <v>#DIV/0!</v>
      </c>
      <c r="H543" t="s">
        <v>788</v>
      </c>
      <c r="I543" s="3">
        <f>D543/(VLOOKUP(B543,'2025 Team'!$B$2:$G$33,3,FALSE))</f>
        <v>0</v>
      </c>
    </row>
    <row r="544" spans="1:9" x14ac:dyDescent="0.25">
      <c r="A544" t="s">
        <v>982</v>
      </c>
      <c r="B544" t="s">
        <v>56</v>
      </c>
      <c r="C544" t="s">
        <v>153</v>
      </c>
      <c r="D544" t="s">
        <v>417</v>
      </c>
      <c r="E544" t="s">
        <v>417</v>
      </c>
      <c r="F544" t="s">
        <v>417</v>
      </c>
      <c r="G544" s="3" t="e">
        <f t="shared" si="8"/>
        <v>#DIV/0!</v>
      </c>
      <c r="H544" t="s">
        <v>788</v>
      </c>
      <c r="I544" s="3">
        <f>D544/(VLOOKUP(B544,'2025 Team'!$B$2:$G$33,3,FALSE))</f>
        <v>0</v>
      </c>
    </row>
    <row r="545" spans="1:9" x14ac:dyDescent="0.25">
      <c r="A545" t="s">
        <v>983</v>
      </c>
      <c r="B545" t="s">
        <v>56</v>
      </c>
      <c r="C545" t="s">
        <v>163</v>
      </c>
      <c r="D545" t="s">
        <v>417</v>
      </c>
      <c r="E545" t="s">
        <v>417</v>
      </c>
      <c r="F545" t="s">
        <v>417</v>
      </c>
      <c r="G545" s="3" t="e">
        <f t="shared" si="8"/>
        <v>#DIV/0!</v>
      </c>
      <c r="H545" t="s">
        <v>788</v>
      </c>
      <c r="I545" s="3">
        <f>D545/(VLOOKUP(B545,'2025 Team'!$B$2:$G$33,3,FALSE))</f>
        <v>0</v>
      </c>
    </row>
    <row r="546" spans="1:9" x14ac:dyDescent="0.25">
      <c r="A546" t="s">
        <v>984</v>
      </c>
      <c r="B546" t="s">
        <v>56</v>
      </c>
      <c r="C546" t="s">
        <v>153</v>
      </c>
      <c r="D546" t="s">
        <v>417</v>
      </c>
      <c r="E546" t="s">
        <v>417</v>
      </c>
      <c r="F546" t="s">
        <v>417</v>
      </c>
      <c r="G546" s="3" t="e">
        <f t="shared" si="8"/>
        <v>#DIV/0!</v>
      </c>
      <c r="H546" t="s">
        <v>788</v>
      </c>
      <c r="I546" s="3">
        <f>D546/(VLOOKUP(B546,'2025 Team'!$B$2:$G$33,3,FALSE))</f>
        <v>0</v>
      </c>
    </row>
    <row r="547" spans="1:9" x14ac:dyDescent="0.25">
      <c r="A547" t="s">
        <v>985</v>
      </c>
      <c r="B547" t="s">
        <v>56</v>
      </c>
      <c r="C547" t="s">
        <v>153</v>
      </c>
      <c r="D547" t="s">
        <v>417</v>
      </c>
      <c r="E547" t="s">
        <v>417</v>
      </c>
      <c r="F547" t="s">
        <v>417</v>
      </c>
      <c r="G547" s="3" t="e">
        <f t="shared" si="8"/>
        <v>#DIV/0!</v>
      </c>
      <c r="H547" t="s">
        <v>788</v>
      </c>
      <c r="I547" s="3">
        <f>D547/(VLOOKUP(B547,'2025 Team'!$B$2:$G$33,3,FALSE))</f>
        <v>0</v>
      </c>
    </row>
    <row r="548" spans="1:9" x14ac:dyDescent="0.25">
      <c r="A548" t="s">
        <v>986</v>
      </c>
      <c r="B548" t="s">
        <v>56</v>
      </c>
      <c r="C548" t="s">
        <v>163</v>
      </c>
      <c r="D548" t="s">
        <v>417</v>
      </c>
      <c r="E548" t="s">
        <v>417</v>
      </c>
      <c r="F548" t="s">
        <v>417</v>
      </c>
      <c r="G548" s="3" t="e">
        <f t="shared" si="8"/>
        <v>#DIV/0!</v>
      </c>
      <c r="H548" t="s">
        <v>788</v>
      </c>
      <c r="I548" s="3">
        <f>D548/(VLOOKUP(B548,'2025 Team'!$B$2:$G$33,3,FALSE))</f>
        <v>0</v>
      </c>
    </row>
    <row r="549" spans="1:9" x14ac:dyDescent="0.25">
      <c r="A549" t="s">
        <v>987</v>
      </c>
      <c r="B549" t="s">
        <v>56</v>
      </c>
      <c r="C549" t="s">
        <v>153</v>
      </c>
      <c r="D549" t="s">
        <v>417</v>
      </c>
      <c r="E549" t="s">
        <v>417</v>
      </c>
      <c r="F549" t="s">
        <v>417</v>
      </c>
      <c r="G549" s="3" t="e">
        <f t="shared" si="8"/>
        <v>#DIV/0!</v>
      </c>
      <c r="H549" t="s">
        <v>788</v>
      </c>
      <c r="I549" s="3">
        <f>D549/(VLOOKUP(B549,'2025 Team'!$B$2:$G$33,3,FALSE))</f>
        <v>0</v>
      </c>
    </row>
    <row r="550" spans="1:9" x14ac:dyDescent="0.25">
      <c r="A550" t="s">
        <v>677</v>
      </c>
      <c r="B550" t="s">
        <v>58</v>
      </c>
      <c r="C550" t="s">
        <v>163</v>
      </c>
      <c r="D550" t="s">
        <v>417</v>
      </c>
      <c r="E550" t="s">
        <v>417</v>
      </c>
      <c r="F550" t="s">
        <v>417</v>
      </c>
      <c r="G550" s="3" t="e">
        <f t="shared" si="8"/>
        <v>#DIV/0!</v>
      </c>
      <c r="H550" t="s">
        <v>788</v>
      </c>
      <c r="I550" s="3">
        <f>D550/(VLOOKUP(B550,'2025 Team'!$B$2:$G$33,3,FALSE))</f>
        <v>0</v>
      </c>
    </row>
    <row r="551" spans="1:9" x14ac:dyDescent="0.25">
      <c r="A551" t="s">
        <v>988</v>
      </c>
      <c r="B551" t="s">
        <v>58</v>
      </c>
      <c r="C551" t="s">
        <v>163</v>
      </c>
      <c r="D551" t="s">
        <v>417</v>
      </c>
      <c r="E551" t="s">
        <v>417</v>
      </c>
      <c r="F551" t="s">
        <v>417</v>
      </c>
      <c r="G551" s="3" t="e">
        <f t="shared" si="8"/>
        <v>#DIV/0!</v>
      </c>
      <c r="H551" t="s">
        <v>788</v>
      </c>
      <c r="I551" s="3">
        <f>D551/(VLOOKUP(B551,'2025 Team'!$B$2:$G$33,3,FALSE))</f>
        <v>0</v>
      </c>
    </row>
    <row r="552" spans="1:9" x14ac:dyDescent="0.25">
      <c r="A552" t="s">
        <v>989</v>
      </c>
      <c r="B552" t="s">
        <v>58</v>
      </c>
      <c r="C552" t="s">
        <v>153</v>
      </c>
      <c r="D552" t="s">
        <v>417</v>
      </c>
      <c r="E552" t="s">
        <v>417</v>
      </c>
      <c r="F552" t="s">
        <v>417</v>
      </c>
      <c r="G552" s="3" t="e">
        <f t="shared" si="8"/>
        <v>#DIV/0!</v>
      </c>
      <c r="H552" t="s">
        <v>788</v>
      </c>
      <c r="I552" s="3">
        <f>D552/(VLOOKUP(B552,'2025 Team'!$B$2:$G$33,3,FALSE))</f>
        <v>0</v>
      </c>
    </row>
    <row r="553" spans="1:9" x14ac:dyDescent="0.25">
      <c r="A553" t="s">
        <v>990</v>
      </c>
      <c r="B553" t="s">
        <v>58</v>
      </c>
      <c r="C553" t="s">
        <v>163</v>
      </c>
      <c r="D553" t="s">
        <v>417</v>
      </c>
      <c r="E553" t="s">
        <v>417</v>
      </c>
      <c r="F553" t="s">
        <v>417</v>
      </c>
      <c r="G553" s="3" t="e">
        <f t="shared" si="8"/>
        <v>#DIV/0!</v>
      </c>
      <c r="H553" t="s">
        <v>788</v>
      </c>
      <c r="I553" s="3">
        <f>D553/(VLOOKUP(B553,'2025 Team'!$B$2:$G$33,3,FALSE))</f>
        <v>0</v>
      </c>
    </row>
    <row r="554" spans="1:9" x14ac:dyDescent="0.25">
      <c r="A554" t="s">
        <v>991</v>
      </c>
      <c r="B554" t="s">
        <v>58</v>
      </c>
      <c r="C554" t="s">
        <v>163</v>
      </c>
      <c r="D554" t="s">
        <v>417</v>
      </c>
      <c r="E554" t="s">
        <v>417</v>
      </c>
      <c r="F554" t="s">
        <v>417</v>
      </c>
      <c r="G554" s="3" t="e">
        <f t="shared" si="8"/>
        <v>#DIV/0!</v>
      </c>
      <c r="H554" t="s">
        <v>788</v>
      </c>
      <c r="I554" s="3">
        <f>D554/(VLOOKUP(B554,'2025 Team'!$B$2:$G$33,3,FALSE))</f>
        <v>0</v>
      </c>
    </row>
    <row r="555" spans="1:9" x14ac:dyDescent="0.25">
      <c r="A555" t="s">
        <v>992</v>
      </c>
      <c r="B555" t="s">
        <v>58</v>
      </c>
      <c r="C555" t="s">
        <v>163</v>
      </c>
      <c r="D555" t="s">
        <v>417</v>
      </c>
      <c r="E555" t="s">
        <v>417</v>
      </c>
      <c r="F555" t="s">
        <v>417</v>
      </c>
      <c r="G555" s="3" t="e">
        <f t="shared" si="8"/>
        <v>#DIV/0!</v>
      </c>
      <c r="H555" t="s">
        <v>788</v>
      </c>
      <c r="I555" s="3">
        <f>D555/(VLOOKUP(B555,'2025 Team'!$B$2:$G$33,3,FALSE))</f>
        <v>0</v>
      </c>
    </row>
    <row r="556" spans="1:9" x14ac:dyDescent="0.25">
      <c r="A556" t="s">
        <v>993</v>
      </c>
      <c r="B556" t="s">
        <v>58</v>
      </c>
      <c r="C556" t="s">
        <v>163</v>
      </c>
      <c r="D556" t="s">
        <v>417</v>
      </c>
      <c r="E556" t="s">
        <v>417</v>
      </c>
      <c r="F556" t="s">
        <v>417</v>
      </c>
      <c r="G556" s="3" t="e">
        <f t="shared" si="8"/>
        <v>#DIV/0!</v>
      </c>
      <c r="H556" t="s">
        <v>788</v>
      </c>
      <c r="I556" s="3">
        <f>D556/(VLOOKUP(B556,'2025 Team'!$B$2:$G$33,3,FALSE))</f>
        <v>0</v>
      </c>
    </row>
    <row r="557" spans="1:9" x14ac:dyDescent="0.25">
      <c r="A557" t="s">
        <v>994</v>
      </c>
      <c r="B557" t="s">
        <v>58</v>
      </c>
      <c r="C557" t="s">
        <v>153</v>
      </c>
      <c r="D557" t="s">
        <v>417</v>
      </c>
      <c r="E557" t="s">
        <v>417</v>
      </c>
      <c r="F557" t="s">
        <v>417</v>
      </c>
      <c r="G557" s="3" t="e">
        <f t="shared" si="8"/>
        <v>#DIV/0!</v>
      </c>
      <c r="H557" t="s">
        <v>788</v>
      </c>
      <c r="I557" s="3">
        <f>D557/(VLOOKUP(B557,'2025 Team'!$B$2:$G$33,3,FALSE))</f>
        <v>0</v>
      </c>
    </row>
    <row r="558" spans="1:9" x14ac:dyDescent="0.25">
      <c r="A558" t="s">
        <v>995</v>
      </c>
      <c r="B558" t="s">
        <v>58</v>
      </c>
      <c r="C558" t="s">
        <v>153</v>
      </c>
      <c r="D558" t="s">
        <v>417</v>
      </c>
      <c r="E558" t="s">
        <v>417</v>
      </c>
      <c r="F558" t="s">
        <v>417</v>
      </c>
      <c r="G558" s="3" t="e">
        <f t="shared" si="8"/>
        <v>#DIV/0!</v>
      </c>
      <c r="H558" t="s">
        <v>788</v>
      </c>
      <c r="I558" s="3">
        <f>D558/(VLOOKUP(B558,'2025 Team'!$B$2:$G$33,3,FALSE))</f>
        <v>0</v>
      </c>
    </row>
    <row r="559" spans="1:9" x14ac:dyDescent="0.25">
      <c r="A559" t="s">
        <v>996</v>
      </c>
      <c r="B559" t="s">
        <v>58</v>
      </c>
      <c r="C559" t="s">
        <v>163</v>
      </c>
      <c r="D559" t="s">
        <v>417</v>
      </c>
      <c r="E559" t="s">
        <v>417</v>
      </c>
      <c r="F559" t="s">
        <v>417</v>
      </c>
      <c r="G559" s="3" t="e">
        <f t="shared" si="8"/>
        <v>#DIV/0!</v>
      </c>
      <c r="H559" t="s">
        <v>788</v>
      </c>
      <c r="I559" s="3">
        <f>D559/(VLOOKUP(B559,'2025 Team'!$B$2:$G$33,3,FALSE))</f>
        <v>0</v>
      </c>
    </row>
    <row r="560" spans="1:9" x14ac:dyDescent="0.25">
      <c r="A560" t="s">
        <v>997</v>
      </c>
      <c r="B560" t="s">
        <v>60</v>
      </c>
      <c r="C560" t="s">
        <v>998</v>
      </c>
      <c r="D560" t="s">
        <v>417</v>
      </c>
      <c r="E560" t="s">
        <v>417</v>
      </c>
      <c r="F560" t="s">
        <v>417</v>
      </c>
      <c r="G560" s="3" t="e">
        <f t="shared" si="8"/>
        <v>#DIV/0!</v>
      </c>
      <c r="H560" t="s">
        <v>788</v>
      </c>
      <c r="I560" s="3">
        <f>D560/(VLOOKUP(B560,'2025 Team'!$B$2:$G$33,3,FALSE))</f>
        <v>0</v>
      </c>
    </row>
    <row r="561" spans="1:9" x14ac:dyDescent="0.25">
      <c r="A561" t="s">
        <v>999</v>
      </c>
      <c r="B561" t="s">
        <v>60</v>
      </c>
      <c r="C561" t="s">
        <v>163</v>
      </c>
      <c r="D561" t="s">
        <v>417</v>
      </c>
      <c r="E561" t="s">
        <v>417</v>
      </c>
      <c r="F561" t="s">
        <v>417</v>
      </c>
      <c r="G561" s="3" t="e">
        <f t="shared" si="8"/>
        <v>#DIV/0!</v>
      </c>
      <c r="H561" t="s">
        <v>788</v>
      </c>
      <c r="I561" s="3">
        <f>D561/(VLOOKUP(B561,'2025 Team'!$B$2:$G$33,3,FALSE))</f>
        <v>0</v>
      </c>
    </row>
    <row r="562" spans="1:9" x14ac:dyDescent="0.25">
      <c r="A562" t="s">
        <v>1000</v>
      </c>
      <c r="B562" t="s">
        <v>60</v>
      </c>
      <c r="C562" t="s">
        <v>153</v>
      </c>
      <c r="D562" t="s">
        <v>417</v>
      </c>
      <c r="E562" t="s">
        <v>417</v>
      </c>
      <c r="F562" t="s">
        <v>417</v>
      </c>
      <c r="G562" s="3" t="e">
        <f t="shared" si="8"/>
        <v>#DIV/0!</v>
      </c>
      <c r="H562" t="s">
        <v>788</v>
      </c>
      <c r="I562" s="3">
        <f>D562/(VLOOKUP(B562,'2025 Team'!$B$2:$G$33,3,FALSE))</f>
        <v>0</v>
      </c>
    </row>
    <row r="563" spans="1:9" x14ac:dyDescent="0.25">
      <c r="A563" t="s">
        <v>1001</v>
      </c>
      <c r="B563" t="s">
        <v>60</v>
      </c>
      <c r="C563" t="s">
        <v>163</v>
      </c>
      <c r="D563" t="s">
        <v>417</v>
      </c>
      <c r="E563" t="s">
        <v>417</v>
      </c>
      <c r="F563" t="s">
        <v>417</v>
      </c>
      <c r="G563" s="3" t="e">
        <f t="shared" si="8"/>
        <v>#DIV/0!</v>
      </c>
      <c r="H563" t="s">
        <v>788</v>
      </c>
      <c r="I563" s="3">
        <f>D563/(VLOOKUP(B563,'2025 Team'!$B$2:$G$33,3,FALSE))</f>
        <v>0</v>
      </c>
    </row>
    <row r="564" spans="1:9" x14ac:dyDescent="0.25">
      <c r="A564" t="s">
        <v>1002</v>
      </c>
      <c r="B564" t="s">
        <v>60</v>
      </c>
      <c r="C564" t="s">
        <v>163</v>
      </c>
      <c r="D564" t="s">
        <v>417</v>
      </c>
      <c r="E564" t="s">
        <v>417</v>
      </c>
      <c r="F564" t="s">
        <v>417</v>
      </c>
      <c r="G564" s="3" t="e">
        <f t="shared" si="8"/>
        <v>#DIV/0!</v>
      </c>
      <c r="H564" t="s">
        <v>788</v>
      </c>
      <c r="I564" s="3">
        <f>D564/(VLOOKUP(B564,'2025 Team'!$B$2:$G$33,3,FALSE))</f>
        <v>0</v>
      </c>
    </row>
    <row r="565" spans="1:9" x14ac:dyDescent="0.25">
      <c r="A565" t="s">
        <v>952</v>
      </c>
      <c r="B565" t="s">
        <v>60</v>
      </c>
      <c r="C565" t="s">
        <v>163</v>
      </c>
      <c r="D565" t="s">
        <v>417</v>
      </c>
      <c r="E565" t="s">
        <v>417</v>
      </c>
      <c r="F565" t="s">
        <v>417</v>
      </c>
      <c r="G565" s="3" t="e">
        <f t="shared" si="8"/>
        <v>#DIV/0!</v>
      </c>
      <c r="H565" t="s">
        <v>788</v>
      </c>
      <c r="I565" s="3">
        <f>D565/(VLOOKUP(B565,'2025 Team'!$B$2:$G$33,3,FALSE))</f>
        <v>0</v>
      </c>
    </row>
    <row r="566" spans="1:9" x14ac:dyDescent="0.25">
      <c r="A566" t="s">
        <v>1003</v>
      </c>
      <c r="B566" t="s">
        <v>60</v>
      </c>
      <c r="C566" t="s">
        <v>163</v>
      </c>
      <c r="D566" t="s">
        <v>417</v>
      </c>
      <c r="E566" t="s">
        <v>417</v>
      </c>
      <c r="F566" t="s">
        <v>417</v>
      </c>
      <c r="G566" s="3" t="e">
        <f t="shared" si="8"/>
        <v>#DIV/0!</v>
      </c>
      <c r="H566" t="s">
        <v>788</v>
      </c>
      <c r="I566" s="3">
        <f>D566/(VLOOKUP(B566,'2025 Team'!$B$2:$G$33,3,FALSE))</f>
        <v>0</v>
      </c>
    </row>
    <row r="567" spans="1:9" x14ac:dyDescent="0.25">
      <c r="A567" t="s">
        <v>1004</v>
      </c>
      <c r="B567" t="s">
        <v>60</v>
      </c>
      <c r="C567" t="s">
        <v>153</v>
      </c>
      <c r="D567" t="s">
        <v>417</v>
      </c>
      <c r="E567" t="s">
        <v>417</v>
      </c>
      <c r="F567" t="s">
        <v>417</v>
      </c>
      <c r="G567" s="3" t="e">
        <f t="shared" si="8"/>
        <v>#DIV/0!</v>
      </c>
      <c r="H567" t="s">
        <v>788</v>
      </c>
      <c r="I567" s="3">
        <f>D567/(VLOOKUP(B567,'2025 Team'!$B$2:$G$33,3,FALSE))</f>
        <v>0</v>
      </c>
    </row>
    <row r="568" spans="1:9" x14ac:dyDescent="0.25">
      <c r="A568" t="s">
        <v>1005</v>
      </c>
      <c r="B568" t="s">
        <v>60</v>
      </c>
      <c r="C568" t="s">
        <v>163</v>
      </c>
      <c r="D568" t="s">
        <v>417</v>
      </c>
      <c r="E568" t="s">
        <v>417</v>
      </c>
      <c r="F568" t="s">
        <v>417</v>
      </c>
      <c r="G568" s="3" t="e">
        <f t="shared" si="8"/>
        <v>#DIV/0!</v>
      </c>
      <c r="H568" t="s">
        <v>788</v>
      </c>
      <c r="I568" s="3">
        <f>D568/(VLOOKUP(B568,'2025 Team'!$B$2:$G$33,3,FALSE))</f>
        <v>0</v>
      </c>
    </row>
    <row r="569" spans="1:9" x14ac:dyDescent="0.25">
      <c r="A569" t="s">
        <v>1006</v>
      </c>
      <c r="B569" t="s">
        <v>64</v>
      </c>
      <c r="C569" t="s">
        <v>153</v>
      </c>
      <c r="D569" t="s">
        <v>417</v>
      </c>
      <c r="E569" t="s">
        <v>417</v>
      </c>
      <c r="F569" t="s">
        <v>417</v>
      </c>
      <c r="G569" s="3" t="e">
        <f t="shared" si="8"/>
        <v>#DIV/0!</v>
      </c>
      <c r="H569" t="s">
        <v>788</v>
      </c>
      <c r="I569" s="3">
        <f>D569/(VLOOKUP(B569,'2025 Team'!$B$2:$G$33,3,FALSE))</f>
        <v>0</v>
      </c>
    </row>
    <row r="570" spans="1:9" x14ac:dyDescent="0.25">
      <c r="A570" t="s">
        <v>1007</v>
      </c>
      <c r="B570" t="s">
        <v>64</v>
      </c>
      <c r="C570" t="s">
        <v>163</v>
      </c>
      <c r="D570" t="s">
        <v>417</v>
      </c>
      <c r="E570" t="s">
        <v>417</v>
      </c>
      <c r="F570" t="s">
        <v>417</v>
      </c>
      <c r="G570" s="3" t="e">
        <f t="shared" si="8"/>
        <v>#DIV/0!</v>
      </c>
      <c r="H570" t="s">
        <v>788</v>
      </c>
      <c r="I570" s="3">
        <f>D570/(VLOOKUP(B570,'2025 Team'!$B$2:$G$33,3,FALSE))</f>
        <v>0</v>
      </c>
    </row>
    <row r="571" spans="1:9" x14ac:dyDescent="0.25">
      <c r="A571" t="s">
        <v>1008</v>
      </c>
      <c r="B571" t="s">
        <v>64</v>
      </c>
      <c r="C571" t="s">
        <v>163</v>
      </c>
      <c r="D571" t="s">
        <v>417</v>
      </c>
      <c r="E571" t="s">
        <v>417</v>
      </c>
      <c r="F571" t="s">
        <v>417</v>
      </c>
      <c r="G571" s="3" t="e">
        <f t="shared" si="8"/>
        <v>#DIV/0!</v>
      </c>
      <c r="H571" t="s">
        <v>788</v>
      </c>
      <c r="I571" s="3">
        <f>D571/(VLOOKUP(B571,'2025 Team'!$B$2:$G$33,3,FALSE))</f>
        <v>0</v>
      </c>
    </row>
    <row r="572" spans="1:9" x14ac:dyDescent="0.25">
      <c r="A572" t="s">
        <v>1009</v>
      </c>
      <c r="B572" t="s">
        <v>64</v>
      </c>
      <c r="C572" t="s">
        <v>153</v>
      </c>
      <c r="D572" t="s">
        <v>417</v>
      </c>
      <c r="E572" t="s">
        <v>417</v>
      </c>
      <c r="F572" t="s">
        <v>417</v>
      </c>
      <c r="G572" s="3" t="e">
        <f t="shared" si="8"/>
        <v>#DIV/0!</v>
      </c>
      <c r="H572" t="s">
        <v>788</v>
      </c>
      <c r="I572" s="3">
        <f>D572/(VLOOKUP(B572,'2025 Team'!$B$2:$G$33,3,FALSE))</f>
        <v>0</v>
      </c>
    </row>
    <row r="573" spans="1:9" x14ac:dyDescent="0.25">
      <c r="A573" t="s">
        <v>181</v>
      </c>
      <c r="B573" t="s">
        <v>64</v>
      </c>
      <c r="C573" t="s">
        <v>163</v>
      </c>
      <c r="D573" t="s">
        <v>417</v>
      </c>
      <c r="E573" t="s">
        <v>417</v>
      </c>
      <c r="F573" t="s">
        <v>417</v>
      </c>
      <c r="G573" s="3" t="e">
        <f t="shared" si="8"/>
        <v>#DIV/0!</v>
      </c>
      <c r="H573" t="s">
        <v>788</v>
      </c>
      <c r="I573" s="3">
        <f>D573/(VLOOKUP(B573,'2025 Team'!$B$2:$G$33,3,FALSE))</f>
        <v>0</v>
      </c>
    </row>
    <row r="574" spans="1:9" x14ac:dyDescent="0.25">
      <c r="A574" t="s">
        <v>1010</v>
      </c>
      <c r="B574" t="s">
        <v>64</v>
      </c>
      <c r="C574" t="s">
        <v>613</v>
      </c>
      <c r="D574" t="s">
        <v>417</v>
      </c>
      <c r="E574" t="s">
        <v>417</v>
      </c>
      <c r="F574" t="s">
        <v>417</v>
      </c>
      <c r="G574" s="3" t="e">
        <f t="shared" si="8"/>
        <v>#DIV/0!</v>
      </c>
      <c r="H574" t="s">
        <v>788</v>
      </c>
      <c r="I574" s="3">
        <f>D574/(VLOOKUP(B574,'2025 Team'!$B$2:$G$33,3,FALSE))</f>
        <v>0</v>
      </c>
    </row>
    <row r="575" spans="1:9" x14ac:dyDescent="0.25">
      <c r="A575" t="s">
        <v>1011</v>
      </c>
      <c r="B575" t="s">
        <v>64</v>
      </c>
      <c r="C575" t="s">
        <v>153</v>
      </c>
      <c r="D575" t="s">
        <v>417</v>
      </c>
      <c r="E575" t="s">
        <v>417</v>
      </c>
      <c r="F575" t="s">
        <v>417</v>
      </c>
      <c r="G575" s="3" t="e">
        <f t="shared" si="8"/>
        <v>#DIV/0!</v>
      </c>
      <c r="H575" t="s">
        <v>788</v>
      </c>
      <c r="I575" s="3">
        <f>D575/(VLOOKUP(B575,'2025 Team'!$B$2:$G$33,3,FALSE))</f>
        <v>0</v>
      </c>
    </row>
    <row r="576" spans="1:9" x14ac:dyDescent="0.25">
      <c r="A576" t="s">
        <v>1012</v>
      </c>
      <c r="B576" t="s">
        <v>64</v>
      </c>
      <c r="C576" t="s">
        <v>163</v>
      </c>
      <c r="D576" t="s">
        <v>417</v>
      </c>
      <c r="E576" t="s">
        <v>417</v>
      </c>
      <c r="F576" t="s">
        <v>417</v>
      </c>
      <c r="G576" s="3" t="e">
        <f t="shared" si="8"/>
        <v>#DIV/0!</v>
      </c>
      <c r="H576" t="s">
        <v>788</v>
      </c>
      <c r="I576" s="3">
        <f>D576/(VLOOKUP(B576,'2025 Team'!$B$2:$G$33,3,FALSE))</f>
        <v>0</v>
      </c>
    </row>
    <row r="577" spans="1:9" x14ac:dyDescent="0.25">
      <c r="A577" t="s">
        <v>1013</v>
      </c>
      <c r="B577" t="s">
        <v>64</v>
      </c>
      <c r="C577" t="s">
        <v>163</v>
      </c>
      <c r="D577" t="s">
        <v>417</v>
      </c>
      <c r="E577" t="s">
        <v>417</v>
      </c>
      <c r="F577" t="s">
        <v>417</v>
      </c>
      <c r="G577" s="3" t="e">
        <f t="shared" si="8"/>
        <v>#DIV/0!</v>
      </c>
      <c r="H577" t="s">
        <v>788</v>
      </c>
      <c r="I577" s="3">
        <f>D577/(VLOOKUP(B577,'2025 Team'!$B$2:$G$33,3,FALSE))</f>
        <v>0</v>
      </c>
    </row>
    <row r="578" spans="1:9" x14ac:dyDescent="0.25">
      <c r="A578" t="s">
        <v>1014</v>
      </c>
      <c r="B578" t="s">
        <v>62</v>
      </c>
      <c r="C578" t="s">
        <v>163</v>
      </c>
      <c r="D578" t="s">
        <v>417</v>
      </c>
      <c r="E578" t="s">
        <v>417</v>
      </c>
      <c r="F578" t="s">
        <v>417</v>
      </c>
      <c r="G578" s="3" t="e">
        <f t="shared" ref="G578:G641" si="9">F578/D578</f>
        <v>#DIV/0!</v>
      </c>
      <c r="H578" t="s">
        <v>788</v>
      </c>
      <c r="I578" s="3">
        <f>D578/(VLOOKUP(B578,'2025 Team'!$B$2:$G$33,3,FALSE))</f>
        <v>0</v>
      </c>
    </row>
    <row r="579" spans="1:9" x14ac:dyDescent="0.25">
      <c r="A579" t="s">
        <v>1015</v>
      </c>
      <c r="B579" t="s">
        <v>62</v>
      </c>
      <c r="C579" t="s">
        <v>998</v>
      </c>
      <c r="D579" t="s">
        <v>417</v>
      </c>
      <c r="E579" t="s">
        <v>417</v>
      </c>
      <c r="F579" t="s">
        <v>417</v>
      </c>
      <c r="G579" s="3" t="e">
        <f t="shared" si="9"/>
        <v>#DIV/0!</v>
      </c>
      <c r="H579" t="s">
        <v>788</v>
      </c>
      <c r="I579" s="3">
        <f>D579/(VLOOKUP(B579,'2025 Team'!$B$2:$G$33,3,FALSE))</f>
        <v>0</v>
      </c>
    </row>
    <row r="580" spans="1:9" x14ac:dyDescent="0.25">
      <c r="A580" t="s">
        <v>1016</v>
      </c>
      <c r="B580" t="s">
        <v>62</v>
      </c>
      <c r="C580" t="s">
        <v>153</v>
      </c>
      <c r="D580" t="s">
        <v>417</v>
      </c>
      <c r="E580" t="s">
        <v>417</v>
      </c>
      <c r="F580" t="s">
        <v>417</v>
      </c>
      <c r="G580" s="3" t="e">
        <f t="shared" si="9"/>
        <v>#DIV/0!</v>
      </c>
      <c r="H580" t="s">
        <v>788</v>
      </c>
      <c r="I580" s="3">
        <f>D580/(VLOOKUP(B580,'2025 Team'!$B$2:$G$33,3,FALSE))</f>
        <v>0</v>
      </c>
    </row>
    <row r="581" spans="1:9" x14ac:dyDescent="0.25">
      <c r="A581" t="s">
        <v>1017</v>
      </c>
      <c r="B581" t="s">
        <v>62</v>
      </c>
      <c r="C581" t="s">
        <v>163</v>
      </c>
      <c r="D581" t="s">
        <v>417</v>
      </c>
      <c r="E581" t="s">
        <v>417</v>
      </c>
      <c r="F581" t="s">
        <v>417</v>
      </c>
      <c r="G581" s="3" t="e">
        <f t="shared" si="9"/>
        <v>#DIV/0!</v>
      </c>
      <c r="H581" t="s">
        <v>788</v>
      </c>
      <c r="I581" s="3">
        <f>D581/(VLOOKUP(B581,'2025 Team'!$B$2:$G$33,3,FALSE))</f>
        <v>0</v>
      </c>
    </row>
    <row r="582" spans="1:9" x14ac:dyDescent="0.25">
      <c r="A582" t="s">
        <v>1018</v>
      </c>
      <c r="B582" t="s">
        <v>62</v>
      </c>
      <c r="C582" t="s">
        <v>153</v>
      </c>
      <c r="D582" t="s">
        <v>417</v>
      </c>
      <c r="E582" t="s">
        <v>417</v>
      </c>
      <c r="F582" t="s">
        <v>417</v>
      </c>
      <c r="G582" s="3" t="e">
        <f t="shared" si="9"/>
        <v>#DIV/0!</v>
      </c>
      <c r="H582" t="s">
        <v>788</v>
      </c>
      <c r="I582" s="3">
        <f>D582/(VLOOKUP(B582,'2025 Team'!$B$2:$G$33,3,FALSE))</f>
        <v>0</v>
      </c>
    </row>
    <row r="583" spans="1:9" x14ac:dyDescent="0.25">
      <c r="A583" t="s">
        <v>1019</v>
      </c>
      <c r="B583" t="s">
        <v>62</v>
      </c>
      <c r="C583" t="s">
        <v>163</v>
      </c>
      <c r="D583" t="s">
        <v>417</v>
      </c>
      <c r="E583" t="s">
        <v>417</v>
      </c>
      <c r="F583" t="s">
        <v>417</v>
      </c>
      <c r="G583" s="3" t="e">
        <f t="shared" si="9"/>
        <v>#DIV/0!</v>
      </c>
      <c r="H583" t="s">
        <v>788</v>
      </c>
      <c r="I583" s="3">
        <f>D583/(VLOOKUP(B583,'2025 Team'!$B$2:$G$33,3,FALSE))</f>
        <v>0</v>
      </c>
    </row>
    <row r="584" spans="1:9" x14ac:dyDescent="0.25">
      <c r="A584" t="s">
        <v>1003</v>
      </c>
      <c r="B584" t="s">
        <v>62</v>
      </c>
      <c r="C584" t="s">
        <v>163</v>
      </c>
      <c r="D584" t="s">
        <v>417</v>
      </c>
      <c r="E584" t="s">
        <v>417</v>
      </c>
      <c r="F584" t="s">
        <v>417</v>
      </c>
      <c r="G584" s="3" t="e">
        <f t="shared" si="9"/>
        <v>#DIV/0!</v>
      </c>
      <c r="H584" t="s">
        <v>788</v>
      </c>
      <c r="I584" s="3">
        <f>D584/(VLOOKUP(B584,'2025 Team'!$B$2:$G$33,3,FALSE))</f>
        <v>0</v>
      </c>
    </row>
    <row r="585" spans="1:9" x14ac:dyDescent="0.25">
      <c r="A585" t="s">
        <v>1020</v>
      </c>
      <c r="B585" t="s">
        <v>62</v>
      </c>
      <c r="C585" t="s">
        <v>163</v>
      </c>
      <c r="D585" t="s">
        <v>417</v>
      </c>
      <c r="E585" t="s">
        <v>417</v>
      </c>
      <c r="F585" t="s">
        <v>417</v>
      </c>
      <c r="G585" s="3" t="e">
        <f t="shared" si="9"/>
        <v>#DIV/0!</v>
      </c>
      <c r="H585" t="s">
        <v>788</v>
      </c>
      <c r="I585" s="3">
        <f>D585/(VLOOKUP(B585,'2025 Team'!$B$2:$G$33,3,FALSE))</f>
        <v>0</v>
      </c>
    </row>
    <row r="586" spans="1:9" x14ac:dyDescent="0.25">
      <c r="A586" t="s">
        <v>1021</v>
      </c>
      <c r="B586" t="s">
        <v>62</v>
      </c>
      <c r="C586" t="s">
        <v>153</v>
      </c>
      <c r="D586" t="s">
        <v>417</v>
      </c>
      <c r="E586" t="s">
        <v>417</v>
      </c>
      <c r="F586" t="s">
        <v>417</v>
      </c>
      <c r="G586" s="3" t="e">
        <f t="shared" si="9"/>
        <v>#DIV/0!</v>
      </c>
      <c r="H586" t="s">
        <v>788</v>
      </c>
      <c r="I586" s="3">
        <f>D586/(VLOOKUP(B586,'2025 Team'!$B$2:$G$33,3,FALSE))</f>
        <v>0</v>
      </c>
    </row>
    <row r="587" spans="1:9" x14ac:dyDescent="0.25">
      <c r="A587" t="s">
        <v>1022</v>
      </c>
      <c r="B587" t="s">
        <v>66</v>
      </c>
      <c r="C587" t="s">
        <v>153</v>
      </c>
      <c r="D587" t="s">
        <v>417</v>
      </c>
      <c r="E587" t="s">
        <v>417</v>
      </c>
      <c r="F587" t="s">
        <v>417</v>
      </c>
      <c r="G587" s="3" t="e">
        <f t="shared" si="9"/>
        <v>#DIV/0!</v>
      </c>
      <c r="H587" t="s">
        <v>788</v>
      </c>
      <c r="I587" s="3">
        <f>D587/(VLOOKUP(B587,'2025 Team'!$B$2:$G$33,3,FALSE))</f>
        <v>0</v>
      </c>
    </row>
    <row r="588" spans="1:9" x14ac:dyDescent="0.25">
      <c r="A588" t="s">
        <v>1023</v>
      </c>
      <c r="B588" t="s">
        <v>66</v>
      </c>
      <c r="C588" t="s">
        <v>153</v>
      </c>
      <c r="D588" t="s">
        <v>417</v>
      </c>
      <c r="E588" t="s">
        <v>417</v>
      </c>
      <c r="F588" t="s">
        <v>417</v>
      </c>
      <c r="G588" s="3" t="e">
        <f t="shared" si="9"/>
        <v>#DIV/0!</v>
      </c>
      <c r="H588" t="s">
        <v>788</v>
      </c>
      <c r="I588" s="3">
        <f>D588/(VLOOKUP(B588,'2025 Team'!$B$2:$G$33,3,FALSE))</f>
        <v>0</v>
      </c>
    </row>
    <row r="589" spans="1:9" x14ac:dyDescent="0.25">
      <c r="A589" t="s">
        <v>1024</v>
      </c>
      <c r="B589" t="s">
        <v>66</v>
      </c>
      <c r="C589" t="s">
        <v>163</v>
      </c>
      <c r="D589" t="s">
        <v>417</v>
      </c>
      <c r="E589" t="s">
        <v>417</v>
      </c>
      <c r="F589" t="s">
        <v>417</v>
      </c>
      <c r="G589" s="3" t="e">
        <f t="shared" si="9"/>
        <v>#DIV/0!</v>
      </c>
      <c r="H589" t="s">
        <v>788</v>
      </c>
      <c r="I589" s="3">
        <f>D589/(VLOOKUP(B589,'2025 Team'!$B$2:$G$33,3,FALSE))</f>
        <v>0</v>
      </c>
    </row>
    <row r="590" spans="1:9" x14ac:dyDescent="0.25">
      <c r="A590" t="s">
        <v>1025</v>
      </c>
      <c r="B590" t="s">
        <v>66</v>
      </c>
      <c r="C590" t="s">
        <v>163</v>
      </c>
      <c r="D590" t="s">
        <v>417</v>
      </c>
      <c r="E590" t="s">
        <v>417</v>
      </c>
      <c r="F590" t="s">
        <v>417</v>
      </c>
      <c r="G590" s="3" t="e">
        <f t="shared" si="9"/>
        <v>#DIV/0!</v>
      </c>
      <c r="H590" t="s">
        <v>788</v>
      </c>
      <c r="I590" s="3">
        <f>D590/(VLOOKUP(B590,'2025 Team'!$B$2:$G$33,3,FALSE))</f>
        <v>0</v>
      </c>
    </row>
    <row r="591" spans="1:9" x14ac:dyDescent="0.25">
      <c r="A591" t="s">
        <v>1026</v>
      </c>
      <c r="B591" t="s">
        <v>66</v>
      </c>
      <c r="C591" t="s">
        <v>163</v>
      </c>
      <c r="D591" t="s">
        <v>417</v>
      </c>
      <c r="E591" t="s">
        <v>417</v>
      </c>
      <c r="F591" t="s">
        <v>417</v>
      </c>
      <c r="G591" s="3" t="e">
        <f t="shared" si="9"/>
        <v>#DIV/0!</v>
      </c>
      <c r="H591" t="s">
        <v>788</v>
      </c>
      <c r="I591" s="3">
        <f>D591/(VLOOKUP(B591,'2025 Team'!$B$2:$G$33,3,FALSE))</f>
        <v>0</v>
      </c>
    </row>
    <row r="592" spans="1:9" x14ac:dyDescent="0.25">
      <c r="A592" t="s">
        <v>1027</v>
      </c>
      <c r="B592" t="s">
        <v>66</v>
      </c>
      <c r="C592" t="s">
        <v>153</v>
      </c>
      <c r="D592" t="s">
        <v>417</v>
      </c>
      <c r="E592" t="s">
        <v>417</v>
      </c>
      <c r="F592" t="s">
        <v>417</v>
      </c>
      <c r="G592" s="3" t="e">
        <f t="shared" si="9"/>
        <v>#DIV/0!</v>
      </c>
      <c r="H592" t="s">
        <v>788</v>
      </c>
      <c r="I592" s="3">
        <f>D592/(VLOOKUP(B592,'2025 Team'!$B$2:$G$33,3,FALSE))</f>
        <v>0</v>
      </c>
    </row>
    <row r="593" spans="1:9" x14ac:dyDescent="0.25">
      <c r="A593" t="s">
        <v>1028</v>
      </c>
      <c r="B593" t="s">
        <v>66</v>
      </c>
      <c r="C593" t="s">
        <v>805</v>
      </c>
      <c r="D593" t="s">
        <v>417</v>
      </c>
      <c r="E593" t="s">
        <v>417</v>
      </c>
      <c r="F593" t="s">
        <v>417</v>
      </c>
      <c r="G593" s="3" t="e">
        <f t="shared" si="9"/>
        <v>#DIV/0!</v>
      </c>
      <c r="H593" t="s">
        <v>788</v>
      </c>
      <c r="I593" s="3">
        <f>D593/(VLOOKUP(B593,'2025 Team'!$B$2:$G$33,3,FALSE))</f>
        <v>0</v>
      </c>
    </row>
    <row r="594" spans="1:9" x14ac:dyDescent="0.25">
      <c r="A594" t="s">
        <v>1029</v>
      </c>
      <c r="B594" t="s">
        <v>68</v>
      </c>
      <c r="C594" t="s">
        <v>163</v>
      </c>
      <c r="D594" t="s">
        <v>417</v>
      </c>
      <c r="E594" t="s">
        <v>417</v>
      </c>
      <c r="F594" t="s">
        <v>417</v>
      </c>
      <c r="G594" s="3" t="e">
        <f t="shared" si="9"/>
        <v>#DIV/0!</v>
      </c>
      <c r="H594" t="s">
        <v>788</v>
      </c>
      <c r="I594" s="3">
        <f>D594/(VLOOKUP(B594,'2025 Team'!$B$2:$G$33,3,FALSE))</f>
        <v>0</v>
      </c>
    </row>
    <row r="595" spans="1:9" x14ac:dyDescent="0.25">
      <c r="A595" t="s">
        <v>1030</v>
      </c>
      <c r="B595" t="s">
        <v>68</v>
      </c>
      <c r="C595" t="s">
        <v>153</v>
      </c>
      <c r="D595" t="s">
        <v>417</v>
      </c>
      <c r="E595" t="s">
        <v>417</v>
      </c>
      <c r="F595" t="s">
        <v>417</v>
      </c>
      <c r="G595" s="3" t="e">
        <f t="shared" si="9"/>
        <v>#DIV/0!</v>
      </c>
      <c r="H595" t="s">
        <v>788</v>
      </c>
      <c r="I595" s="3">
        <f>D595/(VLOOKUP(B595,'2025 Team'!$B$2:$G$33,3,FALSE))</f>
        <v>0</v>
      </c>
    </row>
    <row r="596" spans="1:9" x14ac:dyDescent="0.25">
      <c r="A596" t="s">
        <v>1031</v>
      </c>
      <c r="B596" t="s">
        <v>68</v>
      </c>
      <c r="C596" t="s">
        <v>163</v>
      </c>
      <c r="D596" t="s">
        <v>417</v>
      </c>
      <c r="E596" t="s">
        <v>417</v>
      </c>
      <c r="F596" t="s">
        <v>417</v>
      </c>
      <c r="G596" s="3" t="e">
        <f t="shared" si="9"/>
        <v>#DIV/0!</v>
      </c>
      <c r="H596" t="s">
        <v>788</v>
      </c>
      <c r="I596" s="3">
        <f>D596/(VLOOKUP(B596,'2025 Team'!$B$2:$G$33,3,FALSE))</f>
        <v>0</v>
      </c>
    </row>
    <row r="597" spans="1:9" x14ac:dyDescent="0.25">
      <c r="A597" t="s">
        <v>1032</v>
      </c>
      <c r="B597" t="s">
        <v>68</v>
      </c>
      <c r="C597" t="s">
        <v>163</v>
      </c>
      <c r="D597" t="s">
        <v>417</v>
      </c>
      <c r="E597" t="s">
        <v>417</v>
      </c>
      <c r="F597" t="s">
        <v>417</v>
      </c>
      <c r="G597" s="3" t="e">
        <f t="shared" si="9"/>
        <v>#DIV/0!</v>
      </c>
      <c r="H597" t="s">
        <v>788</v>
      </c>
      <c r="I597" s="3">
        <f>D597/(VLOOKUP(B597,'2025 Team'!$B$2:$G$33,3,FALSE))</f>
        <v>0</v>
      </c>
    </row>
    <row r="598" spans="1:9" x14ac:dyDescent="0.25">
      <c r="A598" t="s">
        <v>935</v>
      </c>
      <c r="B598" t="s">
        <v>68</v>
      </c>
      <c r="C598" t="s">
        <v>163</v>
      </c>
      <c r="D598" t="s">
        <v>417</v>
      </c>
      <c r="E598" t="s">
        <v>417</v>
      </c>
      <c r="F598" t="s">
        <v>417</v>
      </c>
      <c r="G598" s="3" t="e">
        <f t="shared" si="9"/>
        <v>#DIV/0!</v>
      </c>
      <c r="H598" t="s">
        <v>788</v>
      </c>
      <c r="I598" s="3">
        <f>D598/(VLOOKUP(B598,'2025 Team'!$B$2:$G$33,3,FALSE))</f>
        <v>0</v>
      </c>
    </row>
    <row r="599" spans="1:9" x14ac:dyDescent="0.25">
      <c r="A599" t="s">
        <v>1033</v>
      </c>
      <c r="B599" t="s">
        <v>68</v>
      </c>
      <c r="C599" t="s">
        <v>153</v>
      </c>
      <c r="D599" t="s">
        <v>417</v>
      </c>
      <c r="E599" t="s">
        <v>417</v>
      </c>
      <c r="F599" t="s">
        <v>417</v>
      </c>
      <c r="G599" s="3" t="e">
        <f t="shared" si="9"/>
        <v>#DIV/0!</v>
      </c>
      <c r="H599" t="s">
        <v>788</v>
      </c>
      <c r="I599" s="3">
        <f>D599/(VLOOKUP(B599,'2025 Team'!$B$2:$G$33,3,FALSE))</f>
        <v>0</v>
      </c>
    </row>
    <row r="600" spans="1:9" x14ac:dyDescent="0.25">
      <c r="A600" t="s">
        <v>1034</v>
      </c>
      <c r="B600" t="s">
        <v>68</v>
      </c>
      <c r="C600" t="s">
        <v>153</v>
      </c>
      <c r="D600" t="s">
        <v>417</v>
      </c>
      <c r="E600" t="s">
        <v>417</v>
      </c>
      <c r="F600" t="s">
        <v>417</v>
      </c>
      <c r="G600" s="3" t="e">
        <f t="shared" si="9"/>
        <v>#DIV/0!</v>
      </c>
      <c r="H600" t="s">
        <v>788</v>
      </c>
      <c r="I600" s="3">
        <f>D600/(VLOOKUP(B600,'2025 Team'!$B$2:$G$33,3,FALSE))</f>
        <v>0</v>
      </c>
    </row>
    <row r="601" spans="1:9" x14ac:dyDescent="0.25">
      <c r="A601" t="s">
        <v>1035</v>
      </c>
      <c r="B601" t="s">
        <v>68</v>
      </c>
      <c r="C601" t="s">
        <v>163</v>
      </c>
      <c r="D601" t="s">
        <v>417</v>
      </c>
      <c r="E601" t="s">
        <v>417</v>
      </c>
      <c r="F601" t="s">
        <v>417</v>
      </c>
      <c r="G601" s="3" t="e">
        <f t="shared" si="9"/>
        <v>#DIV/0!</v>
      </c>
      <c r="H601" t="s">
        <v>788</v>
      </c>
      <c r="I601" s="3">
        <f>D601/(VLOOKUP(B601,'2025 Team'!$B$2:$G$33,3,FALSE))</f>
        <v>0</v>
      </c>
    </row>
    <row r="602" spans="1:9" x14ac:dyDescent="0.25">
      <c r="A602" t="s">
        <v>1036</v>
      </c>
      <c r="B602" t="s">
        <v>68</v>
      </c>
      <c r="C602" t="s">
        <v>163</v>
      </c>
      <c r="D602" t="s">
        <v>417</v>
      </c>
      <c r="E602" t="s">
        <v>417</v>
      </c>
      <c r="F602" t="s">
        <v>417</v>
      </c>
      <c r="G602" s="3" t="e">
        <f t="shared" si="9"/>
        <v>#DIV/0!</v>
      </c>
      <c r="H602" t="s">
        <v>788</v>
      </c>
      <c r="I602" s="3">
        <f>D602/(VLOOKUP(B602,'2025 Team'!$B$2:$G$33,3,FALSE))</f>
        <v>0</v>
      </c>
    </row>
    <row r="603" spans="1:9" x14ac:dyDescent="0.25">
      <c r="A603" t="s">
        <v>1037</v>
      </c>
      <c r="B603" t="s">
        <v>68</v>
      </c>
      <c r="C603" t="s">
        <v>163</v>
      </c>
      <c r="D603" t="s">
        <v>417</v>
      </c>
      <c r="E603" t="s">
        <v>417</v>
      </c>
      <c r="F603" t="s">
        <v>417</v>
      </c>
      <c r="G603" s="3" t="e">
        <f t="shared" si="9"/>
        <v>#DIV/0!</v>
      </c>
      <c r="H603" t="s">
        <v>788</v>
      </c>
      <c r="I603" s="3">
        <f>D603/(VLOOKUP(B603,'2025 Team'!$B$2:$G$33,3,FALSE))</f>
        <v>0</v>
      </c>
    </row>
    <row r="604" spans="1:9" x14ac:dyDescent="0.25">
      <c r="A604" t="s">
        <v>1038</v>
      </c>
      <c r="B604" t="s">
        <v>68</v>
      </c>
      <c r="C604" t="s">
        <v>163</v>
      </c>
      <c r="D604" t="s">
        <v>417</v>
      </c>
      <c r="E604" t="s">
        <v>417</v>
      </c>
      <c r="F604" t="s">
        <v>417</v>
      </c>
      <c r="G604" s="3" t="e">
        <f t="shared" si="9"/>
        <v>#DIV/0!</v>
      </c>
      <c r="H604" t="s">
        <v>788</v>
      </c>
      <c r="I604" s="3">
        <f>D604/(VLOOKUP(B604,'2025 Team'!$B$2:$G$33,3,FALSE))</f>
        <v>0</v>
      </c>
    </row>
    <row r="605" spans="1:9" x14ac:dyDescent="0.25">
      <c r="A605" t="s">
        <v>1039</v>
      </c>
      <c r="B605" t="s">
        <v>68</v>
      </c>
      <c r="C605" t="s">
        <v>1040</v>
      </c>
      <c r="D605" t="s">
        <v>417</v>
      </c>
      <c r="E605" t="s">
        <v>417</v>
      </c>
      <c r="F605" t="s">
        <v>417</v>
      </c>
      <c r="G605" s="3" t="e">
        <f t="shared" si="9"/>
        <v>#DIV/0!</v>
      </c>
      <c r="H605" t="s">
        <v>788</v>
      </c>
      <c r="I605" s="3">
        <f>D605/(VLOOKUP(B605,'2025 Team'!$B$2:$G$33,3,FALSE))</f>
        <v>0</v>
      </c>
    </row>
    <row r="606" spans="1:9" x14ac:dyDescent="0.25">
      <c r="A606" t="s">
        <v>1041</v>
      </c>
      <c r="B606" t="s">
        <v>70</v>
      </c>
      <c r="C606" t="s">
        <v>153</v>
      </c>
      <c r="D606" t="s">
        <v>417</v>
      </c>
      <c r="E606" t="s">
        <v>417</v>
      </c>
      <c r="F606" t="s">
        <v>417</v>
      </c>
      <c r="G606" s="3" t="e">
        <f t="shared" si="9"/>
        <v>#DIV/0!</v>
      </c>
      <c r="H606" t="s">
        <v>788</v>
      </c>
      <c r="I606" s="3">
        <f>D606/(VLOOKUP(B606,'2025 Team'!$B$2:$G$33,3,FALSE))</f>
        <v>0</v>
      </c>
    </row>
    <row r="607" spans="1:9" x14ac:dyDescent="0.25">
      <c r="A607" t="s">
        <v>1042</v>
      </c>
      <c r="B607" t="s">
        <v>70</v>
      </c>
      <c r="C607" t="s">
        <v>163</v>
      </c>
      <c r="D607" t="s">
        <v>417</v>
      </c>
      <c r="E607" t="s">
        <v>417</v>
      </c>
      <c r="F607" t="s">
        <v>417</v>
      </c>
      <c r="G607" s="3" t="e">
        <f t="shared" si="9"/>
        <v>#DIV/0!</v>
      </c>
      <c r="H607" t="s">
        <v>788</v>
      </c>
      <c r="I607" s="3">
        <f>D607/(VLOOKUP(B607,'2025 Team'!$B$2:$G$33,3,FALSE))</f>
        <v>0</v>
      </c>
    </row>
    <row r="608" spans="1:9" x14ac:dyDescent="0.25">
      <c r="A608" t="s">
        <v>187</v>
      </c>
      <c r="B608" t="s">
        <v>70</v>
      </c>
      <c r="C608" t="s">
        <v>163</v>
      </c>
      <c r="D608" t="s">
        <v>417</v>
      </c>
      <c r="E608" t="s">
        <v>417</v>
      </c>
      <c r="F608" t="s">
        <v>417</v>
      </c>
      <c r="G608" s="3" t="e">
        <f t="shared" si="9"/>
        <v>#DIV/0!</v>
      </c>
      <c r="H608" t="s">
        <v>788</v>
      </c>
      <c r="I608" s="3">
        <f>D608/(VLOOKUP(B608,'2025 Team'!$B$2:$G$33,3,FALSE))</f>
        <v>0</v>
      </c>
    </row>
    <row r="609" spans="1:9" x14ac:dyDescent="0.25">
      <c r="A609" t="s">
        <v>1043</v>
      </c>
      <c r="B609" t="s">
        <v>70</v>
      </c>
      <c r="C609" t="s">
        <v>163</v>
      </c>
      <c r="D609" t="s">
        <v>417</v>
      </c>
      <c r="E609" t="s">
        <v>417</v>
      </c>
      <c r="F609" t="s">
        <v>417</v>
      </c>
      <c r="G609" s="3" t="e">
        <f t="shared" si="9"/>
        <v>#DIV/0!</v>
      </c>
      <c r="H609" t="s">
        <v>788</v>
      </c>
      <c r="I609" s="3">
        <f>D609/(VLOOKUP(B609,'2025 Team'!$B$2:$G$33,3,FALSE))</f>
        <v>0</v>
      </c>
    </row>
    <row r="610" spans="1:9" x14ac:dyDescent="0.25">
      <c r="A610" t="s">
        <v>1044</v>
      </c>
      <c r="B610" t="s">
        <v>70</v>
      </c>
      <c r="C610" t="s">
        <v>153</v>
      </c>
      <c r="D610" t="s">
        <v>417</v>
      </c>
      <c r="E610" t="s">
        <v>417</v>
      </c>
      <c r="F610" t="s">
        <v>417</v>
      </c>
      <c r="G610" s="3" t="e">
        <f t="shared" si="9"/>
        <v>#DIV/0!</v>
      </c>
      <c r="H610" t="s">
        <v>788</v>
      </c>
      <c r="I610" s="3">
        <f>D610/(VLOOKUP(B610,'2025 Team'!$B$2:$G$33,3,FALSE))</f>
        <v>0</v>
      </c>
    </row>
    <row r="611" spans="1:9" x14ac:dyDescent="0.25">
      <c r="A611" t="s">
        <v>1045</v>
      </c>
      <c r="B611" t="s">
        <v>70</v>
      </c>
      <c r="C611" t="s">
        <v>163</v>
      </c>
      <c r="D611" t="s">
        <v>417</v>
      </c>
      <c r="E611" t="s">
        <v>417</v>
      </c>
      <c r="F611" t="s">
        <v>417</v>
      </c>
      <c r="G611" s="3" t="e">
        <f t="shared" si="9"/>
        <v>#DIV/0!</v>
      </c>
      <c r="H611" t="s">
        <v>788</v>
      </c>
      <c r="I611" s="3">
        <f>D611/(VLOOKUP(B611,'2025 Team'!$B$2:$G$33,3,FALSE))</f>
        <v>0</v>
      </c>
    </row>
    <row r="612" spans="1:9" x14ac:dyDescent="0.25">
      <c r="A612" t="s">
        <v>1046</v>
      </c>
      <c r="B612" t="s">
        <v>70</v>
      </c>
      <c r="C612" t="s">
        <v>163</v>
      </c>
      <c r="D612" t="s">
        <v>417</v>
      </c>
      <c r="E612" t="s">
        <v>417</v>
      </c>
      <c r="F612" t="s">
        <v>417</v>
      </c>
      <c r="G612" s="3" t="e">
        <f t="shared" si="9"/>
        <v>#DIV/0!</v>
      </c>
      <c r="H612" t="s">
        <v>788</v>
      </c>
      <c r="I612" s="3">
        <f>D612/(VLOOKUP(B612,'2025 Team'!$B$2:$G$33,3,FALSE))</f>
        <v>0</v>
      </c>
    </row>
    <row r="613" spans="1:9" x14ac:dyDescent="0.25">
      <c r="A613" t="s">
        <v>1047</v>
      </c>
      <c r="B613" t="s">
        <v>70</v>
      </c>
      <c r="C613" t="s">
        <v>163</v>
      </c>
      <c r="D613" t="s">
        <v>417</v>
      </c>
      <c r="E613" t="s">
        <v>417</v>
      </c>
      <c r="F613" t="s">
        <v>417</v>
      </c>
      <c r="G613" s="3" t="e">
        <f t="shared" si="9"/>
        <v>#DIV/0!</v>
      </c>
      <c r="H613" t="s">
        <v>788</v>
      </c>
      <c r="I613" s="3">
        <f>D613/(VLOOKUP(B613,'2025 Team'!$B$2:$G$33,3,FALSE))</f>
        <v>0</v>
      </c>
    </row>
    <row r="614" spans="1:9" x14ac:dyDescent="0.25">
      <c r="A614" t="s">
        <v>1048</v>
      </c>
      <c r="B614" t="s">
        <v>70</v>
      </c>
      <c r="C614" t="s">
        <v>163</v>
      </c>
      <c r="D614" t="s">
        <v>417</v>
      </c>
      <c r="E614" t="s">
        <v>417</v>
      </c>
      <c r="F614" t="s">
        <v>417</v>
      </c>
      <c r="G614" s="3" t="e">
        <f t="shared" si="9"/>
        <v>#DIV/0!</v>
      </c>
      <c r="H614" t="s">
        <v>788</v>
      </c>
      <c r="I614" s="3">
        <f>D614/(VLOOKUP(B614,'2025 Team'!$B$2:$G$33,3,FALSE))</f>
        <v>0</v>
      </c>
    </row>
    <row r="615" spans="1:9" x14ac:dyDescent="0.25">
      <c r="A615" t="s">
        <v>1049</v>
      </c>
      <c r="B615" t="s">
        <v>70</v>
      </c>
      <c r="C615" t="s">
        <v>153</v>
      </c>
      <c r="D615" t="s">
        <v>417</v>
      </c>
      <c r="E615" t="s">
        <v>417</v>
      </c>
      <c r="F615" t="s">
        <v>417</v>
      </c>
      <c r="G615" s="3" t="e">
        <f t="shared" si="9"/>
        <v>#DIV/0!</v>
      </c>
      <c r="H615" t="s">
        <v>788</v>
      </c>
      <c r="I615" s="3">
        <f>D615/(VLOOKUP(B615,'2025 Team'!$B$2:$G$33,3,FALSE))</f>
        <v>0</v>
      </c>
    </row>
    <row r="616" spans="1:9" x14ac:dyDescent="0.25">
      <c r="A616" t="s">
        <v>1050</v>
      </c>
      <c r="B616" t="s">
        <v>70</v>
      </c>
      <c r="C616" t="s">
        <v>153</v>
      </c>
      <c r="D616" t="s">
        <v>417</v>
      </c>
      <c r="E616" t="s">
        <v>417</v>
      </c>
      <c r="F616" t="s">
        <v>417</v>
      </c>
      <c r="G616" s="3" t="e">
        <f t="shared" si="9"/>
        <v>#DIV/0!</v>
      </c>
      <c r="H616" t="s">
        <v>788</v>
      </c>
      <c r="I616" s="3">
        <f>D616/(VLOOKUP(B616,'2025 Team'!$B$2:$G$33,3,FALSE))</f>
        <v>0</v>
      </c>
    </row>
  </sheetData>
  <autoFilter ref="A1:I616" xr:uid="{D7064DC0-AB3B-425B-ACA4-A039464C487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10"/>
  <sheetViews>
    <sheetView workbookViewId="0">
      <selection activeCell="D11" sqref="D11"/>
    </sheetView>
  </sheetViews>
  <sheetFormatPr defaultRowHeight="15" x14ac:dyDescent="0.25"/>
  <cols>
    <col min="1" max="1" width="24.28515625" customWidth="1"/>
    <col min="2" max="6" width="9.140625" customWidth="1"/>
    <col min="7" max="7" width="9.140625" style="2" customWidth="1"/>
    <col min="8" max="8" width="9.140625" customWidth="1"/>
    <col min="9" max="9" width="15.85546875" style="3" customWidth="1"/>
  </cols>
  <sheetData>
    <row r="1" spans="1:9" x14ac:dyDescent="0.25">
      <c r="A1" t="s">
        <v>71</v>
      </c>
      <c r="B1" t="s">
        <v>0</v>
      </c>
      <c r="C1" t="s">
        <v>72</v>
      </c>
      <c r="D1" t="s">
        <v>74</v>
      </c>
      <c r="E1" t="s">
        <v>76</v>
      </c>
      <c r="F1" t="s">
        <v>188</v>
      </c>
      <c r="G1" s="2" t="s">
        <v>189</v>
      </c>
      <c r="H1" t="s">
        <v>79</v>
      </c>
      <c r="I1" s="3" t="s">
        <v>190</v>
      </c>
    </row>
    <row r="2" spans="1:9" x14ac:dyDescent="0.25">
      <c r="A2" t="s">
        <v>204</v>
      </c>
      <c r="B2" t="s">
        <v>58</v>
      </c>
      <c r="C2" t="s">
        <v>159</v>
      </c>
      <c r="D2" t="s">
        <v>1395</v>
      </c>
      <c r="E2" t="s">
        <v>2088</v>
      </c>
      <c r="F2" t="s">
        <v>234</v>
      </c>
      <c r="G2" s="3">
        <f t="shared" ref="G2:G64" si="0">F2/D2</f>
        <v>3.7681159420289857E-2</v>
      </c>
      <c r="H2" t="s">
        <v>400</v>
      </c>
      <c r="I2" s="3">
        <f>D2/(VLOOKUP(B2,'2024 Team'!$B$2:$G$33,3,FALSE))</f>
        <v>0.55555555555555558</v>
      </c>
    </row>
    <row r="3" spans="1:9" x14ac:dyDescent="0.25">
      <c r="A3" t="s">
        <v>166</v>
      </c>
      <c r="B3" t="s">
        <v>12</v>
      </c>
      <c r="C3" t="s">
        <v>159</v>
      </c>
      <c r="D3" t="s">
        <v>2089</v>
      </c>
      <c r="E3" t="s">
        <v>2090</v>
      </c>
      <c r="F3" t="s">
        <v>193</v>
      </c>
      <c r="G3" s="3">
        <f t="shared" si="0"/>
        <v>4.9230769230769231E-2</v>
      </c>
      <c r="H3" t="s">
        <v>420</v>
      </c>
      <c r="I3" s="3">
        <f>D3/(VLOOKUP(B3,'2024 Team'!$B$2:$G$33,3,FALSE))</f>
        <v>0.58664259927797835</v>
      </c>
    </row>
    <row r="4" spans="1:9" x14ac:dyDescent="0.25">
      <c r="A4" t="s">
        <v>248</v>
      </c>
      <c r="B4" t="s">
        <v>44</v>
      </c>
      <c r="C4" t="s">
        <v>159</v>
      </c>
      <c r="D4" t="s">
        <v>1960</v>
      </c>
      <c r="E4" t="s">
        <v>2091</v>
      </c>
      <c r="F4" t="s">
        <v>344</v>
      </c>
      <c r="G4" s="3">
        <f t="shared" si="0"/>
        <v>4.4303797468354431E-2</v>
      </c>
      <c r="H4" t="s">
        <v>208</v>
      </c>
      <c r="I4" s="3">
        <f>D4/(VLOOKUP(B4,'2024 Team'!$B$2:$G$33,3,FALSE))</f>
        <v>0.70222222222222219</v>
      </c>
    </row>
    <row r="5" spans="1:9" x14ac:dyDescent="0.25">
      <c r="A5" t="s">
        <v>213</v>
      </c>
      <c r="B5" t="s">
        <v>10</v>
      </c>
      <c r="C5" t="s">
        <v>159</v>
      </c>
      <c r="D5" t="s">
        <v>2025</v>
      </c>
      <c r="E5" t="s">
        <v>1879</v>
      </c>
      <c r="F5" t="s">
        <v>344</v>
      </c>
      <c r="G5" s="3">
        <f t="shared" si="0"/>
        <v>4.6052631578947366E-2</v>
      </c>
      <c r="H5" t="s">
        <v>251</v>
      </c>
      <c r="I5" s="3">
        <f>D5/(VLOOKUP(B5,'2024 Team'!$B$2:$G$33,3,FALSE))</f>
        <v>0.6141414141414141</v>
      </c>
    </row>
    <row r="6" spans="1:9" x14ac:dyDescent="0.25">
      <c r="A6" t="s">
        <v>199</v>
      </c>
      <c r="B6" t="s">
        <v>34</v>
      </c>
      <c r="C6" t="s">
        <v>159</v>
      </c>
      <c r="D6" t="s">
        <v>1400</v>
      </c>
      <c r="E6" t="s">
        <v>2092</v>
      </c>
      <c r="F6" t="s">
        <v>266</v>
      </c>
      <c r="G6" s="3">
        <f t="shared" si="0"/>
        <v>3.6303630363036306E-2</v>
      </c>
      <c r="H6" t="s">
        <v>362</v>
      </c>
      <c r="I6" s="3">
        <f>D6/(VLOOKUP(B6,'2024 Team'!$B$2:$G$33,3,FALSE))</f>
        <v>0.61088709677419351</v>
      </c>
    </row>
    <row r="7" spans="1:9" x14ac:dyDescent="0.25">
      <c r="A7" t="s">
        <v>231</v>
      </c>
      <c r="B7" t="s">
        <v>30</v>
      </c>
      <c r="C7" t="s">
        <v>159</v>
      </c>
      <c r="D7" t="s">
        <v>1285</v>
      </c>
      <c r="E7" t="s">
        <v>2093</v>
      </c>
      <c r="F7" t="s">
        <v>557</v>
      </c>
      <c r="G7" s="3">
        <f t="shared" si="0"/>
        <v>4.9833887043189369E-2</v>
      </c>
      <c r="H7" t="s">
        <v>230</v>
      </c>
      <c r="I7" s="3">
        <f>D7/(VLOOKUP(B7,'2024 Team'!$B$2:$G$33,3,FALSE))</f>
        <v>0.57224334600760451</v>
      </c>
    </row>
    <row r="8" spans="1:9" x14ac:dyDescent="0.25">
      <c r="A8" t="s">
        <v>560</v>
      </c>
      <c r="B8" t="s">
        <v>60</v>
      </c>
      <c r="C8" t="s">
        <v>159</v>
      </c>
      <c r="D8" t="s">
        <v>1413</v>
      </c>
      <c r="E8" t="s">
        <v>2094</v>
      </c>
      <c r="F8" t="s">
        <v>247</v>
      </c>
      <c r="G8" s="3">
        <f t="shared" si="0"/>
        <v>2.2813688212927757E-2</v>
      </c>
      <c r="H8" t="s">
        <v>235</v>
      </c>
      <c r="I8" s="3">
        <f>D8/(VLOOKUP(B8,'2024 Team'!$B$2:$G$33,3,FALSE))</f>
        <v>0.49343339587242024</v>
      </c>
    </row>
    <row r="9" spans="1:9" x14ac:dyDescent="0.25">
      <c r="A9" t="s">
        <v>252</v>
      </c>
      <c r="B9" t="s">
        <v>68</v>
      </c>
      <c r="C9" t="s">
        <v>159</v>
      </c>
      <c r="D9" t="s">
        <v>237</v>
      </c>
      <c r="E9" t="s">
        <v>2095</v>
      </c>
      <c r="F9" t="s">
        <v>220</v>
      </c>
      <c r="G9" s="3">
        <f t="shared" si="0"/>
        <v>1.9230769230769232E-2</v>
      </c>
      <c r="H9" t="s">
        <v>293</v>
      </c>
      <c r="I9" s="3">
        <f>D9/(VLOOKUP(B9,'2024 Team'!$B$2:$G$33,3,FALSE))</f>
        <v>0.57777777777777772</v>
      </c>
    </row>
    <row r="10" spans="1:9" x14ac:dyDescent="0.25">
      <c r="A10" t="s">
        <v>308</v>
      </c>
      <c r="B10" t="s">
        <v>48</v>
      </c>
      <c r="C10" t="s">
        <v>159</v>
      </c>
      <c r="D10" t="s">
        <v>1596</v>
      </c>
      <c r="E10" t="s">
        <v>2096</v>
      </c>
      <c r="F10" t="s">
        <v>220</v>
      </c>
      <c r="G10" s="3">
        <f t="shared" si="0"/>
        <v>1.9607843137254902E-2</v>
      </c>
      <c r="H10" t="s">
        <v>255</v>
      </c>
      <c r="I10" s="3">
        <f>D10/(VLOOKUP(B10,'2024 Team'!$B$2:$G$33,3,FALSE))</f>
        <v>0.55798687089715537</v>
      </c>
    </row>
    <row r="11" spans="1:9" x14ac:dyDescent="0.25">
      <c r="A11" t="s">
        <v>267</v>
      </c>
      <c r="B11" t="s">
        <v>18</v>
      </c>
      <c r="C11" t="s">
        <v>159</v>
      </c>
      <c r="D11" t="s">
        <v>1679</v>
      </c>
      <c r="E11" t="s">
        <v>2097</v>
      </c>
      <c r="F11" t="s">
        <v>247</v>
      </c>
      <c r="G11" s="3">
        <f t="shared" si="0"/>
        <v>2.3715415019762844E-2</v>
      </c>
      <c r="H11" t="s">
        <v>323</v>
      </c>
      <c r="I11" s="3">
        <f>D11/(VLOOKUP(B11,'2024 Team'!$B$2:$G$33,3,FALSE))</f>
        <v>0.58700696055684454</v>
      </c>
    </row>
    <row r="12" spans="1:9" x14ac:dyDescent="0.25">
      <c r="A12" t="s">
        <v>256</v>
      </c>
      <c r="B12" t="s">
        <v>28</v>
      </c>
      <c r="C12" t="s">
        <v>159</v>
      </c>
      <c r="D12" t="s">
        <v>449</v>
      </c>
      <c r="E12" t="s">
        <v>1068</v>
      </c>
      <c r="F12" t="s">
        <v>193</v>
      </c>
      <c r="G12" s="3">
        <f t="shared" si="0"/>
        <v>6.4000000000000001E-2</v>
      </c>
      <c r="H12" t="s">
        <v>516</v>
      </c>
      <c r="I12" s="3">
        <f>D12/(VLOOKUP(B12,'2024 Team'!$B$2:$G$33,3,FALSE))</f>
        <v>0.46816479400749061</v>
      </c>
    </row>
    <row r="13" spans="1:9" x14ac:dyDescent="0.25">
      <c r="A13" t="s">
        <v>320</v>
      </c>
      <c r="B13" t="s">
        <v>16</v>
      </c>
      <c r="C13" t="s">
        <v>159</v>
      </c>
      <c r="D13" t="s">
        <v>449</v>
      </c>
      <c r="E13" t="s">
        <v>2098</v>
      </c>
      <c r="F13" t="s">
        <v>211</v>
      </c>
      <c r="G13" s="3">
        <f t="shared" si="0"/>
        <v>0.04</v>
      </c>
      <c r="H13" t="s">
        <v>251</v>
      </c>
      <c r="I13" s="3">
        <f>D13/(VLOOKUP(B13,'2024 Team'!$B$2:$G$33,3,FALSE))</f>
        <v>0.6097560975609756</v>
      </c>
    </row>
    <row r="14" spans="1:9" x14ac:dyDescent="0.25">
      <c r="A14" t="s">
        <v>1593</v>
      </c>
      <c r="B14" t="s">
        <v>32</v>
      </c>
      <c r="C14" t="s">
        <v>159</v>
      </c>
      <c r="D14" t="s">
        <v>1468</v>
      </c>
      <c r="E14" t="s">
        <v>1912</v>
      </c>
      <c r="F14" t="s">
        <v>266</v>
      </c>
      <c r="G14" s="3">
        <f t="shared" si="0"/>
        <v>4.4897959183673466E-2</v>
      </c>
      <c r="H14" t="s">
        <v>208</v>
      </c>
      <c r="I14" s="3">
        <f>D14/(VLOOKUP(B14,'2024 Team'!$B$2:$G$33,3,FALSE))</f>
        <v>0.56451612903225812</v>
      </c>
    </row>
    <row r="15" spans="1:9" x14ac:dyDescent="0.25">
      <c r="A15" t="s">
        <v>501</v>
      </c>
      <c r="B15" t="s">
        <v>8</v>
      </c>
      <c r="C15" t="s">
        <v>159</v>
      </c>
      <c r="D15" t="s">
        <v>245</v>
      </c>
      <c r="E15" t="s">
        <v>2099</v>
      </c>
      <c r="F15" t="s">
        <v>225</v>
      </c>
      <c r="G15" s="3">
        <f t="shared" si="0"/>
        <v>3.3898305084745763E-2</v>
      </c>
      <c r="H15" t="s">
        <v>243</v>
      </c>
      <c r="I15" s="3">
        <f>D15/(VLOOKUP(B15,'2024 Team'!$B$2:$G$33,3,FALSE))</f>
        <v>0.50971922246220303</v>
      </c>
    </row>
    <row r="16" spans="1:9" x14ac:dyDescent="0.25">
      <c r="A16" t="s">
        <v>244</v>
      </c>
      <c r="B16" t="s">
        <v>24</v>
      </c>
      <c r="C16" t="s">
        <v>159</v>
      </c>
      <c r="D16" t="s">
        <v>2100</v>
      </c>
      <c r="E16" t="s">
        <v>2095</v>
      </c>
      <c r="F16" t="s">
        <v>289</v>
      </c>
      <c r="G16" s="3">
        <f t="shared" si="0"/>
        <v>8.5106382978723406E-3</v>
      </c>
      <c r="H16" t="s">
        <v>243</v>
      </c>
      <c r="I16" s="3">
        <f>D16/(VLOOKUP(B16,'2024 Team'!$B$2:$G$33,3,FALSE))</f>
        <v>0.54778554778554778</v>
      </c>
    </row>
    <row r="17" spans="1:9" x14ac:dyDescent="0.25">
      <c r="A17" t="s">
        <v>280</v>
      </c>
      <c r="B17" t="s">
        <v>20</v>
      </c>
      <c r="C17" t="s">
        <v>159</v>
      </c>
      <c r="D17" t="s">
        <v>1605</v>
      </c>
      <c r="E17" t="s">
        <v>1592</v>
      </c>
      <c r="F17" t="s">
        <v>207</v>
      </c>
      <c r="G17" s="3">
        <f t="shared" si="0"/>
        <v>3.0567685589519649E-2</v>
      </c>
      <c r="H17" t="s">
        <v>239</v>
      </c>
      <c r="I17" s="3">
        <f>D17/(VLOOKUP(B17,'2024 Team'!$B$2:$G$33,3,FALSE))</f>
        <v>0.60263157894736841</v>
      </c>
    </row>
    <row r="18" spans="1:9" x14ac:dyDescent="0.25">
      <c r="A18" t="s">
        <v>348</v>
      </c>
      <c r="B18" t="s">
        <v>52</v>
      </c>
      <c r="C18" t="s">
        <v>159</v>
      </c>
      <c r="D18" t="s">
        <v>1607</v>
      </c>
      <c r="E18" t="s">
        <v>2101</v>
      </c>
      <c r="F18" t="s">
        <v>247</v>
      </c>
      <c r="G18" s="3">
        <f t="shared" si="0"/>
        <v>2.6315789473684209E-2</v>
      </c>
      <c r="H18" t="s">
        <v>293</v>
      </c>
      <c r="I18" s="3">
        <f>D18/(VLOOKUP(B18,'2024 Team'!$B$2:$G$33,3,FALSE))</f>
        <v>0.51351351351351349</v>
      </c>
    </row>
    <row r="19" spans="1:9" x14ac:dyDescent="0.25">
      <c r="A19" t="s">
        <v>178</v>
      </c>
      <c r="B19" t="s">
        <v>56</v>
      </c>
      <c r="C19" t="s">
        <v>159</v>
      </c>
      <c r="D19" t="s">
        <v>451</v>
      </c>
      <c r="E19" t="s">
        <v>2102</v>
      </c>
      <c r="F19" t="s">
        <v>220</v>
      </c>
      <c r="G19" s="3">
        <f t="shared" si="0"/>
        <v>2.3923444976076555E-2</v>
      </c>
      <c r="H19" t="s">
        <v>293</v>
      </c>
      <c r="I19" s="3">
        <f>D19/(VLOOKUP(B19,'2024 Team'!$B$2:$G$33,3,FALSE))</f>
        <v>0.5757575757575758</v>
      </c>
    </row>
    <row r="20" spans="1:9" x14ac:dyDescent="0.25">
      <c r="A20" t="s">
        <v>195</v>
      </c>
      <c r="B20" t="s">
        <v>14</v>
      </c>
      <c r="C20" t="s">
        <v>159</v>
      </c>
      <c r="D20" t="s">
        <v>1439</v>
      </c>
      <c r="E20" t="s">
        <v>2103</v>
      </c>
      <c r="F20" t="s">
        <v>193</v>
      </c>
      <c r="G20" s="3">
        <f t="shared" si="0"/>
        <v>7.7294685990338161E-2</v>
      </c>
      <c r="H20" t="s">
        <v>203</v>
      </c>
      <c r="I20" s="3">
        <f>D20/(VLOOKUP(B20,'2024 Team'!$B$2:$G$33,3,FALSE))</f>
        <v>0.42158859470468429</v>
      </c>
    </row>
    <row r="21" spans="1:9" x14ac:dyDescent="0.25">
      <c r="A21" t="s">
        <v>297</v>
      </c>
      <c r="B21" t="s">
        <v>66</v>
      </c>
      <c r="C21" t="s">
        <v>159</v>
      </c>
      <c r="D21" t="s">
        <v>1439</v>
      </c>
      <c r="E21" t="s">
        <v>1603</v>
      </c>
      <c r="F21" t="s">
        <v>225</v>
      </c>
      <c r="G21" s="3">
        <f t="shared" si="0"/>
        <v>3.864734299516908E-2</v>
      </c>
      <c r="H21" t="s">
        <v>394</v>
      </c>
      <c r="I21" s="3">
        <f>D21/(VLOOKUP(B21,'2024 Team'!$B$2:$G$33,3,FALSE))</f>
        <v>0.42857142857142855</v>
      </c>
    </row>
    <row r="22" spans="1:9" x14ac:dyDescent="0.25">
      <c r="A22" t="s">
        <v>324</v>
      </c>
      <c r="B22" t="s">
        <v>50</v>
      </c>
      <c r="C22" t="s">
        <v>159</v>
      </c>
      <c r="D22" t="s">
        <v>1439</v>
      </c>
      <c r="E22" t="s">
        <v>2104</v>
      </c>
      <c r="F22" t="s">
        <v>207</v>
      </c>
      <c r="G22" s="3">
        <f t="shared" si="0"/>
        <v>3.3816425120772944E-2</v>
      </c>
      <c r="H22" t="s">
        <v>212</v>
      </c>
      <c r="I22" s="3">
        <f>D22/(VLOOKUP(B22,'2024 Team'!$B$2:$G$33,3,FALSE))</f>
        <v>0.4641255605381166</v>
      </c>
    </row>
    <row r="23" spans="1:9" x14ac:dyDescent="0.25">
      <c r="A23" t="s">
        <v>222</v>
      </c>
      <c r="B23" t="s">
        <v>46</v>
      </c>
      <c r="C23" t="s">
        <v>159</v>
      </c>
      <c r="D23" t="s">
        <v>1449</v>
      </c>
      <c r="E23" t="s">
        <v>2105</v>
      </c>
      <c r="F23" t="s">
        <v>247</v>
      </c>
      <c r="G23" s="3">
        <f t="shared" si="0"/>
        <v>2.9556650246305417E-2</v>
      </c>
      <c r="H23" t="s">
        <v>255</v>
      </c>
      <c r="I23" s="3">
        <f>D23/(VLOOKUP(B23,'2024 Team'!$B$2:$G$33,3,FALSE))</f>
        <v>0.453125</v>
      </c>
    </row>
    <row r="24" spans="1:9" x14ac:dyDescent="0.25">
      <c r="A24" t="s">
        <v>305</v>
      </c>
      <c r="B24" t="s">
        <v>38</v>
      </c>
      <c r="C24" t="s">
        <v>159</v>
      </c>
      <c r="D24" t="s">
        <v>432</v>
      </c>
      <c r="E24" t="s">
        <v>2106</v>
      </c>
      <c r="F24" t="s">
        <v>207</v>
      </c>
      <c r="G24" s="3">
        <f t="shared" si="0"/>
        <v>3.5000000000000003E-2</v>
      </c>
      <c r="H24" t="s">
        <v>262</v>
      </c>
      <c r="I24" s="3">
        <f>D24/(VLOOKUP(B24,'2024 Team'!$B$2:$G$33,3,FALSE))</f>
        <v>0.44444444444444442</v>
      </c>
    </row>
    <row r="25" spans="1:9" x14ac:dyDescent="0.25">
      <c r="A25" t="s">
        <v>330</v>
      </c>
      <c r="B25" t="s">
        <v>42</v>
      </c>
      <c r="C25" t="s">
        <v>159</v>
      </c>
      <c r="D25" t="s">
        <v>1490</v>
      </c>
      <c r="E25" t="s">
        <v>1612</v>
      </c>
      <c r="F25" t="s">
        <v>270</v>
      </c>
      <c r="G25" s="3">
        <f t="shared" si="0"/>
        <v>4.6153846153846156E-2</v>
      </c>
      <c r="H25" t="s">
        <v>243</v>
      </c>
      <c r="I25" s="3">
        <f>D25/(VLOOKUP(B25,'2024 Team'!$B$2:$G$33,3,FALSE))</f>
        <v>0.42116630669546434</v>
      </c>
    </row>
    <row r="26" spans="1:9" x14ac:dyDescent="0.25">
      <c r="A26" t="s">
        <v>290</v>
      </c>
      <c r="B26" t="s">
        <v>54</v>
      </c>
      <c r="C26" t="s">
        <v>159</v>
      </c>
      <c r="D26" t="s">
        <v>1432</v>
      </c>
      <c r="E26" t="s">
        <v>2107</v>
      </c>
      <c r="F26" t="s">
        <v>220</v>
      </c>
      <c r="G26" s="3">
        <f t="shared" si="0"/>
        <v>2.6041666666666668E-2</v>
      </c>
      <c r="H26" t="s">
        <v>230</v>
      </c>
      <c r="I26" s="3">
        <f>D26/(VLOOKUP(B26,'2024 Team'!$B$2:$G$33,3,FALSE))</f>
        <v>0.45283018867924529</v>
      </c>
    </row>
    <row r="27" spans="1:9" x14ac:dyDescent="0.25">
      <c r="A27" t="s">
        <v>373</v>
      </c>
      <c r="B27" t="s">
        <v>70</v>
      </c>
      <c r="C27" t="s">
        <v>159</v>
      </c>
      <c r="D27" t="s">
        <v>483</v>
      </c>
      <c r="E27" t="s">
        <v>2108</v>
      </c>
      <c r="F27" t="s">
        <v>225</v>
      </c>
      <c r="G27" s="3">
        <f t="shared" si="0"/>
        <v>4.2780748663101602E-2</v>
      </c>
      <c r="H27" t="s">
        <v>239</v>
      </c>
      <c r="I27" s="3">
        <f>D27/(VLOOKUP(B27,'2024 Team'!$B$2:$G$33,3,FALSE))</f>
        <v>0.35551330798479086</v>
      </c>
    </row>
    <row r="28" spans="1:9" x14ac:dyDescent="0.25">
      <c r="A28" t="s">
        <v>158</v>
      </c>
      <c r="B28" t="s">
        <v>28</v>
      </c>
      <c r="C28" t="s">
        <v>159</v>
      </c>
      <c r="D28" t="s">
        <v>1067</v>
      </c>
      <c r="E28" t="s">
        <v>2109</v>
      </c>
      <c r="F28" t="s">
        <v>198</v>
      </c>
      <c r="G28" s="3">
        <f t="shared" si="0"/>
        <v>6.4864864864864868E-2</v>
      </c>
      <c r="H28" t="s">
        <v>293</v>
      </c>
      <c r="I28" s="3">
        <f>D28/(VLOOKUP(B28,'2024 Team'!$B$2:$G$33,3,FALSE))</f>
        <v>0.34644194756554308</v>
      </c>
    </row>
    <row r="29" spans="1:9" x14ac:dyDescent="0.25">
      <c r="A29" t="s">
        <v>418</v>
      </c>
      <c r="B29" t="s">
        <v>36</v>
      </c>
      <c r="C29" t="s">
        <v>159</v>
      </c>
      <c r="D29" t="s">
        <v>484</v>
      </c>
      <c r="E29" t="s">
        <v>2110</v>
      </c>
      <c r="F29" t="s">
        <v>207</v>
      </c>
      <c r="G29" s="3">
        <f t="shared" si="0"/>
        <v>4.1666666666666664E-2</v>
      </c>
      <c r="H29" t="s">
        <v>243</v>
      </c>
      <c r="I29" s="3">
        <f>D29/(VLOOKUP(B29,'2024 Team'!$B$2:$G$33,3,FALSE))</f>
        <v>0.40579710144927539</v>
      </c>
    </row>
    <row r="30" spans="1:9" x14ac:dyDescent="0.25">
      <c r="A30" t="s">
        <v>294</v>
      </c>
      <c r="B30" t="s">
        <v>62</v>
      </c>
      <c r="C30" t="s">
        <v>159</v>
      </c>
      <c r="D30" t="s">
        <v>331</v>
      </c>
      <c r="E30" t="s">
        <v>1150</v>
      </c>
      <c r="F30" t="s">
        <v>314</v>
      </c>
      <c r="G30" s="3">
        <f t="shared" si="0"/>
        <v>1.9607843137254902E-2</v>
      </c>
      <c r="H30" t="s">
        <v>194</v>
      </c>
      <c r="I30" s="3">
        <f>D30/(VLOOKUP(B30,'2024 Team'!$B$2:$G$33,3,FALSE))</f>
        <v>0.33479212253829321</v>
      </c>
    </row>
    <row r="31" spans="1:9" x14ac:dyDescent="0.25">
      <c r="A31" t="s">
        <v>240</v>
      </c>
      <c r="B31" t="s">
        <v>64</v>
      </c>
      <c r="C31" t="s">
        <v>159</v>
      </c>
      <c r="D31" t="s">
        <v>331</v>
      </c>
      <c r="E31" t="s">
        <v>2111</v>
      </c>
      <c r="F31" t="s">
        <v>207</v>
      </c>
      <c r="G31" s="3">
        <f t="shared" si="0"/>
        <v>4.5751633986928102E-2</v>
      </c>
      <c r="H31" t="s">
        <v>221</v>
      </c>
      <c r="I31" s="3">
        <f>D31/(VLOOKUP(B31,'2024 Team'!$B$2:$G$33,3,FALSE))</f>
        <v>0.39947780678851175</v>
      </c>
    </row>
    <row r="32" spans="1:9" x14ac:dyDescent="0.25">
      <c r="A32" t="s">
        <v>236</v>
      </c>
      <c r="B32" t="s">
        <v>36</v>
      </c>
      <c r="C32" t="s">
        <v>159</v>
      </c>
      <c r="D32" t="s">
        <v>1460</v>
      </c>
      <c r="E32" t="s">
        <v>2112</v>
      </c>
      <c r="F32" t="s">
        <v>289</v>
      </c>
      <c r="G32" s="3">
        <f t="shared" si="0"/>
        <v>1.3333333333333334E-2</v>
      </c>
      <c r="H32" t="s">
        <v>221</v>
      </c>
      <c r="I32" s="3">
        <f>D32/(VLOOKUP(B32,'2024 Team'!$B$2:$G$33,3,FALSE))</f>
        <v>0.36231884057971014</v>
      </c>
    </row>
    <row r="33" spans="1:9" x14ac:dyDescent="0.25">
      <c r="A33" t="s">
        <v>98</v>
      </c>
      <c r="B33" t="s">
        <v>58</v>
      </c>
      <c r="C33" t="s">
        <v>82</v>
      </c>
      <c r="D33" t="s">
        <v>1460</v>
      </c>
      <c r="E33" t="s">
        <v>2113</v>
      </c>
      <c r="F33" t="s">
        <v>344</v>
      </c>
      <c r="G33" s="3">
        <f t="shared" si="0"/>
        <v>9.3333333333333338E-2</v>
      </c>
      <c r="H33" t="s">
        <v>293</v>
      </c>
      <c r="I33" s="3">
        <f>D33/(VLOOKUP(B33,'2024 Team'!$B$2:$G$33,3,FALSE))</f>
        <v>0.24154589371980675</v>
      </c>
    </row>
    <row r="34" spans="1:9" x14ac:dyDescent="0.25">
      <c r="A34" t="s">
        <v>118</v>
      </c>
      <c r="B34" t="s">
        <v>70</v>
      </c>
      <c r="C34" t="s">
        <v>82</v>
      </c>
      <c r="D34" t="s">
        <v>1643</v>
      </c>
      <c r="E34" t="s">
        <v>2114</v>
      </c>
      <c r="F34" t="s">
        <v>247</v>
      </c>
      <c r="G34" s="3">
        <f t="shared" si="0"/>
        <v>4.0540540540540543E-2</v>
      </c>
      <c r="H34" t="s">
        <v>389</v>
      </c>
      <c r="I34" s="3">
        <f>D34/(VLOOKUP(B34,'2024 Team'!$B$2:$G$33,3,FALSE))</f>
        <v>0.28136882129277568</v>
      </c>
    </row>
    <row r="35" spans="1:9" x14ac:dyDescent="0.25">
      <c r="A35" t="s">
        <v>341</v>
      </c>
      <c r="B35" t="s">
        <v>66</v>
      </c>
      <c r="C35" t="s">
        <v>159</v>
      </c>
      <c r="D35" t="s">
        <v>1457</v>
      </c>
      <c r="E35" t="s">
        <v>1636</v>
      </c>
      <c r="F35" t="s">
        <v>314</v>
      </c>
      <c r="G35" s="3">
        <f t="shared" si="0"/>
        <v>2.0833333333333332E-2</v>
      </c>
      <c r="H35" t="s">
        <v>239</v>
      </c>
      <c r="I35" s="3">
        <f>D35/(VLOOKUP(B35,'2024 Team'!$B$2:$G$33,3,FALSE))</f>
        <v>0.29813664596273293</v>
      </c>
    </row>
    <row r="36" spans="1:9" x14ac:dyDescent="0.25">
      <c r="A36" t="s">
        <v>106</v>
      </c>
      <c r="B36" t="s">
        <v>12</v>
      </c>
      <c r="C36" t="s">
        <v>82</v>
      </c>
      <c r="D36" t="s">
        <v>1528</v>
      </c>
      <c r="E36" t="s">
        <v>2115</v>
      </c>
      <c r="F36" t="s">
        <v>229</v>
      </c>
      <c r="G36" s="3">
        <f t="shared" si="0"/>
        <v>2.8776978417266189E-2</v>
      </c>
      <c r="H36" t="s">
        <v>426</v>
      </c>
      <c r="I36" s="3">
        <f>D36/(VLOOKUP(B36,'2024 Team'!$B$2:$G$33,3,FALSE))</f>
        <v>0.25090252707581229</v>
      </c>
    </row>
    <row r="37" spans="1:9" x14ac:dyDescent="0.25">
      <c r="A37" t="s">
        <v>263</v>
      </c>
      <c r="B37" t="s">
        <v>26</v>
      </c>
      <c r="C37" t="s">
        <v>159</v>
      </c>
      <c r="D37" t="s">
        <v>1528</v>
      </c>
      <c r="E37" t="s">
        <v>2116</v>
      </c>
      <c r="F37" t="s">
        <v>229</v>
      </c>
      <c r="G37" s="3">
        <f t="shared" si="0"/>
        <v>2.8776978417266189E-2</v>
      </c>
      <c r="H37" t="s">
        <v>221</v>
      </c>
      <c r="I37" s="3">
        <f>D37/(VLOOKUP(B37,'2024 Team'!$B$2:$G$33,3,FALSE))</f>
        <v>0.30151843817787416</v>
      </c>
    </row>
    <row r="38" spans="1:9" x14ac:dyDescent="0.25">
      <c r="A38" t="s">
        <v>317</v>
      </c>
      <c r="B38" t="s">
        <v>10</v>
      </c>
      <c r="C38" t="s">
        <v>159</v>
      </c>
      <c r="D38" t="s">
        <v>1105</v>
      </c>
      <c r="E38" t="s">
        <v>2117</v>
      </c>
      <c r="F38" t="s">
        <v>314</v>
      </c>
      <c r="G38" s="3">
        <f t="shared" si="0"/>
        <v>2.1897810218978103E-2</v>
      </c>
      <c r="H38" t="s">
        <v>362</v>
      </c>
      <c r="I38" s="3">
        <f>D38/(VLOOKUP(B38,'2024 Team'!$B$2:$G$33,3,FALSE))</f>
        <v>0.27676767676767677</v>
      </c>
    </row>
    <row r="39" spans="1:9" x14ac:dyDescent="0.25">
      <c r="A39" t="s">
        <v>274</v>
      </c>
      <c r="B39" t="s">
        <v>64</v>
      </c>
      <c r="C39" t="s">
        <v>159</v>
      </c>
      <c r="D39" t="s">
        <v>1445</v>
      </c>
      <c r="E39" t="s">
        <v>2118</v>
      </c>
      <c r="F39" t="s">
        <v>225</v>
      </c>
      <c r="G39" s="3">
        <f t="shared" si="0"/>
        <v>5.9259259259259262E-2</v>
      </c>
      <c r="H39" t="s">
        <v>293</v>
      </c>
      <c r="I39" s="3">
        <f>D39/(VLOOKUP(B39,'2024 Team'!$B$2:$G$33,3,FALSE))</f>
        <v>0.35248041775456918</v>
      </c>
    </row>
    <row r="40" spans="1:9" x14ac:dyDescent="0.25">
      <c r="A40" t="s">
        <v>1634</v>
      </c>
      <c r="B40" t="s">
        <v>40</v>
      </c>
      <c r="C40" t="s">
        <v>159</v>
      </c>
      <c r="D40" t="s">
        <v>309</v>
      </c>
      <c r="E40" t="s">
        <v>2119</v>
      </c>
      <c r="F40" t="s">
        <v>229</v>
      </c>
      <c r="G40" s="3">
        <f t="shared" si="0"/>
        <v>3.0303030303030304E-2</v>
      </c>
      <c r="H40" t="s">
        <v>512</v>
      </c>
      <c r="I40" s="3">
        <f>D40/(VLOOKUP(B40,'2024 Team'!$B$2:$G$33,3,FALSE))</f>
        <v>0.3473684210526316</v>
      </c>
    </row>
    <row r="41" spans="1:9" x14ac:dyDescent="0.25">
      <c r="A41" t="s">
        <v>499</v>
      </c>
      <c r="B41" t="s">
        <v>50</v>
      </c>
      <c r="C41" t="s">
        <v>159</v>
      </c>
      <c r="D41" t="s">
        <v>1121</v>
      </c>
      <c r="E41" t="s">
        <v>1279</v>
      </c>
      <c r="F41" t="s">
        <v>300</v>
      </c>
      <c r="G41" s="3">
        <f t="shared" si="0"/>
        <v>8.3333333333333332E-3</v>
      </c>
      <c r="H41" t="s">
        <v>255</v>
      </c>
      <c r="I41" s="3">
        <f>D41/(VLOOKUP(B41,'2024 Team'!$B$2:$G$33,3,FALSE))</f>
        <v>0.26905829596412556</v>
      </c>
    </row>
    <row r="42" spans="1:9" x14ac:dyDescent="0.25">
      <c r="A42" t="s">
        <v>271</v>
      </c>
      <c r="B42" t="s">
        <v>60</v>
      </c>
      <c r="C42" t="s">
        <v>159</v>
      </c>
      <c r="D42" t="s">
        <v>1121</v>
      </c>
      <c r="E42" t="s">
        <v>322</v>
      </c>
      <c r="F42" t="s">
        <v>300</v>
      </c>
      <c r="G42" s="3">
        <f t="shared" si="0"/>
        <v>8.3333333333333332E-3</v>
      </c>
      <c r="H42" t="s">
        <v>239</v>
      </c>
      <c r="I42" s="3">
        <f>D42/(VLOOKUP(B42,'2024 Team'!$B$2:$G$33,3,FALSE))</f>
        <v>0.22514071294559099</v>
      </c>
    </row>
    <row r="43" spans="1:9" x14ac:dyDescent="0.25">
      <c r="A43" t="s">
        <v>415</v>
      </c>
      <c r="B43" t="s">
        <v>14</v>
      </c>
      <c r="C43" t="s">
        <v>159</v>
      </c>
      <c r="D43" t="s">
        <v>1098</v>
      </c>
      <c r="E43" t="s">
        <v>2120</v>
      </c>
      <c r="F43" t="s">
        <v>314</v>
      </c>
      <c r="G43" s="3">
        <f t="shared" si="0"/>
        <v>2.6548672566371681E-2</v>
      </c>
      <c r="H43" t="s">
        <v>212</v>
      </c>
      <c r="I43" s="3">
        <f>D43/(VLOOKUP(B43,'2024 Team'!$B$2:$G$33,3,FALSE))</f>
        <v>0.23014256619144602</v>
      </c>
    </row>
    <row r="44" spans="1:9" x14ac:dyDescent="0.25">
      <c r="A44" t="s">
        <v>482</v>
      </c>
      <c r="B44" t="s">
        <v>26</v>
      </c>
      <c r="C44" t="s">
        <v>159</v>
      </c>
      <c r="D44" t="s">
        <v>1098</v>
      </c>
      <c r="E44" t="s">
        <v>329</v>
      </c>
      <c r="F44" t="s">
        <v>300</v>
      </c>
      <c r="G44" s="3">
        <f t="shared" si="0"/>
        <v>8.8495575221238937E-3</v>
      </c>
      <c r="H44" t="s">
        <v>230</v>
      </c>
      <c r="I44" s="3">
        <f>D44/(VLOOKUP(B44,'2024 Team'!$B$2:$G$33,3,FALSE))</f>
        <v>0.24511930585683298</v>
      </c>
    </row>
    <row r="45" spans="1:9" x14ac:dyDescent="0.25">
      <c r="A45" t="s">
        <v>345</v>
      </c>
      <c r="B45" t="s">
        <v>54</v>
      </c>
      <c r="C45" t="s">
        <v>159</v>
      </c>
      <c r="D45" t="s">
        <v>1098</v>
      </c>
      <c r="E45" t="s">
        <v>347</v>
      </c>
      <c r="F45" t="s">
        <v>229</v>
      </c>
      <c r="G45" s="3">
        <f t="shared" si="0"/>
        <v>3.5398230088495575E-2</v>
      </c>
      <c r="H45" t="s">
        <v>212</v>
      </c>
      <c r="I45" s="3">
        <f>D45/(VLOOKUP(B45,'2024 Team'!$B$2:$G$33,3,FALSE))</f>
        <v>0.26650943396226418</v>
      </c>
    </row>
    <row r="46" spans="1:9" x14ac:dyDescent="0.25">
      <c r="A46" t="s">
        <v>519</v>
      </c>
      <c r="B46" t="s">
        <v>22</v>
      </c>
      <c r="C46" t="s">
        <v>159</v>
      </c>
      <c r="D46" t="s">
        <v>521</v>
      </c>
      <c r="E46" t="s">
        <v>1998</v>
      </c>
      <c r="F46" t="s">
        <v>314</v>
      </c>
      <c r="G46" s="3">
        <f t="shared" si="0"/>
        <v>2.8846153846153848E-2</v>
      </c>
      <c r="H46" t="s">
        <v>394</v>
      </c>
      <c r="I46" s="3">
        <f>D46/(VLOOKUP(B46,'2024 Team'!$B$2:$G$33,3,FALSE))</f>
        <v>0.26598465473145783</v>
      </c>
    </row>
    <row r="47" spans="1:9" x14ac:dyDescent="0.25">
      <c r="A47" t="s">
        <v>176</v>
      </c>
      <c r="B47" t="s">
        <v>32</v>
      </c>
      <c r="C47" t="s">
        <v>159</v>
      </c>
      <c r="D47" t="s">
        <v>592</v>
      </c>
      <c r="E47" t="s">
        <v>486</v>
      </c>
      <c r="F47" t="s">
        <v>300</v>
      </c>
      <c r="G47" s="3">
        <f t="shared" si="0"/>
        <v>2.5000000000000001E-2</v>
      </c>
      <c r="H47" t="s">
        <v>221</v>
      </c>
      <c r="I47" s="3">
        <f>D47/(VLOOKUP(B47,'2024 Team'!$B$2:$G$33,3,FALSE))</f>
        <v>9.2165898617511524E-2</v>
      </c>
    </row>
    <row r="48" spans="1:9" x14ac:dyDescent="0.25">
      <c r="A48" t="s">
        <v>176</v>
      </c>
      <c r="B48" t="s">
        <v>48</v>
      </c>
      <c r="C48" t="s">
        <v>159</v>
      </c>
      <c r="D48" t="s">
        <v>424</v>
      </c>
      <c r="E48" t="s">
        <v>428</v>
      </c>
      <c r="F48" t="s">
        <v>300</v>
      </c>
      <c r="G48" s="3">
        <f t="shared" si="0"/>
        <v>1.5625E-2</v>
      </c>
      <c r="H48" t="s">
        <v>243</v>
      </c>
      <c r="I48" s="3">
        <f>D48/(VLOOKUP(B48,'2024 Team'!$B$2:$G$33,3,FALSE))</f>
        <v>0.14004376367614879</v>
      </c>
    </row>
    <row r="49" spans="1:9" x14ac:dyDescent="0.25">
      <c r="A49" t="s">
        <v>327</v>
      </c>
      <c r="B49" t="s">
        <v>30</v>
      </c>
      <c r="C49" t="s">
        <v>159</v>
      </c>
      <c r="D49" t="s">
        <v>363</v>
      </c>
      <c r="E49" t="s">
        <v>2121</v>
      </c>
      <c r="F49" t="s">
        <v>229</v>
      </c>
      <c r="G49" s="3">
        <f t="shared" si="0"/>
        <v>3.8834951456310676E-2</v>
      </c>
      <c r="H49" t="s">
        <v>203</v>
      </c>
      <c r="I49" s="3">
        <f>D49/(VLOOKUP(B49,'2024 Team'!$B$2:$G$33,3,FALSE))</f>
        <v>0.19581749049429659</v>
      </c>
    </row>
    <row r="50" spans="1:9" x14ac:dyDescent="0.25">
      <c r="A50" t="s">
        <v>97</v>
      </c>
      <c r="B50" t="s">
        <v>14</v>
      </c>
      <c r="C50" t="s">
        <v>82</v>
      </c>
      <c r="D50" t="s">
        <v>1102</v>
      </c>
      <c r="E50" t="s">
        <v>2122</v>
      </c>
      <c r="F50" t="s">
        <v>198</v>
      </c>
      <c r="G50" s="3">
        <f t="shared" si="0"/>
        <v>0.11764705882352941</v>
      </c>
      <c r="H50" t="s">
        <v>194</v>
      </c>
      <c r="I50" s="3">
        <f>D50/(VLOOKUP(B50,'2024 Team'!$B$2:$G$33,3,FALSE))</f>
        <v>0.20773930753564154</v>
      </c>
    </row>
    <row r="51" spans="1:9" x14ac:dyDescent="0.25">
      <c r="A51" t="s">
        <v>356</v>
      </c>
      <c r="B51" t="s">
        <v>22</v>
      </c>
      <c r="C51" t="s">
        <v>159</v>
      </c>
      <c r="D51" t="s">
        <v>1102</v>
      </c>
      <c r="E51" t="s">
        <v>1335</v>
      </c>
      <c r="F51" t="s">
        <v>314</v>
      </c>
      <c r="G51" s="3">
        <f t="shared" si="0"/>
        <v>2.9411764705882353E-2</v>
      </c>
      <c r="H51" t="s">
        <v>409</v>
      </c>
      <c r="I51" s="3">
        <f>D51/(VLOOKUP(B51,'2024 Team'!$B$2:$G$33,3,FALSE))</f>
        <v>0.2608695652173913</v>
      </c>
    </row>
    <row r="52" spans="1:9" x14ac:dyDescent="0.25">
      <c r="A52" t="s">
        <v>1624</v>
      </c>
      <c r="B52" t="s">
        <v>42</v>
      </c>
      <c r="C52" t="s">
        <v>159</v>
      </c>
      <c r="D52" t="s">
        <v>369</v>
      </c>
      <c r="E52" t="s">
        <v>2123</v>
      </c>
      <c r="F52" t="s">
        <v>229</v>
      </c>
      <c r="G52" s="3">
        <f t="shared" si="0"/>
        <v>3.9603960396039604E-2</v>
      </c>
      <c r="H52" t="s">
        <v>262</v>
      </c>
      <c r="I52" s="3">
        <f>D52/(VLOOKUP(B52,'2024 Team'!$B$2:$G$33,3,FALSE))</f>
        <v>0.21814254859611232</v>
      </c>
    </row>
    <row r="53" spans="1:9" x14ac:dyDescent="0.25">
      <c r="A53" t="s">
        <v>532</v>
      </c>
      <c r="B53" t="s">
        <v>56</v>
      </c>
      <c r="C53" t="s">
        <v>159</v>
      </c>
      <c r="D53" t="s">
        <v>374</v>
      </c>
      <c r="E53" t="s">
        <v>2124</v>
      </c>
      <c r="F53" t="s">
        <v>289</v>
      </c>
      <c r="G53" s="3">
        <f t="shared" si="0"/>
        <v>2.1739130434782608E-2</v>
      </c>
      <c r="H53" t="s">
        <v>262</v>
      </c>
      <c r="I53" s="3">
        <f>D53/(VLOOKUP(B53,'2024 Team'!$B$2:$G$33,3,FALSE))</f>
        <v>0.25344352617079891</v>
      </c>
    </row>
    <row r="54" spans="1:9" x14ac:dyDescent="0.25">
      <c r="A54" t="s">
        <v>81</v>
      </c>
      <c r="B54" t="s">
        <v>26</v>
      </c>
      <c r="C54" t="s">
        <v>82</v>
      </c>
      <c r="D54" t="s">
        <v>374</v>
      </c>
      <c r="E54" t="s">
        <v>2125</v>
      </c>
      <c r="F54" t="s">
        <v>229</v>
      </c>
      <c r="G54" s="3">
        <f t="shared" si="0"/>
        <v>4.3478260869565216E-2</v>
      </c>
      <c r="H54" t="s">
        <v>362</v>
      </c>
      <c r="I54" s="3">
        <f>D54/(VLOOKUP(B54,'2024 Team'!$B$2:$G$33,3,FALSE))</f>
        <v>0.19956616052060738</v>
      </c>
    </row>
    <row r="55" spans="1:9" x14ac:dyDescent="0.25">
      <c r="A55" t="s">
        <v>161</v>
      </c>
      <c r="B55" t="s">
        <v>34</v>
      </c>
      <c r="C55" t="s">
        <v>82</v>
      </c>
      <c r="D55" t="s">
        <v>371</v>
      </c>
      <c r="E55" t="s">
        <v>1296</v>
      </c>
      <c r="F55" t="s">
        <v>247</v>
      </c>
      <c r="G55" s="3">
        <f t="shared" si="0"/>
        <v>6.9767441860465115E-2</v>
      </c>
      <c r="H55" t="s">
        <v>400</v>
      </c>
      <c r="I55" s="3">
        <f>D55/(VLOOKUP(B55,'2024 Team'!$B$2:$G$33,3,FALSE))</f>
        <v>0.17338709677419356</v>
      </c>
    </row>
    <row r="56" spans="1:9" x14ac:dyDescent="0.25">
      <c r="A56" t="s">
        <v>520</v>
      </c>
      <c r="B56" t="s">
        <v>46</v>
      </c>
      <c r="C56" t="s">
        <v>159</v>
      </c>
      <c r="D56" t="s">
        <v>548</v>
      </c>
      <c r="E56" t="s">
        <v>414</v>
      </c>
      <c r="F56" t="s">
        <v>289</v>
      </c>
      <c r="G56" s="3">
        <f t="shared" si="0"/>
        <v>2.3529411764705882E-2</v>
      </c>
      <c r="H56" t="s">
        <v>409</v>
      </c>
      <c r="I56" s="3">
        <f>D56/(VLOOKUP(B56,'2024 Team'!$B$2:$G$33,3,FALSE))</f>
        <v>0.18973214285714285</v>
      </c>
    </row>
    <row r="57" spans="1:9" x14ac:dyDescent="0.25">
      <c r="A57" t="s">
        <v>2126</v>
      </c>
      <c r="B57" t="s">
        <v>62</v>
      </c>
      <c r="C57" t="s">
        <v>159</v>
      </c>
      <c r="D57" t="s">
        <v>405</v>
      </c>
      <c r="E57" t="s">
        <v>2119</v>
      </c>
      <c r="F57" t="s">
        <v>229</v>
      </c>
      <c r="G57" s="3">
        <f t="shared" si="0"/>
        <v>4.7619047619047616E-2</v>
      </c>
      <c r="H57" t="s">
        <v>258</v>
      </c>
      <c r="I57" s="3">
        <f>D57/(VLOOKUP(B57,'2024 Team'!$B$2:$G$33,3,FALSE))</f>
        <v>0.1838074398249453</v>
      </c>
    </row>
    <row r="58" spans="1:9" x14ac:dyDescent="0.25">
      <c r="A58" t="s">
        <v>410</v>
      </c>
      <c r="B58" t="s">
        <v>68</v>
      </c>
      <c r="C58" t="s">
        <v>159</v>
      </c>
      <c r="D58" t="s">
        <v>405</v>
      </c>
      <c r="E58" t="s">
        <v>472</v>
      </c>
      <c r="F58" t="s">
        <v>229</v>
      </c>
      <c r="G58" s="3">
        <f t="shared" si="0"/>
        <v>4.7619047619047616E-2</v>
      </c>
      <c r="H58" t="s">
        <v>221</v>
      </c>
      <c r="I58" s="3">
        <f>D58/(VLOOKUP(B58,'2024 Team'!$B$2:$G$33,3,FALSE))</f>
        <v>0.18666666666666668</v>
      </c>
    </row>
    <row r="59" spans="1:9" x14ac:dyDescent="0.25">
      <c r="A59" t="s">
        <v>365</v>
      </c>
      <c r="B59" t="s">
        <v>38</v>
      </c>
      <c r="C59" t="s">
        <v>159</v>
      </c>
      <c r="D59" t="s">
        <v>381</v>
      </c>
      <c r="E59" t="s">
        <v>2127</v>
      </c>
      <c r="F59" t="s">
        <v>300</v>
      </c>
      <c r="G59" s="3">
        <f t="shared" si="0"/>
        <v>1.2048192771084338E-2</v>
      </c>
      <c r="H59" t="s">
        <v>221</v>
      </c>
      <c r="I59" s="3">
        <f>D59/(VLOOKUP(B59,'2024 Team'!$B$2:$G$33,3,FALSE))</f>
        <v>0.18444444444444444</v>
      </c>
    </row>
    <row r="60" spans="1:9" x14ac:dyDescent="0.25">
      <c r="A60" t="s">
        <v>86</v>
      </c>
      <c r="B60" t="s">
        <v>18</v>
      </c>
      <c r="C60" t="s">
        <v>82</v>
      </c>
      <c r="D60" t="s">
        <v>698</v>
      </c>
      <c r="E60" t="s">
        <v>1361</v>
      </c>
      <c r="F60" t="s">
        <v>417</v>
      </c>
      <c r="G60" s="3">
        <f t="shared" si="0"/>
        <v>0</v>
      </c>
      <c r="H60" t="s">
        <v>389</v>
      </c>
      <c r="I60" s="3">
        <f>D60/(VLOOKUP(B60,'2024 Team'!$B$2:$G$33,3,FALSE))</f>
        <v>0.18793503480278423</v>
      </c>
    </row>
    <row r="61" spans="1:9" x14ac:dyDescent="0.25">
      <c r="A61" t="s">
        <v>121</v>
      </c>
      <c r="B61" t="s">
        <v>8</v>
      </c>
      <c r="C61" t="s">
        <v>82</v>
      </c>
      <c r="D61" t="s">
        <v>552</v>
      </c>
      <c r="E61" t="s">
        <v>342</v>
      </c>
      <c r="F61" t="s">
        <v>220</v>
      </c>
      <c r="G61" s="3">
        <f t="shared" si="0"/>
        <v>6.4102564102564097E-2</v>
      </c>
      <c r="H61" t="s">
        <v>691</v>
      </c>
      <c r="I61" s="3">
        <f>D61/(VLOOKUP(B61,'2024 Team'!$B$2:$G$33,3,FALSE))</f>
        <v>0.16846652267818574</v>
      </c>
    </row>
    <row r="62" spans="1:9" x14ac:dyDescent="0.25">
      <c r="A62" t="s">
        <v>549</v>
      </c>
      <c r="B62" t="s">
        <v>70</v>
      </c>
      <c r="C62" t="s">
        <v>159</v>
      </c>
      <c r="D62" t="s">
        <v>402</v>
      </c>
      <c r="E62" t="s">
        <v>2012</v>
      </c>
      <c r="F62" t="s">
        <v>229</v>
      </c>
      <c r="G62" s="3">
        <f t="shared" si="0"/>
        <v>5.1948051948051951E-2</v>
      </c>
      <c r="H62" t="s">
        <v>251</v>
      </c>
      <c r="I62" s="3">
        <f>D62/(VLOOKUP(B62,'2024 Team'!$B$2:$G$33,3,FALSE))</f>
        <v>0.14638783269961977</v>
      </c>
    </row>
    <row r="63" spans="1:9" x14ac:dyDescent="0.25">
      <c r="A63" t="s">
        <v>458</v>
      </c>
      <c r="B63" t="s">
        <v>26</v>
      </c>
      <c r="C63" t="s">
        <v>159</v>
      </c>
      <c r="D63" t="s">
        <v>533</v>
      </c>
      <c r="E63" t="s">
        <v>2127</v>
      </c>
      <c r="F63" t="s">
        <v>289</v>
      </c>
      <c r="G63" s="3">
        <f t="shared" si="0"/>
        <v>2.6315789473684209E-2</v>
      </c>
      <c r="H63" t="s">
        <v>208</v>
      </c>
      <c r="I63" s="3">
        <f>D63/(VLOOKUP(B63,'2024 Team'!$B$2:$G$33,3,FALSE))</f>
        <v>0.16485900216919741</v>
      </c>
    </row>
    <row r="64" spans="1:9" x14ac:dyDescent="0.25">
      <c r="A64" t="s">
        <v>359</v>
      </c>
      <c r="B64" t="s">
        <v>58</v>
      </c>
      <c r="C64" t="s">
        <v>159</v>
      </c>
      <c r="D64" t="s">
        <v>536</v>
      </c>
      <c r="E64" t="s">
        <v>2128</v>
      </c>
      <c r="F64" t="s">
        <v>300</v>
      </c>
      <c r="G64" s="3">
        <f t="shared" si="0"/>
        <v>1.3333333333333334E-2</v>
      </c>
      <c r="H64" t="s">
        <v>212</v>
      </c>
      <c r="I64" s="3">
        <f>D64/(VLOOKUP(B64,'2024 Team'!$B$2:$G$33,3,FALSE))</f>
        <v>0.12077294685990338</v>
      </c>
    </row>
    <row r="65" spans="1:9" x14ac:dyDescent="0.25">
      <c r="A65" t="s">
        <v>1627</v>
      </c>
      <c r="B65" t="s">
        <v>24</v>
      </c>
      <c r="C65" t="s">
        <v>159</v>
      </c>
      <c r="D65" t="s">
        <v>1138</v>
      </c>
      <c r="E65" t="s">
        <v>2129</v>
      </c>
      <c r="F65" t="s">
        <v>314</v>
      </c>
      <c r="G65" s="3">
        <f t="shared" ref="G65:G127" si="1">F65/D65</f>
        <v>4.0540540540540543E-2</v>
      </c>
      <c r="H65" t="s">
        <v>550</v>
      </c>
      <c r="I65" s="3">
        <f>D65/(VLOOKUP(B65,'2024 Team'!$B$2:$G$33,3,FALSE))</f>
        <v>0.17249417249417248</v>
      </c>
    </row>
    <row r="66" spans="1:9" x14ac:dyDescent="0.25">
      <c r="A66" t="s">
        <v>1629</v>
      </c>
      <c r="B66" t="s">
        <v>20</v>
      </c>
      <c r="C66" t="s">
        <v>159</v>
      </c>
      <c r="D66" t="s">
        <v>1138</v>
      </c>
      <c r="E66" t="s">
        <v>253</v>
      </c>
      <c r="F66" t="s">
        <v>289</v>
      </c>
      <c r="G66" s="3">
        <f t="shared" si="1"/>
        <v>2.7027027027027029E-2</v>
      </c>
      <c r="H66" t="s">
        <v>409</v>
      </c>
      <c r="I66" s="3">
        <f>D66/(VLOOKUP(B66,'2024 Team'!$B$2:$G$33,3,FALSE))</f>
        <v>0.19473684210526315</v>
      </c>
    </row>
    <row r="67" spans="1:9" x14ac:dyDescent="0.25">
      <c r="A67" t="s">
        <v>1651</v>
      </c>
      <c r="B67" t="s">
        <v>22</v>
      </c>
      <c r="C67" t="s">
        <v>159</v>
      </c>
      <c r="D67" t="s">
        <v>392</v>
      </c>
      <c r="E67" t="s">
        <v>281</v>
      </c>
      <c r="F67" t="s">
        <v>417</v>
      </c>
      <c r="G67" s="3">
        <f t="shared" si="1"/>
        <v>0</v>
      </c>
      <c r="H67" t="s">
        <v>409</v>
      </c>
      <c r="I67" s="3">
        <f>D67/(VLOOKUP(B67,'2024 Team'!$B$2:$G$33,3,FALSE))</f>
        <v>0.1815856777493606</v>
      </c>
    </row>
    <row r="68" spans="1:9" x14ac:dyDescent="0.25">
      <c r="A68" t="s">
        <v>90</v>
      </c>
      <c r="B68" t="s">
        <v>42</v>
      </c>
      <c r="C68" t="s">
        <v>82</v>
      </c>
      <c r="D68" t="s">
        <v>497</v>
      </c>
      <c r="E68" t="s">
        <v>1656</v>
      </c>
      <c r="F68" t="s">
        <v>289</v>
      </c>
      <c r="G68" s="3">
        <f t="shared" si="1"/>
        <v>2.8985507246376812E-2</v>
      </c>
      <c r="H68" t="s">
        <v>230</v>
      </c>
      <c r="I68" s="3">
        <f>D68/(VLOOKUP(B68,'2024 Team'!$B$2:$G$33,3,FALSE))</f>
        <v>0.14902807775377969</v>
      </c>
    </row>
    <row r="69" spans="1:9" x14ac:dyDescent="0.25">
      <c r="A69" t="s">
        <v>386</v>
      </c>
      <c r="B69" t="s">
        <v>46</v>
      </c>
      <c r="C69" t="s">
        <v>159</v>
      </c>
      <c r="D69" t="s">
        <v>1125</v>
      </c>
      <c r="E69" t="s">
        <v>1406</v>
      </c>
      <c r="F69" t="s">
        <v>417</v>
      </c>
      <c r="G69" s="3">
        <f t="shared" si="1"/>
        <v>0</v>
      </c>
      <c r="H69" t="s">
        <v>221</v>
      </c>
      <c r="I69" s="3">
        <f>D69/(VLOOKUP(B69,'2024 Team'!$B$2:$G$33,3,FALSE))</f>
        <v>0.15178571428571427</v>
      </c>
    </row>
    <row r="70" spans="1:9" x14ac:dyDescent="0.25">
      <c r="A70" t="s">
        <v>96</v>
      </c>
      <c r="B70" t="s">
        <v>48</v>
      </c>
      <c r="C70" t="s">
        <v>82</v>
      </c>
      <c r="D70" t="s">
        <v>376</v>
      </c>
      <c r="E70" t="s">
        <v>2130</v>
      </c>
      <c r="F70" t="s">
        <v>300</v>
      </c>
      <c r="G70" s="3">
        <f t="shared" si="1"/>
        <v>1.4925373134328358E-2</v>
      </c>
      <c r="H70" t="s">
        <v>512</v>
      </c>
      <c r="I70" s="3">
        <f>D70/(VLOOKUP(B70,'2024 Team'!$B$2:$G$33,3,FALSE))</f>
        <v>0.14660831509846828</v>
      </c>
    </row>
    <row r="71" spans="1:9" x14ac:dyDescent="0.25">
      <c r="A71" t="s">
        <v>102</v>
      </c>
      <c r="B71" t="s">
        <v>54</v>
      </c>
      <c r="C71" t="s">
        <v>82</v>
      </c>
      <c r="D71" t="s">
        <v>376</v>
      </c>
      <c r="E71" t="s">
        <v>1440</v>
      </c>
      <c r="F71" t="s">
        <v>289</v>
      </c>
      <c r="G71" s="3">
        <f t="shared" si="1"/>
        <v>2.9850746268656716E-2</v>
      </c>
      <c r="H71" t="s">
        <v>235</v>
      </c>
      <c r="I71" s="3">
        <f>D71/(VLOOKUP(B71,'2024 Team'!$B$2:$G$33,3,FALSE))</f>
        <v>0.15801886792452829</v>
      </c>
    </row>
    <row r="72" spans="1:9" x14ac:dyDescent="0.25">
      <c r="A72" t="s">
        <v>567</v>
      </c>
      <c r="B72" t="s">
        <v>40</v>
      </c>
      <c r="C72" t="s">
        <v>159</v>
      </c>
      <c r="D72" t="s">
        <v>1160</v>
      </c>
      <c r="E72" t="s">
        <v>209</v>
      </c>
      <c r="F72" t="s">
        <v>289</v>
      </c>
      <c r="G72" s="3">
        <f t="shared" si="1"/>
        <v>3.0303030303030304E-2</v>
      </c>
      <c r="H72" t="s">
        <v>362</v>
      </c>
      <c r="I72" s="3">
        <f>D72/(VLOOKUP(B72,'2024 Team'!$B$2:$G$33,3,FALSE))</f>
        <v>0.1736842105263158</v>
      </c>
    </row>
    <row r="73" spans="1:9" x14ac:dyDescent="0.25">
      <c r="A73" t="s">
        <v>108</v>
      </c>
      <c r="B73" t="s">
        <v>62</v>
      </c>
      <c r="C73" t="s">
        <v>82</v>
      </c>
      <c r="D73" t="s">
        <v>1160</v>
      </c>
      <c r="E73" t="s">
        <v>200</v>
      </c>
      <c r="F73" t="s">
        <v>220</v>
      </c>
      <c r="G73" s="3">
        <f t="shared" si="1"/>
        <v>7.575757575757576E-2</v>
      </c>
      <c r="H73" t="s">
        <v>203</v>
      </c>
      <c r="I73" s="3">
        <f>D73/(VLOOKUP(B73,'2024 Team'!$B$2:$G$33,3,FALSE))</f>
        <v>0.14442013129102846</v>
      </c>
    </row>
    <row r="74" spans="1:9" x14ac:dyDescent="0.25">
      <c r="A74" t="s">
        <v>576</v>
      </c>
      <c r="B74" t="s">
        <v>40</v>
      </c>
      <c r="C74" t="s">
        <v>159</v>
      </c>
      <c r="D74" t="s">
        <v>422</v>
      </c>
      <c r="E74" t="s">
        <v>1513</v>
      </c>
      <c r="F74" t="s">
        <v>300</v>
      </c>
      <c r="G74" s="3">
        <f t="shared" si="1"/>
        <v>1.5384615384615385E-2</v>
      </c>
      <c r="H74" t="s">
        <v>385</v>
      </c>
      <c r="I74" s="3">
        <f>D74/(VLOOKUP(B74,'2024 Team'!$B$2:$G$33,3,FALSE))</f>
        <v>0.17105263157894737</v>
      </c>
    </row>
    <row r="75" spans="1:9" x14ac:dyDescent="0.25">
      <c r="A75" t="s">
        <v>517</v>
      </c>
      <c r="B75" t="s">
        <v>8</v>
      </c>
      <c r="C75" t="s">
        <v>159</v>
      </c>
      <c r="D75" t="s">
        <v>1094</v>
      </c>
      <c r="E75" t="s">
        <v>1385</v>
      </c>
      <c r="F75" t="s">
        <v>300</v>
      </c>
      <c r="G75" s="3">
        <f t="shared" si="1"/>
        <v>1.5873015873015872E-2</v>
      </c>
      <c r="H75" t="s">
        <v>243</v>
      </c>
      <c r="I75" s="3">
        <f>D75/(VLOOKUP(B75,'2024 Team'!$B$2:$G$33,3,FALSE))</f>
        <v>0.13606911447084233</v>
      </c>
    </row>
    <row r="76" spans="1:9" x14ac:dyDescent="0.25">
      <c r="A76" t="s">
        <v>117</v>
      </c>
      <c r="B76" t="s">
        <v>60</v>
      </c>
      <c r="C76" t="s">
        <v>82</v>
      </c>
      <c r="D76" t="s">
        <v>573</v>
      </c>
      <c r="E76" t="s">
        <v>1454</v>
      </c>
      <c r="F76" t="s">
        <v>220</v>
      </c>
      <c r="G76" s="3">
        <f t="shared" si="1"/>
        <v>8.0645161290322578E-2</v>
      </c>
      <c r="H76" t="s">
        <v>362</v>
      </c>
      <c r="I76" s="3">
        <f>D76/(VLOOKUP(B76,'2024 Team'!$B$2:$G$33,3,FALSE))</f>
        <v>0.11632270168855535</v>
      </c>
    </row>
    <row r="77" spans="1:9" x14ac:dyDescent="0.25">
      <c r="A77" t="s">
        <v>88</v>
      </c>
      <c r="B77" t="s">
        <v>66</v>
      </c>
      <c r="C77" t="s">
        <v>82</v>
      </c>
      <c r="D77" t="s">
        <v>477</v>
      </c>
      <c r="E77" t="s">
        <v>1308</v>
      </c>
      <c r="F77" t="s">
        <v>314</v>
      </c>
      <c r="G77" s="3">
        <f t="shared" si="1"/>
        <v>0.05</v>
      </c>
      <c r="H77" t="s">
        <v>488</v>
      </c>
      <c r="I77" s="3">
        <f>D77/(VLOOKUP(B77,'2024 Team'!$B$2:$G$33,3,FALSE))</f>
        <v>0.12422360248447205</v>
      </c>
    </row>
    <row r="78" spans="1:9" x14ac:dyDescent="0.25">
      <c r="A78" t="s">
        <v>333</v>
      </c>
      <c r="B78" t="s">
        <v>44</v>
      </c>
      <c r="C78" t="s">
        <v>159</v>
      </c>
      <c r="D78" t="s">
        <v>413</v>
      </c>
      <c r="E78" t="s">
        <v>1439</v>
      </c>
      <c r="F78" t="s">
        <v>417</v>
      </c>
      <c r="G78" s="3">
        <f t="shared" si="1"/>
        <v>0</v>
      </c>
      <c r="H78" t="s">
        <v>262</v>
      </c>
      <c r="I78" s="3">
        <f>D78/(VLOOKUP(B78,'2024 Team'!$B$2:$G$33,3,FALSE))</f>
        <v>0.12888888888888889</v>
      </c>
    </row>
    <row r="79" spans="1:9" x14ac:dyDescent="0.25">
      <c r="A79" t="s">
        <v>91</v>
      </c>
      <c r="B79" t="s">
        <v>38</v>
      </c>
      <c r="C79" t="s">
        <v>82</v>
      </c>
      <c r="D79" t="s">
        <v>413</v>
      </c>
      <c r="E79" t="s">
        <v>191</v>
      </c>
      <c r="F79" t="s">
        <v>289</v>
      </c>
      <c r="G79" s="3">
        <f t="shared" si="1"/>
        <v>3.4482758620689655E-2</v>
      </c>
      <c r="H79" t="s">
        <v>492</v>
      </c>
      <c r="I79" s="3">
        <f>D79/(VLOOKUP(B79,'2024 Team'!$B$2:$G$33,3,FALSE))</f>
        <v>0.12888888888888889</v>
      </c>
    </row>
    <row r="80" spans="1:9" x14ac:dyDescent="0.25">
      <c r="A80" t="s">
        <v>540</v>
      </c>
      <c r="B80" t="s">
        <v>48</v>
      </c>
      <c r="C80" t="s">
        <v>159</v>
      </c>
      <c r="D80" t="s">
        <v>1244</v>
      </c>
      <c r="E80" t="s">
        <v>1631</v>
      </c>
      <c r="F80" t="s">
        <v>417</v>
      </c>
      <c r="G80" s="3">
        <f t="shared" si="1"/>
        <v>0</v>
      </c>
      <c r="H80" t="s">
        <v>409</v>
      </c>
      <c r="I80" s="3">
        <f>D80/(VLOOKUP(B80,'2024 Team'!$B$2:$G$33,3,FALSE))</f>
        <v>0.12253829321663019</v>
      </c>
    </row>
    <row r="81" spans="1:9" x14ac:dyDescent="0.25">
      <c r="A81" t="s">
        <v>1682</v>
      </c>
      <c r="B81" t="s">
        <v>34</v>
      </c>
      <c r="C81" t="s">
        <v>159</v>
      </c>
      <c r="D81" t="s">
        <v>1244</v>
      </c>
      <c r="E81" t="s">
        <v>295</v>
      </c>
      <c r="F81" t="s">
        <v>289</v>
      </c>
      <c r="G81" s="3">
        <f t="shared" si="1"/>
        <v>3.5714285714285712E-2</v>
      </c>
      <c r="H81" t="s">
        <v>385</v>
      </c>
      <c r="I81" s="3">
        <f>D81/(VLOOKUP(B81,'2024 Team'!$B$2:$G$33,3,FALSE))</f>
        <v>0.11290322580645161</v>
      </c>
    </row>
    <row r="82" spans="1:9" x14ac:dyDescent="0.25">
      <c r="A82" t="s">
        <v>2131</v>
      </c>
      <c r="B82" t="s">
        <v>38</v>
      </c>
      <c r="C82" t="s">
        <v>159</v>
      </c>
      <c r="D82" t="s">
        <v>1244</v>
      </c>
      <c r="E82" t="s">
        <v>1513</v>
      </c>
      <c r="F82" t="s">
        <v>417</v>
      </c>
      <c r="G82" s="3">
        <f t="shared" si="1"/>
        <v>0</v>
      </c>
      <c r="H82" t="s">
        <v>409</v>
      </c>
      <c r="I82" s="3">
        <f>D82/(VLOOKUP(B82,'2024 Team'!$B$2:$G$33,3,FALSE))</f>
        <v>0.12444444444444444</v>
      </c>
    </row>
    <row r="83" spans="1:9" x14ac:dyDescent="0.25">
      <c r="A83" t="s">
        <v>716</v>
      </c>
      <c r="B83" t="s">
        <v>18</v>
      </c>
      <c r="C83" t="s">
        <v>159</v>
      </c>
      <c r="D83" t="s">
        <v>433</v>
      </c>
      <c r="E83" t="s">
        <v>1460</v>
      </c>
      <c r="F83" t="s">
        <v>247</v>
      </c>
      <c r="G83" s="3">
        <f t="shared" si="1"/>
        <v>0.10909090909090909</v>
      </c>
      <c r="H83" t="s">
        <v>423</v>
      </c>
      <c r="I83" s="3">
        <f>D83/(VLOOKUP(B83,'2024 Team'!$B$2:$G$33,3,FALSE))</f>
        <v>0.12761020881670534</v>
      </c>
    </row>
    <row r="84" spans="1:9" x14ac:dyDescent="0.25">
      <c r="A84" t="s">
        <v>439</v>
      </c>
      <c r="B84" t="s">
        <v>70</v>
      </c>
      <c r="C84" t="s">
        <v>159</v>
      </c>
      <c r="D84" t="s">
        <v>433</v>
      </c>
      <c r="E84" t="s">
        <v>2132</v>
      </c>
      <c r="F84" t="s">
        <v>229</v>
      </c>
      <c r="G84" s="3">
        <f t="shared" si="1"/>
        <v>7.2727272727272724E-2</v>
      </c>
      <c r="H84" t="s">
        <v>362</v>
      </c>
      <c r="I84" s="3">
        <f>D84/(VLOOKUP(B84,'2024 Team'!$B$2:$G$33,3,FALSE))</f>
        <v>0.10456273764258556</v>
      </c>
    </row>
    <row r="85" spans="1:9" x14ac:dyDescent="0.25">
      <c r="A85" t="s">
        <v>545</v>
      </c>
      <c r="B85" t="s">
        <v>16</v>
      </c>
      <c r="C85" t="s">
        <v>159</v>
      </c>
      <c r="D85" t="s">
        <v>433</v>
      </c>
      <c r="E85" t="s">
        <v>1620</v>
      </c>
      <c r="F85" t="s">
        <v>289</v>
      </c>
      <c r="G85" s="3">
        <f t="shared" si="1"/>
        <v>3.6363636363636362E-2</v>
      </c>
      <c r="H85" t="s">
        <v>221</v>
      </c>
      <c r="I85" s="3">
        <f>D85/(VLOOKUP(B85,'2024 Team'!$B$2:$G$33,3,FALSE))</f>
        <v>0.13414634146341464</v>
      </c>
    </row>
    <row r="86" spans="1:9" x14ac:dyDescent="0.25">
      <c r="A86" t="s">
        <v>93</v>
      </c>
      <c r="B86" t="s">
        <v>50</v>
      </c>
      <c r="C86" t="s">
        <v>82</v>
      </c>
      <c r="D86" t="s">
        <v>429</v>
      </c>
      <c r="E86" t="s">
        <v>355</v>
      </c>
      <c r="F86" t="s">
        <v>289</v>
      </c>
      <c r="G86" s="3">
        <f t="shared" si="1"/>
        <v>3.7037037037037035E-2</v>
      </c>
      <c r="H86" t="s">
        <v>611</v>
      </c>
      <c r="I86" s="3">
        <f>D86/(VLOOKUP(B86,'2024 Team'!$B$2:$G$33,3,FALSE))</f>
        <v>0.1210762331838565</v>
      </c>
    </row>
    <row r="87" spans="1:9" x14ac:dyDescent="0.25">
      <c r="A87" t="s">
        <v>99</v>
      </c>
      <c r="B87" t="s">
        <v>64</v>
      </c>
      <c r="C87" t="s">
        <v>82</v>
      </c>
      <c r="D87" t="s">
        <v>446</v>
      </c>
      <c r="E87" t="s">
        <v>1590</v>
      </c>
      <c r="F87" t="s">
        <v>289</v>
      </c>
      <c r="G87" s="3">
        <f t="shared" si="1"/>
        <v>3.7735849056603772E-2</v>
      </c>
      <c r="H87" t="s">
        <v>216</v>
      </c>
      <c r="I87" s="3">
        <f>D87/(VLOOKUP(B87,'2024 Team'!$B$2:$G$33,3,FALSE))</f>
        <v>0.13838120104438642</v>
      </c>
    </row>
    <row r="88" spans="1:9" x14ac:dyDescent="0.25">
      <c r="A88" t="s">
        <v>101</v>
      </c>
      <c r="B88" t="s">
        <v>32</v>
      </c>
      <c r="C88" t="s">
        <v>82</v>
      </c>
      <c r="D88" t="s">
        <v>441</v>
      </c>
      <c r="E88" t="s">
        <v>1604</v>
      </c>
      <c r="F88" t="s">
        <v>417</v>
      </c>
      <c r="G88" s="3">
        <f t="shared" si="1"/>
        <v>0</v>
      </c>
      <c r="H88" t="s">
        <v>255</v>
      </c>
      <c r="I88" s="3">
        <f>D88/(VLOOKUP(B88,'2024 Team'!$B$2:$G$33,3,FALSE))</f>
        <v>0.11981566820276497</v>
      </c>
    </row>
    <row r="89" spans="1:9" x14ac:dyDescent="0.25">
      <c r="A89" t="s">
        <v>182</v>
      </c>
      <c r="B89" t="s">
        <v>62</v>
      </c>
      <c r="C89" t="s">
        <v>159</v>
      </c>
      <c r="D89" t="s">
        <v>427</v>
      </c>
      <c r="E89" t="s">
        <v>2133</v>
      </c>
      <c r="F89" t="s">
        <v>417</v>
      </c>
      <c r="G89" s="3">
        <f t="shared" si="1"/>
        <v>0</v>
      </c>
      <c r="H89" t="s">
        <v>235</v>
      </c>
      <c r="I89" s="3">
        <f>D89/(VLOOKUP(B89,'2024 Team'!$B$2:$G$33,3,FALSE))</f>
        <v>0.10940919037199125</v>
      </c>
    </row>
    <row r="90" spans="1:9" x14ac:dyDescent="0.25">
      <c r="A90" t="s">
        <v>378</v>
      </c>
      <c r="B90" t="s">
        <v>66</v>
      </c>
      <c r="C90" t="s">
        <v>159</v>
      </c>
      <c r="D90" t="s">
        <v>427</v>
      </c>
      <c r="E90" t="s">
        <v>2014</v>
      </c>
      <c r="F90" t="s">
        <v>289</v>
      </c>
      <c r="G90" s="3">
        <f t="shared" si="1"/>
        <v>0.04</v>
      </c>
      <c r="H90" t="s">
        <v>574</v>
      </c>
      <c r="I90" s="3">
        <f>D90/(VLOOKUP(B90,'2024 Team'!$B$2:$G$33,3,FALSE))</f>
        <v>0.10351966873706005</v>
      </c>
    </row>
    <row r="91" spans="1:9" x14ac:dyDescent="0.25">
      <c r="A91" t="s">
        <v>1655</v>
      </c>
      <c r="B91" t="s">
        <v>52</v>
      </c>
      <c r="C91" t="s">
        <v>159</v>
      </c>
      <c r="D91" t="s">
        <v>450</v>
      </c>
      <c r="E91" t="s">
        <v>453</v>
      </c>
      <c r="F91" t="s">
        <v>300</v>
      </c>
      <c r="G91" s="3">
        <f t="shared" si="1"/>
        <v>2.0833333333333332E-2</v>
      </c>
      <c r="H91" t="s">
        <v>301</v>
      </c>
      <c r="I91" s="3">
        <f>D91/(VLOOKUP(B91,'2024 Team'!$B$2:$G$33,3,FALSE))</f>
        <v>0.10810810810810811</v>
      </c>
    </row>
    <row r="92" spans="1:9" x14ac:dyDescent="0.25">
      <c r="A92" t="s">
        <v>522</v>
      </c>
      <c r="B92" t="s">
        <v>12</v>
      </c>
      <c r="C92" t="s">
        <v>159</v>
      </c>
      <c r="D92" t="s">
        <v>438</v>
      </c>
      <c r="E92" t="s">
        <v>1607</v>
      </c>
      <c r="F92" t="s">
        <v>300</v>
      </c>
      <c r="G92" s="3">
        <f t="shared" si="1"/>
        <v>2.1276595744680851E-2</v>
      </c>
      <c r="H92" t="s">
        <v>203</v>
      </c>
      <c r="I92" s="3">
        <f>D92/(VLOOKUP(B92,'2024 Team'!$B$2:$G$33,3,FALSE))</f>
        <v>8.4837545126353789E-2</v>
      </c>
    </row>
    <row r="93" spans="1:9" x14ac:dyDescent="0.25">
      <c r="A93" t="s">
        <v>1554</v>
      </c>
      <c r="B93" t="s">
        <v>68</v>
      </c>
      <c r="C93" t="s">
        <v>82</v>
      </c>
      <c r="D93" t="s">
        <v>452</v>
      </c>
      <c r="E93" t="s">
        <v>1513</v>
      </c>
      <c r="F93" t="s">
        <v>417</v>
      </c>
      <c r="G93" s="3">
        <f t="shared" si="1"/>
        <v>0</v>
      </c>
      <c r="H93" t="s">
        <v>208</v>
      </c>
      <c r="I93" s="3">
        <f>D93/(VLOOKUP(B93,'2024 Team'!$B$2:$G$33,3,FALSE))</f>
        <v>0.1</v>
      </c>
    </row>
    <row r="94" spans="1:9" x14ac:dyDescent="0.25">
      <c r="A94" t="s">
        <v>311</v>
      </c>
      <c r="B94" t="s">
        <v>42</v>
      </c>
      <c r="C94" t="s">
        <v>159</v>
      </c>
      <c r="D94" t="s">
        <v>444</v>
      </c>
      <c r="E94" t="s">
        <v>312</v>
      </c>
      <c r="F94" t="s">
        <v>417</v>
      </c>
      <c r="G94" s="3">
        <f t="shared" si="1"/>
        <v>0</v>
      </c>
      <c r="H94" t="s">
        <v>262</v>
      </c>
      <c r="I94" s="3">
        <f>D94/(VLOOKUP(B94,'2024 Team'!$B$2:$G$33,3,FALSE))</f>
        <v>9.2872570194384454E-2</v>
      </c>
    </row>
    <row r="95" spans="1:9" x14ac:dyDescent="0.25">
      <c r="A95" t="s">
        <v>126</v>
      </c>
      <c r="B95" t="s">
        <v>60</v>
      </c>
      <c r="C95" t="s">
        <v>82</v>
      </c>
      <c r="D95" t="s">
        <v>444</v>
      </c>
      <c r="E95" t="s">
        <v>312</v>
      </c>
      <c r="F95" t="s">
        <v>289</v>
      </c>
      <c r="G95" s="3">
        <f t="shared" si="1"/>
        <v>4.6511627906976744E-2</v>
      </c>
      <c r="H95" t="s">
        <v>262</v>
      </c>
      <c r="I95" s="3">
        <f>D95/(VLOOKUP(B95,'2024 Team'!$B$2:$G$33,3,FALSE))</f>
        <v>8.0675422138836772E-2</v>
      </c>
    </row>
    <row r="96" spans="1:9" x14ac:dyDescent="0.25">
      <c r="A96" t="s">
        <v>95</v>
      </c>
      <c r="B96" t="s">
        <v>16</v>
      </c>
      <c r="C96" t="s">
        <v>82</v>
      </c>
      <c r="D96" t="s">
        <v>444</v>
      </c>
      <c r="E96" t="s">
        <v>1406</v>
      </c>
      <c r="F96" t="s">
        <v>247</v>
      </c>
      <c r="G96" s="3">
        <f t="shared" si="1"/>
        <v>0.13953488372093023</v>
      </c>
      <c r="H96" t="s">
        <v>400</v>
      </c>
      <c r="I96" s="3">
        <f>D96/(VLOOKUP(B96,'2024 Team'!$B$2:$G$33,3,FALSE))</f>
        <v>0.1048780487804878</v>
      </c>
    </row>
    <row r="97" spans="1:9" x14ac:dyDescent="0.25">
      <c r="A97" t="s">
        <v>111</v>
      </c>
      <c r="B97" t="s">
        <v>20</v>
      </c>
      <c r="C97" t="s">
        <v>82</v>
      </c>
      <c r="D97" t="s">
        <v>1199</v>
      </c>
      <c r="E97" t="s">
        <v>2134</v>
      </c>
      <c r="F97" t="s">
        <v>289</v>
      </c>
      <c r="G97" s="3">
        <f t="shared" si="1"/>
        <v>4.7619047619047616E-2</v>
      </c>
      <c r="H97" t="s">
        <v>251</v>
      </c>
      <c r="I97" s="3">
        <f>D97/(VLOOKUP(B97,'2024 Team'!$B$2:$G$33,3,FALSE))</f>
        <v>0.11052631578947368</v>
      </c>
    </row>
    <row r="98" spans="1:9" x14ac:dyDescent="0.25">
      <c r="A98" t="s">
        <v>534</v>
      </c>
      <c r="B98" t="s">
        <v>62</v>
      </c>
      <c r="C98" t="s">
        <v>163</v>
      </c>
      <c r="D98" t="s">
        <v>1199</v>
      </c>
      <c r="E98" t="s">
        <v>1485</v>
      </c>
      <c r="F98" t="s">
        <v>300</v>
      </c>
      <c r="G98" s="3">
        <f t="shared" si="1"/>
        <v>2.3809523809523808E-2</v>
      </c>
      <c r="H98" t="s">
        <v>512</v>
      </c>
      <c r="I98" s="3">
        <f>D98/(VLOOKUP(B98,'2024 Team'!$B$2:$G$33,3,FALSE))</f>
        <v>9.1903719912472648E-2</v>
      </c>
    </row>
    <row r="99" spans="1:9" x14ac:dyDescent="0.25">
      <c r="A99" t="s">
        <v>431</v>
      </c>
      <c r="B99" t="s">
        <v>14</v>
      </c>
      <c r="C99" t="s">
        <v>159</v>
      </c>
      <c r="D99" t="s">
        <v>454</v>
      </c>
      <c r="E99" t="s">
        <v>1464</v>
      </c>
      <c r="F99" t="s">
        <v>300</v>
      </c>
      <c r="G99" s="3">
        <f t="shared" si="1"/>
        <v>2.4390243902439025E-2</v>
      </c>
      <c r="H99" t="s">
        <v>194</v>
      </c>
      <c r="I99" s="3">
        <f>D99/(VLOOKUP(B99,'2024 Team'!$B$2:$G$33,3,FALSE))</f>
        <v>8.3503054989816694E-2</v>
      </c>
    </row>
    <row r="100" spans="1:9" x14ac:dyDescent="0.25">
      <c r="A100" t="s">
        <v>602</v>
      </c>
      <c r="B100" t="s">
        <v>32</v>
      </c>
      <c r="C100" t="s">
        <v>159</v>
      </c>
      <c r="D100" t="s">
        <v>592</v>
      </c>
      <c r="E100" t="s">
        <v>1369</v>
      </c>
      <c r="F100" t="s">
        <v>289</v>
      </c>
      <c r="G100" s="3">
        <f t="shared" si="1"/>
        <v>0.05</v>
      </c>
      <c r="H100" t="s">
        <v>691</v>
      </c>
      <c r="I100" s="3">
        <f>D100/(VLOOKUP(B100,'2024 Team'!$B$2:$G$33,3,FALSE))</f>
        <v>9.2165898617511524E-2</v>
      </c>
    </row>
    <row r="101" spans="1:9" x14ac:dyDescent="0.25">
      <c r="A101" t="s">
        <v>152</v>
      </c>
      <c r="B101" t="s">
        <v>52</v>
      </c>
      <c r="C101" t="s">
        <v>153</v>
      </c>
      <c r="D101" t="s">
        <v>470</v>
      </c>
      <c r="E101" t="s">
        <v>414</v>
      </c>
      <c r="F101" t="s">
        <v>247</v>
      </c>
      <c r="G101" s="3">
        <f t="shared" si="1"/>
        <v>0.15384615384615385</v>
      </c>
      <c r="H101" t="s">
        <v>473</v>
      </c>
      <c r="I101" s="3">
        <f>D101/(VLOOKUP(B101,'2024 Team'!$B$2:$G$33,3,FALSE))</f>
        <v>8.7837837837837843E-2</v>
      </c>
    </row>
    <row r="102" spans="1:9" x14ac:dyDescent="0.25">
      <c r="A102" t="s">
        <v>2135</v>
      </c>
      <c r="B102" t="s">
        <v>40</v>
      </c>
      <c r="C102" t="s">
        <v>159</v>
      </c>
      <c r="D102" t="s">
        <v>470</v>
      </c>
      <c r="E102" t="s">
        <v>1513</v>
      </c>
      <c r="F102" t="s">
        <v>417</v>
      </c>
      <c r="G102" s="3">
        <f t="shared" si="1"/>
        <v>0</v>
      </c>
      <c r="H102" t="s">
        <v>362</v>
      </c>
      <c r="I102" s="3">
        <f>D102/(VLOOKUP(B102,'2024 Team'!$B$2:$G$33,3,FALSE))</f>
        <v>0.10263157894736842</v>
      </c>
    </row>
    <row r="103" spans="1:9" x14ac:dyDescent="0.25">
      <c r="A103" t="s">
        <v>456</v>
      </c>
      <c r="B103" t="s">
        <v>52</v>
      </c>
      <c r="C103" t="s">
        <v>159</v>
      </c>
      <c r="D103" t="s">
        <v>470</v>
      </c>
      <c r="E103" t="s">
        <v>1643</v>
      </c>
      <c r="F103" t="s">
        <v>300</v>
      </c>
      <c r="G103" s="3">
        <f t="shared" si="1"/>
        <v>2.564102564102564E-2</v>
      </c>
      <c r="H103" t="s">
        <v>323</v>
      </c>
      <c r="I103" s="3">
        <f>D103/(VLOOKUP(B103,'2024 Team'!$B$2:$G$33,3,FALSE))</f>
        <v>8.7837837837837843E-2</v>
      </c>
    </row>
    <row r="104" spans="1:9" x14ac:dyDescent="0.25">
      <c r="A104" t="s">
        <v>1683</v>
      </c>
      <c r="B104" t="s">
        <v>62</v>
      </c>
      <c r="C104" t="s">
        <v>159</v>
      </c>
      <c r="D104" t="s">
        <v>470</v>
      </c>
      <c r="E104" t="s">
        <v>1513</v>
      </c>
      <c r="F104" t="s">
        <v>300</v>
      </c>
      <c r="G104" s="3">
        <f t="shared" si="1"/>
        <v>2.564102564102564E-2</v>
      </c>
      <c r="H104" t="s">
        <v>362</v>
      </c>
      <c r="I104" s="3">
        <f>D104/(VLOOKUP(B104,'2024 Team'!$B$2:$G$33,3,FALSE))</f>
        <v>8.5339168490153175E-2</v>
      </c>
    </row>
    <row r="105" spans="1:9" x14ac:dyDescent="0.25">
      <c r="A105" t="s">
        <v>489</v>
      </c>
      <c r="B105" t="s">
        <v>30</v>
      </c>
      <c r="C105" t="s">
        <v>159</v>
      </c>
      <c r="D105" t="s">
        <v>476</v>
      </c>
      <c r="E105" t="s">
        <v>1513</v>
      </c>
      <c r="F105" t="s">
        <v>300</v>
      </c>
      <c r="G105" s="3">
        <f t="shared" si="1"/>
        <v>2.7777777777777776E-2</v>
      </c>
      <c r="H105" t="s">
        <v>216</v>
      </c>
      <c r="I105" s="3">
        <f>D105/(VLOOKUP(B105,'2024 Team'!$B$2:$G$33,3,FALSE))</f>
        <v>6.8441064638783272E-2</v>
      </c>
    </row>
    <row r="106" spans="1:9" x14ac:dyDescent="0.25">
      <c r="A106" t="s">
        <v>543</v>
      </c>
      <c r="B106" t="s">
        <v>18</v>
      </c>
      <c r="C106" t="s">
        <v>159</v>
      </c>
      <c r="D106" t="s">
        <v>225</v>
      </c>
      <c r="E106" t="s">
        <v>193</v>
      </c>
      <c r="F106" t="s">
        <v>300</v>
      </c>
      <c r="G106" s="3">
        <f t="shared" si="1"/>
        <v>0.125</v>
      </c>
      <c r="H106" t="s">
        <v>643</v>
      </c>
      <c r="I106" s="3">
        <f>D106/(VLOOKUP(B106,'2024 Team'!$B$2:$G$33,3,FALSE))</f>
        <v>1.8561484918793503E-2</v>
      </c>
    </row>
    <row r="107" spans="1:9" x14ac:dyDescent="0.25">
      <c r="A107" t="s">
        <v>543</v>
      </c>
      <c r="B107" t="s">
        <v>20</v>
      </c>
      <c r="C107" t="s">
        <v>159</v>
      </c>
      <c r="D107" t="s">
        <v>496</v>
      </c>
      <c r="E107" t="s">
        <v>360</v>
      </c>
      <c r="F107" t="s">
        <v>417</v>
      </c>
      <c r="G107" s="3">
        <f t="shared" si="1"/>
        <v>0</v>
      </c>
      <c r="H107" t="s">
        <v>208</v>
      </c>
      <c r="I107" s="3">
        <f>D107/(VLOOKUP(B107,'2024 Team'!$B$2:$G$33,3,FALSE))</f>
        <v>7.3684210526315783E-2</v>
      </c>
    </row>
    <row r="108" spans="1:9" x14ac:dyDescent="0.25">
      <c r="A108" t="s">
        <v>395</v>
      </c>
      <c r="B108" t="s">
        <v>8</v>
      </c>
      <c r="C108" t="s">
        <v>159</v>
      </c>
      <c r="D108" t="s">
        <v>467</v>
      </c>
      <c r="E108" t="s">
        <v>349</v>
      </c>
      <c r="F108" t="s">
        <v>300</v>
      </c>
      <c r="G108" s="3">
        <f t="shared" si="1"/>
        <v>2.8571428571428571E-2</v>
      </c>
      <c r="H108" t="s">
        <v>221</v>
      </c>
      <c r="I108" s="3">
        <f>D108/(VLOOKUP(B108,'2024 Team'!$B$2:$G$33,3,FALSE))</f>
        <v>7.5593952483801297E-2</v>
      </c>
    </row>
    <row r="109" spans="1:9" x14ac:dyDescent="0.25">
      <c r="A109" t="s">
        <v>85</v>
      </c>
      <c r="B109" t="s">
        <v>28</v>
      </c>
      <c r="C109" t="s">
        <v>82</v>
      </c>
      <c r="D109" t="s">
        <v>467</v>
      </c>
      <c r="E109" t="s">
        <v>1244</v>
      </c>
      <c r="F109" t="s">
        <v>417</v>
      </c>
      <c r="G109" s="3">
        <f t="shared" si="1"/>
        <v>0</v>
      </c>
      <c r="H109" t="s">
        <v>594</v>
      </c>
      <c r="I109" s="3">
        <f>D109/(VLOOKUP(B109,'2024 Team'!$B$2:$G$33,3,FALSE))</f>
        <v>6.5543071161048683E-2</v>
      </c>
    </row>
    <row r="110" spans="1:9" x14ac:dyDescent="0.25">
      <c r="A110" t="s">
        <v>336</v>
      </c>
      <c r="B110" t="s">
        <v>70</v>
      </c>
      <c r="C110" t="s">
        <v>159</v>
      </c>
      <c r="D110" t="s">
        <v>467</v>
      </c>
      <c r="E110" t="s">
        <v>298</v>
      </c>
      <c r="F110" t="s">
        <v>289</v>
      </c>
      <c r="G110" s="3">
        <f t="shared" si="1"/>
        <v>5.7142857142857141E-2</v>
      </c>
      <c r="H110" t="s">
        <v>203</v>
      </c>
      <c r="I110" s="3">
        <f>D110/(VLOOKUP(B110,'2024 Team'!$B$2:$G$33,3,FALSE))</f>
        <v>6.6539923954372623E-2</v>
      </c>
    </row>
    <row r="111" spans="1:9" x14ac:dyDescent="0.25">
      <c r="A111" t="s">
        <v>547</v>
      </c>
      <c r="B111" t="s">
        <v>42</v>
      </c>
      <c r="C111" t="s">
        <v>159</v>
      </c>
      <c r="D111" t="s">
        <v>679</v>
      </c>
      <c r="E111" t="s">
        <v>559</v>
      </c>
      <c r="F111" t="s">
        <v>289</v>
      </c>
      <c r="G111" s="3">
        <f t="shared" si="1"/>
        <v>5.8823529411764705E-2</v>
      </c>
      <c r="H111" t="s">
        <v>603</v>
      </c>
      <c r="I111" s="3">
        <f>D111/(VLOOKUP(B111,'2024 Team'!$B$2:$G$33,3,FALSE))</f>
        <v>7.3434125269978404E-2</v>
      </c>
    </row>
    <row r="112" spans="1:9" x14ac:dyDescent="0.25">
      <c r="A112" t="s">
        <v>609</v>
      </c>
      <c r="B112" t="s">
        <v>34</v>
      </c>
      <c r="C112" t="s">
        <v>159</v>
      </c>
      <c r="D112" t="s">
        <v>475</v>
      </c>
      <c r="E112" t="s">
        <v>331</v>
      </c>
      <c r="F112" t="s">
        <v>300</v>
      </c>
      <c r="G112" s="3">
        <f t="shared" si="1"/>
        <v>3.125E-2</v>
      </c>
      <c r="H112" t="s">
        <v>251</v>
      </c>
      <c r="I112" s="3">
        <f>D112/(VLOOKUP(B112,'2024 Team'!$B$2:$G$33,3,FALSE))</f>
        <v>6.4516129032258063E-2</v>
      </c>
    </row>
    <row r="113" spans="1:9" x14ac:dyDescent="0.25">
      <c r="A113" t="s">
        <v>563</v>
      </c>
      <c r="B113" t="s">
        <v>36</v>
      </c>
      <c r="C113" t="s">
        <v>159</v>
      </c>
      <c r="D113" t="s">
        <v>475</v>
      </c>
      <c r="E113" t="s">
        <v>318</v>
      </c>
      <c r="F113" t="s">
        <v>417</v>
      </c>
      <c r="G113" s="3">
        <f t="shared" si="1"/>
        <v>0</v>
      </c>
      <c r="H113" t="s">
        <v>255</v>
      </c>
      <c r="I113" s="3">
        <f>D113/(VLOOKUP(B113,'2024 Team'!$B$2:$G$33,3,FALSE))</f>
        <v>7.7294685990338161E-2</v>
      </c>
    </row>
    <row r="114" spans="1:9" x14ac:dyDescent="0.25">
      <c r="A114" t="s">
        <v>1674</v>
      </c>
      <c r="B114" t="s">
        <v>60</v>
      </c>
      <c r="C114" t="s">
        <v>159</v>
      </c>
      <c r="D114" t="s">
        <v>475</v>
      </c>
      <c r="E114" t="s">
        <v>1445</v>
      </c>
      <c r="F114" t="s">
        <v>417</v>
      </c>
      <c r="G114" s="3">
        <f t="shared" si="1"/>
        <v>0</v>
      </c>
      <c r="H114" t="s">
        <v>293</v>
      </c>
      <c r="I114" s="3">
        <f>D114/(VLOOKUP(B114,'2024 Team'!$B$2:$G$33,3,FALSE))</f>
        <v>6.0037523452157598E-2</v>
      </c>
    </row>
    <row r="115" spans="1:9" x14ac:dyDescent="0.25">
      <c r="A115" t="s">
        <v>2136</v>
      </c>
      <c r="B115" t="s">
        <v>64</v>
      </c>
      <c r="C115" t="s">
        <v>159</v>
      </c>
      <c r="D115" t="s">
        <v>493</v>
      </c>
      <c r="E115" t="s">
        <v>1060</v>
      </c>
      <c r="F115" t="s">
        <v>417</v>
      </c>
      <c r="G115" s="3">
        <f t="shared" si="1"/>
        <v>0</v>
      </c>
      <c r="H115" t="s">
        <v>445</v>
      </c>
      <c r="I115" s="3">
        <f>D115/(VLOOKUP(B115,'2024 Team'!$B$2:$G$33,3,FALSE))</f>
        <v>8.0939947780678853E-2</v>
      </c>
    </row>
    <row r="116" spans="1:9" x14ac:dyDescent="0.25">
      <c r="A116" t="s">
        <v>688</v>
      </c>
      <c r="B116" t="s">
        <v>28</v>
      </c>
      <c r="C116" t="s">
        <v>159</v>
      </c>
      <c r="D116" t="s">
        <v>493</v>
      </c>
      <c r="E116" t="s">
        <v>1528</v>
      </c>
      <c r="F116" t="s">
        <v>417</v>
      </c>
      <c r="G116" s="3">
        <f t="shared" si="1"/>
        <v>0</v>
      </c>
      <c r="H116" t="s">
        <v>255</v>
      </c>
      <c r="I116" s="3">
        <f>D116/(VLOOKUP(B116,'2024 Team'!$B$2:$G$33,3,FALSE))</f>
        <v>5.8052434456928842E-2</v>
      </c>
    </row>
    <row r="117" spans="1:9" x14ac:dyDescent="0.25">
      <c r="A117" t="s">
        <v>1558</v>
      </c>
      <c r="B117" t="s">
        <v>22</v>
      </c>
      <c r="C117" t="s">
        <v>82</v>
      </c>
      <c r="D117" t="s">
        <v>493</v>
      </c>
      <c r="E117" t="s">
        <v>1643</v>
      </c>
      <c r="F117" t="s">
        <v>300</v>
      </c>
      <c r="G117" s="3">
        <f t="shared" si="1"/>
        <v>3.2258064516129031E-2</v>
      </c>
      <c r="H117" t="s">
        <v>251</v>
      </c>
      <c r="I117" s="3">
        <f>D117/(VLOOKUP(B117,'2024 Team'!$B$2:$G$33,3,FALSE))</f>
        <v>7.9283887468030695E-2</v>
      </c>
    </row>
    <row r="118" spans="1:9" x14ac:dyDescent="0.25">
      <c r="A118" t="s">
        <v>443</v>
      </c>
      <c r="B118" t="s">
        <v>56</v>
      </c>
      <c r="C118" t="s">
        <v>159</v>
      </c>
      <c r="D118" t="s">
        <v>639</v>
      </c>
      <c r="E118" t="s">
        <v>2137</v>
      </c>
      <c r="F118" t="s">
        <v>300</v>
      </c>
      <c r="G118" s="3">
        <f t="shared" si="1"/>
        <v>3.3333333333333333E-2</v>
      </c>
      <c r="H118" t="s">
        <v>400</v>
      </c>
      <c r="I118" s="3">
        <f>D118/(VLOOKUP(B118,'2024 Team'!$B$2:$G$33,3,FALSE))</f>
        <v>8.2644628099173556E-2</v>
      </c>
    </row>
    <row r="119" spans="1:9" x14ac:dyDescent="0.25">
      <c r="A119" t="s">
        <v>595</v>
      </c>
      <c r="B119" t="s">
        <v>32</v>
      </c>
      <c r="C119" t="s">
        <v>159</v>
      </c>
      <c r="D119" t="s">
        <v>639</v>
      </c>
      <c r="E119" t="s">
        <v>337</v>
      </c>
      <c r="F119" t="s">
        <v>417</v>
      </c>
      <c r="G119" s="3">
        <f t="shared" si="1"/>
        <v>0</v>
      </c>
      <c r="H119" t="s">
        <v>221</v>
      </c>
      <c r="I119" s="3">
        <f>D119/(VLOOKUP(B119,'2024 Team'!$B$2:$G$33,3,FALSE))</f>
        <v>6.9124423963133647E-2</v>
      </c>
    </row>
    <row r="120" spans="1:9" x14ac:dyDescent="0.25">
      <c r="A120" t="s">
        <v>553</v>
      </c>
      <c r="B120" t="s">
        <v>58</v>
      </c>
      <c r="C120" t="s">
        <v>159</v>
      </c>
      <c r="D120" t="s">
        <v>639</v>
      </c>
      <c r="E120" t="s">
        <v>390</v>
      </c>
      <c r="F120" t="s">
        <v>417</v>
      </c>
      <c r="G120" s="3">
        <f t="shared" si="1"/>
        <v>0</v>
      </c>
      <c r="H120" t="s">
        <v>423</v>
      </c>
      <c r="I120" s="3">
        <f>D120/(VLOOKUP(B120,'2024 Team'!$B$2:$G$33,3,FALSE))</f>
        <v>4.8309178743961352E-2</v>
      </c>
    </row>
    <row r="121" spans="1:9" x14ac:dyDescent="0.25">
      <c r="A121" t="s">
        <v>84</v>
      </c>
      <c r="B121" t="s">
        <v>44</v>
      </c>
      <c r="C121" t="s">
        <v>82</v>
      </c>
      <c r="D121" t="s">
        <v>639</v>
      </c>
      <c r="E121" t="s">
        <v>454</v>
      </c>
      <c r="F121" t="s">
        <v>417</v>
      </c>
      <c r="G121" s="3">
        <f t="shared" si="1"/>
        <v>0</v>
      </c>
      <c r="H121" t="s">
        <v>586</v>
      </c>
      <c r="I121" s="3">
        <f>D121/(VLOOKUP(B121,'2024 Team'!$B$2:$G$33,3,FALSE))</f>
        <v>6.6666666666666666E-2</v>
      </c>
    </row>
    <row r="122" spans="1:9" x14ac:dyDescent="0.25">
      <c r="A122" t="s">
        <v>107</v>
      </c>
      <c r="B122" t="s">
        <v>36</v>
      </c>
      <c r="C122" t="s">
        <v>82</v>
      </c>
      <c r="D122" t="s">
        <v>496</v>
      </c>
      <c r="E122" t="s">
        <v>374</v>
      </c>
      <c r="F122" t="s">
        <v>300</v>
      </c>
      <c r="G122" s="3">
        <f t="shared" si="1"/>
        <v>3.5714285714285712E-2</v>
      </c>
      <c r="H122" t="s">
        <v>409</v>
      </c>
      <c r="I122" s="3">
        <f>D122/(VLOOKUP(B122,'2024 Team'!$B$2:$G$33,3,FALSE))</f>
        <v>6.7632850241545889E-2</v>
      </c>
    </row>
    <row r="123" spans="1:9" x14ac:dyDescent="0.25">
      <c r="A123" t="s">
        <v>130</v>
      </c>
      <c r="B123" t="s">
        <v>46</v>
      </c>
      <c r="C123" t="s">
        <v>82</v>
      </c>
      <c r="D123" t="s">
        <v>507</v>
      </c>
      <c r="E123" t="s">
        <v>1445</v>
      </c>
      <c r="F123" t="s">
        <v>289</v>
      </c>
      <c r="G123" s="3">
        <f t="shared" si="1"/>
        <v>7.6923076923076927E-2</v>
      </c>
      <c r="H123" t="s">
        <v>194</v>
      </c>
      <c r="I123" s="3">
        <f>D123/(VLOOKUP(B123,'2024 Team'!$B$2:$G$33,3,FALSE))</f>
        <v>5.8035714285714288E-2</v>
      </c>
    </row>
    <row r="124" spans="1:9" x14ac:dyDescent="0.25">
      <c r="A124" t="s">
        <v>87</v>
      </c>
      <c r="B124" t="s">
        <v>36</v>
      </c>
      <c r="C124" t="s">
        <v>82</v>
      </c>
      <c r="D124" t="s">
        <v>507</v>
      </c>
      <c r="E124" t="s">
        <v>346</v>
      </c>
      <c r="F124" t="s">
        <v>314</v>
      </c>
      <c r="G124" s="3">
        <f t="shared" si="1"/>
        <v>0.11538461538461539</v>
      </c>
      <c r="H124" t="s">
        <v>243</v>
      </c>
      <c r="I124" s="3">
        <f>D124/(VLOOKUP(B124,'2024 Team'!$B$2:$G$33,3,FALSE))</f>
        <v>6.280193236714976E-2</v>
      </c>
    </row>
    <row r="125" spans="1:9" x14ac:dyDescent="0.25">
      <c r="A125" t="s">
        <v>136</v>
      </c>
      <c r="B125" t="s">
        <v>24</v>
      </c>
      <c r="C125" t="s">
        <v>82</v>
      </c>
      <c r="D125" t="s">
        <v>507</v>
      </c>
      <c r="E125" t="s">
        <v>202</v>
      </c>
      <c r="F125" t="s">
        <v>417</v>
      </c>
      <c r="G125" s="3">
        <f t="shared" si="1"/>
        <v>0</v>
      </c>
      <c r="H125" t="s">
        <v>601</v>
      </c>
      <c r="I125" s="3">
        <f>D125/(VLOOKUP(B125,'2024 Team'!$B$2:$G$33,3,FALSE))</f>
        <v>6.0606060606060608E-2</v>
      </c>
    </row>
    <row r="126" spans="1:9" x14ac:dyDescent="0.25">
      <c r="A126" t="s">
        <v>1670</v>
      </c>
      <c r="B126" t="s">
        <v>22</v>
      </c>
      <c r="C126" t="s">
        <v>159</v>
      </c>
      <c r="D126" t="s">
        <v>507</v>
      </c>
      <c r="E126" t="s">
        <v>1162</v>
      </c>
      <c r="F126" t="s">
        <v>417</v>
      </c>
      <c r="G126" s="3">
        <f t="shared" si="1"/>
        <v>0</v>
      </c>
      <c r="H126" t="s">
        <v>293</v>
      </c>
      <c r="I126" s="3">
        <f>D126/(VLOOKUP(B126,'2024 Team'!$B$2:$G$33,3,FALSE))</f>
        <v>6.6496163682864456E-2</v>
      </c>
    </row>
    <row r="127" spans="1:9" x14ac:dyDescent="0.25">
      <c r="A127" t="s">
        <v>100</v>
      </c>
      <c r="B127" t="s">
        <v>30</v>
      </c>
      <c r="C127" t="s">
        <v>82</v>
      </c>
      <c r="D127" t="s">
        <v>500</v>
      </c>
      <c r="E127" t="s">
        <v>381</v>
      </c>
      <c r="F127" t="s">
        <v>300</v>
      </c>
      <c r="G127" s="3">
        <f t="shared" si="1"/>
        <v>0.04</v>
      </c>
      <c r="H127" t="s">
        <v>409</v>
      </c>
      <c r="I127" s="3">
        <f>D127/(VLOOKUP(B127,'2024 Team'!$B$2:$G$33,3,FALSE))</f>
        <v>4.7528517110266157E-2</v>
      </c>
    </row>
    <row r="128" spans="1:9" x14ac:dyDescent="0.25">
      <c r="A128" t="s">
        <v>137</v>
      </c>
      <c r="B128" t="s">
        <v>68</v>
      </c>
      <c r="C128" t="s">
        <v>82</v>
      </c>
      <c r="D128" t="s">
        <v>500</v>
      </c>
      <c r="E128" t="s">
        <v>491</v>
      </c>
      <c r="F128" t="s">
        <v>300</v>
      </c>
      <c r="G128" s="3">
        <f t="shared" ref="G128:G191" si="2">F128/D128</f>
        <v>0.04</v>
      </c>
      <c r="H128" t="s">
        <v>293</v>
      </c>
      <c r="I128" s="3">
        <f>D128/(VLOOKUP(B128,'2024 Team'!$B$2:$G$33,3,FALSE))</f>
        <v>5.5555555555555552E-2</v>
      </c>
    </row>
    <row r="129" spans="1:9" x14ac:dyDescent="0.25">
      <c r="A129" t="s">
        <v>132</v>
      </c>
      <c r="B129" t="s">
        <v>22</v>
      </c>
      <c r="C129" t="s">
        <v>82</v>
      </c>
      <c r="D129" t="s">
        <v>500</v>
      </c>
      <c r="E129" t="s">
        <v>381</v>
      </c>
      <c r="F129" t="s">
        <v>300</v>
      </c>
      <c r="G129" s="3">
        <f t="shared" si="2"/>
        <v>0.04</v>
      </c>
      <c r="H129" t="s">
        <v>409</v>
      </c>
      <c r="I129" s="3">
        <f>D129/(VLOOKUP(B129,'2024 Team'!$B$2:$G$33,3,FALSE))</f>
        <v>6.3938618925831206E-2</v>
      </c>
    </row>
    <row r="130" spans="1:9" x14ac:dyDescent="0.25">
      <c r="A130" t="s">
        <v>471</v>
      </c>
      <c r="B130" t="s">
        <v>8</v>
      </c>
      <c r="C130" t="s">
        <v>159</v>
      </c>
      <c r="D130" t="s">
        <v>487</v>
      </c>
      <c r="E130" t="s">
        <v>268</v>
      </c>
      <c r="F130" t="s">
        <v>300</v>
      </c>
      <c r="G130" s="3">
        <f t="shared" si="2"/>
        <v>4.1666666666666664E-2</v>
      </c>
      <c r="H130" t="s">
        <v>676</v>
      </c>
      <c r="I130" s="3">
        <f>D130/(VLOOKUP(B130,'2024 Team'!$B$2:$G$33,3,FALSE))</f>
        <v>5.183585313174946E-2</v>
      </c>
    </row>
    <row r="131" spans="1:9" x14ac:dyDescent="0.25">
      <c r="A131" t="s">
        <v>110</v>
      </c>
      <c r="B131" t="s">
        <v>10</v>
      </c>
      <c r="C131" t="s">
        <v>82</v>
      </c>
      <c r="D131" t="s">
        <v>510</v>
      </c>
      <c r="E131" t="s">
        <v>417</v>
      </c>
      <c r="F131" t="s">
        <v>417</v>
      </c>
      <c r="G131" s="3">
        <f t="shared" si="2"/>
        <v>0</v>
      </c>
      <c r="H131" t="s">
        <v>504</v>
      </c>
      <c r="I131" s="3">
        <f>D131/(VLOOKUP(B131,'2024 Team'!$B$2:$G$33,3,FALSE))</f>
        <v>4.6464646464646465E-2</v>
      </c>
    </row>
    <row r="132" spans="1:9" x14ac:dyDescent="0.25">
      <c r="A132" t="s">
        <v>591</v>
      </c>
      <c r="B132" t="s">
        <v>68</v>
      </c>
      <c r="C132" t="s">
        <v>159</v>
      </c>
      <c r="D132" t="s">
        <v>514</v>
      </c>
      <c r="E132" t="s">
        <v>1102</v>
      </c>
      <c r="F132" t="s">
        <v>417</v>
      </c>
      <c r="G132" s="3">
        <f t="shared" si="2"/>
        <v>0</v>
      </c>
      <c r="H132" t="s">
        <v>243</v>
      </c>
      <c r="I132" s="3">
        <f>D132/(VLOOKUP(B132,'2024 Team'!$B$2:$G$33,3,FALSE))</f>
        <v>4.8888888888888891E-2</v>
      </c>
    </row>
    <row r="133" spans="1:9" x14ac:dyDescent="0.25">
      <c r="A133" t="s">
        <v>620</v>
      </c>
      <c r="B133" t="s">
        <v>44</v>
      </c>
      <c r="C133" t="s">
        <v>159</v>
      </c>
      <c r="D133" t="s">
        <v>514</v>
      </c>
      <c r="E133" t="s">
        <v>1114</v>
      </c>
      <c r="F133" t="s">
        <v>417</v>
      </c>
      <c r="G133" s="3">
        <f t="shared" si="2"/>
        <v>0</v>
      </c>
      <c r="H133" t="s">
        <v>255</v>
      </c>
      <c r="I133" s="3">
        <f>D133/(VLOOKUP(B133,'2024 Team'!$B$2:$G$33,3,FALSE))</f>
        <v>4.8888888888888891E-2</v>
      </c>
    </row>
    <row r="134" spans="1:9" x14ac:dyDescent="0.25">
      <c r="A134" t="s">
        <v>92</v>
      </c>
      <c r="B134" t="s">
        <v>56</v>
      </c>
      <c r="C134" t="s">
        <v>82</v>
      </c>
      <c r="D134" t="s">
        <v>514</v>
      </c>
      <c r="E134" t="s">
        <v>1146</v>
      </c>
      <c r="F134" t="s">
        <v>417</v>
      </c>
      <c r="G134" s="3">
        <f t="shared" si="2"/>
        <v>0</v>
      </c>
      <c r="H134" t="s">
        <v>203</v>
      </c>
      <c r="I134" s="3">
        <f>D134/(VLOOKUP(B134,'2024 Team'!$B$2:$G$33,3,FALSE))</f>
        <v>6.0606060606060608E-2</v>
      </c>
    </row>
    <row r="135" spans="1:9" x14ac:dyDescent="0.25">
      <c r="A135" t="s">
        <v>145</v>
      </c>
      <c r="B135" t="s">
        <v>40</v>
      </c>
      <c r="C135" t="s">
        <v>82</v>
      </c>
      <c r="D135" t="s">
        <v>528</v>
      </c>
      <c r="E135" t="s">
        <v>639</v>
      </c>
      <c r="F135" t="s">
        <v>300</v>
      </c>
      <c r="G135" s="3">
        <f t="shared" si="2"/>
        <v>4.7619047619047616E-2</v>
      </c>
      <c r="H135" t="s">
        <v>586</v>
      </c>
      <c r="I135" s="3">
        <f>D135/(VLOOKUP(B135,'2024 Team'!$B$2:$G$33,3,FALSE))</f>
        <v>5.526315789473684E-2</v>
      </c>
    </row>
    <row r="136" spans="1:9" x14ac:dyDescent="0.25">
      <c r="A136" t="s">
        <v>1563</v>
      </c>
      <c r="B136" t="s">
        <v>22</v>
      </c>
      <c r="C136" t="s">
        <v>82</v>
      </c>
      <c r="D136" t="s">
        <v>528</v>
      </c>
      <c r="E136" t="s">
        <v>357</v>
      </c>
      <c r="F136" t="s">
        <v>417</v>
      </c>
      <c r="G136" s="3">
        <f t="shared" si="2"/>
        <v>0</v>
      </c>
      <c r="H136" t="s">
        <v>400</v>
      </c>
      <c r="I136" s="3">
        <f>D136/(VLOOKUP(B136,'2024 Team'!$B$2:$G$33,3,FALSE))</f>
        <v>5.3708439897698211E-2</v>
      </c>
    </row>
    <row r="137" spans="1:9" x14ac:dyDescent="0.25">
      <c r="A137" t="s">
        <v>1803</v>
      </c>
      <c r="B137" t="s">
        <v>50</v>
      </c>
      <c r="C137" t="s">
        <v>159</v>
      </c>
      <c r="D137" t="s">
        <v>524</v>
      </c>
      <c r="E137" t="s">
        <v>497</v>
      </c>
      <c r="F137" t="s">
        <v>417</v>
      </c>
      <c r="G137" s="3">
        <f t="shared" si="2"/>
        <v>0</v>
      </c>
      <c r="H137" t="s">
        <v>555</v>
      </c>
      <c r="I137" s="3">
        <f>D137/(VLOOKUP(B137,'2024 Team'!$B$2:$G$33,3,FALSE))</f>
        <v>4.4843049327354258E-2</v>
      </c>
    </row>
    <row r="138" spans="1:9" x14ac:dyDescent="0.25">
      <c r="A138" t="s">
        <v>1824</v>
      </c>
      <c r="B138" t="s">
        <v>52</v>
      </c>
      <c r="C138" t="s">
        <v>159</v>
      </c>
      <c r="D138" t="s">
        <v>524</v>
      </c>
      <c r="E138" t="s">
        <v>383</v>
      </c>
      <c r="F138" t="s">
        <v>417</v>
      </c>
      <c r="G138" s="3">
        <f t="shared" si="2"/>
        <v>0</v>
      </c>
      <c r="H138" t="s">
        <v>555</v>
      </c>
      <c r="I138" s="3">
        <f>D138/(VLOOKUP(B138,'2024 Team'!$B$2:$G$33,3,FALSE))</f>
        <v>4.5045045045045043E-2</v>
      </c>
    </row>
    <row r="139" spans="1:9" x14ac:dyDescent="0.25">
      <c r="A139" t="s">
        <v>404</v>
      </c>
      <c r="B139" t="s">
        <v>38</v>
      </c>
      <c r="C139" t="s">
        <v>159</v>
      </c>
      <c r="D139" t="s">
        <v>524</v>
      </c>
      <c r="E139" t="s">
        <v>374</v>
      </c>
      <c r="F139" t="s">
        <v>300</v>
      </c>
      <c r="G139" s="3">
        <f t="shared" si="2"/>
        <v>0.05</v>
      </c>
      <c r="H139" t="s">
        <v>243</v>
      </c>
      <c r="I139" s="3">
        <f>D139/(VLOOKUP(B139,'2024 Team'!$B$2:$G$33,3,FALSE))</f>
        <v>4.4444444444444446E-2</v>
      </c>
    </row>
    <row r="140" spans="1:9" x14ac:dyDescent="0.25">
      <c r="A140" t="s">
        <v>675</v>
      </c>
      <c r="B140" t="s">
        <v>30</v>
      </c>
      <c r="C140" t="s">
        <v>163</v>
      </c>
      <c r="D140" t="s">
        <v>524</v>
      </c>
      <c r="E140" t="s">
        <v>306</v>
      </c>
      <c r="F140" t="s">
        <v>300</v>
      </c>
      <c r="G140" s="3">
        <f t="shared" si="2"/>
        <v>0.05</v>
      </c>
      <c r="H140" t="s">
        <v>1309</v>
      </c>
      <c r="I140" s="3">
        <f>D140/(VLOOKUP(B140,'2024 Team'!$B$2:$G$33,3,FALSE))</f>
        <v>3.8022813688212927E-2</v>
      </c>
    </row>
    <row r="141" spans="1:9" x14ac:dyDescent="0.25">
      <c r="A141" t="s">
        <v>142</v>
      </c>
      <c r="B141" t="s">
        <v>30</v>
      </c>
      <c r="C141" t="s">
        <v>82</v>
      </c>
      <c r="D141" t="s">
        <v>524</v>
      </c>
      <c r="E141" t="s">
        <v>1671</v>
      </c>
      <c r="F141" t="s">
        <v>300</v>
      </c>
      <c r="G141" s="3">
        <f t="shared" si="2"/>
        <v>0.05</v>
      </c>
      <c r="H141" t="s">
        <v>434</v>
      </c>
      <c r="I141" s="3">
        <f>D141/(VLOOKUP(B141,'2024 Team'!$B$2:$G$33,3,FALSE))</f>
        <v>3.8022813688212927E-2</v>
      </c>
    </row>
    <row r="142" spans="1:9" x14ac:dyDescent="0.25">
      <c r="A142" t="s">
        <v>597</v>
      </c>
      <c r="B142" t="s">
        <v>38</v>
      </c>
      <c r="C142" t="s">
        <v>163</v>
      </c>
      <c r="D142" t="s">
        <v>524</v>
      </c>
      <c r="E142" t="s">
        <v>521</v>
      </c>
      <c r="F142" t="s">
        <v>314</v>
      </c>
      <c r="G142" s="3">
        <f t="shared" si="2"/>
        <v>0.15</v>
      </c>
      <c r="H142" t="s">
        <v>194</v>
      </c>
      <c r="I142" s="3">
        <f>D142/(VLOOKUP(B142,'2024 Team'!$B$2:$G$33,3,FALSE))</f>
        <v>4.4444444444444446E-2</v>
      </c>
    </row>
    <row r="143" spans="1:9" x14ac:dyDescent="0.25">
      <c r="A143" t="s">
        <v>149</v>
      </c>
      <c r="B143" t="s">
        <v>40</v>
      </c>
      <c r="C143" t="s">
        <v>82</v>
      </c>
      <c r="D143" t="s">
        <v>541</v>
      </c>
      <c r="E143" t="s">
        <v>413</v>
      </c>
      <c r="F143" t="s">
        <v>417</v>
      </c>
      <c r="G143" s="3">
        <f t="shared" si="2"/>
        <v>0</v>
      </c>
      <c r="H143" t="s">
        <v>550</v>
      </c>
      <c r="I143" s="3">
        <f>D143/(VLOOKUP(B143,'2024 Team'!$B$2:$G$33,3,FALSE))</f>
        <v>0.05</v>
      </c>
    </row>
    <row r="144" spans="1:9" x14ac:dyDescent="0.25">
      <c r="A144" t="s">
        <v>156</v>
      </c>
      <c r="B144" t="s">
        <v>54</v>
      </c>
      <c r="C144" t="s">
        <v>82</v>
      </c>
      <c r="D144" t="s">
        <v>202</v>
      </c>
      <c r="E144" t="s">
        <v>2138</v>
      </c>
      <c r="F144" t="s">
        <v>289</v>
      </c>
      <c r="G144" s="3">
        <f t="shared" si="2"/>
        <v>0.1111111111111111</v>
      </c>
      <c r="H144" t="s">
        <v>656</v>
      </c>
      <c r="I144" s="3">
        <f>D144/(VLOOKUP(B144,'2024 Team'!$B$2:$G$33,3,FALSE))</f>
        <v>4.2452830188679243E-2</v>
      </c>
    </row>
    <row r="145" spans="1:9" x14ac:dyDescent="0.25">
      <c r="A145" t="s">
        <v>115</v>
      </c>
      <c r="B145" t="s">
        <v>70</v>
      </c>
      <c r="C145" t="s">
        <v>82</v>
      </c>
      <c r="D145" t="s">
        <v>202</v>
      </c>
      <c r="E145" t="s">
        <v>374</v>
      </c>
      <c r="F145" t="s">
        <v>300</v>
      </c>
      <c r="G145" s="3">
        <f t="shared" si="2"/>
        <v>5.5555555555555552E-2</v>
      </c>
      <c r="H145" t="s">
        <v>216</v>
      </c>
      <c r="I145" s="3">
        <f>D145/(VLOOKUP(B145,'2024 Team'!$B$2:$G$33,3,FALSE))</f>
        <v>3.4220532319391636E-2</v>
      </c>
    </row>
    <row r="146" spans="1:9" x14ac:dyDescent="0.25">
      <c r="A146" t="s">
        <v>112</v>
      </c>
      <c r="B146" t="s">
        <v>52</v>
      </c>
      <c r="C146" t="s">
        <v>82</v>
      </c>
      <c r="D146" t="s">
        <v>202</v>
      </c>
      <c r="E146" t="s">
        <v>339</v>
      </c>
      <c r="F146" t="s">
        <v>417</v>
      </c>
      <c r="G146" s="3">
        <f t="shared" si="2"/>
        <v>0</v>
      </c>
      <c r="H146" t="s">
        <v>1328</v>
      </c>
      <c r="I146" s="3">
        <f>D146/(VLOOKUP(B146,'2024 Team'!$B$2:$G$33,3,FALSE))</f>
        <v>4.0540540540540543E-2</v>
      </c>
    </row>
    <row r="147" spans="1:9" x14ac:dyDescent="0.25">
      <c r="A147" t="s">
        <v>1552</v>
      </c>
      <c r="B147" t="s">
        <v>52</v>
      </c>
      <c r="C147" t="s">
        <v>82</v>
      </c>
      <c r="D147" t="s">
        <v>535</v>
      </c>
      <c r="E147" t="s">
        <v>392</v>
      </c>
      <c r="F147" t="s">
        <v>300</v>
      </c>
      <c r="G147" s="3">
        <f t="shared" si="2"/>
        <v>5.8823529411764705E-2</v>
      </c>
      <c r="H147" t="s">
        <v>293</v>
      </c>
      <c r="I147" s="3">
        <f>D147/(VLOOKUP(B147,'2024 Team'!$B$2:$G$33,3,FALSE))</f>
        <v>3.8288288288288286E-2</v>
      </c>
    </row>
    <row r="148" spans="1:9" x14ac:dyDescent="0.25">
      <c r="A148" t="s">
        <v>103</v>
      </c>
      <c r="B148" t="s">
        <v>46</v>
      </c>
      <c r="C148" t="s">
        <v>82</v>
      </c>
      <c r="D148" t="s">
        <v>535</v>
      </c>
      <c r="E148" t="s">
        <v>554</v>
      </c>
      <c r="F148" t="s">
        <v>417</v>
      </c>
      <c r="G148" s="3">
        <f t="shared" si="2"/>
        <v>0</v>
      </c>
      <c r="H148" t="s">
        <v>530</v>
      </c>
      <c r="I148" s="3">
        <f>D148/(VLOOKUP(B148,'2024 Team'!$B$2:$G$33,3,FALSE))</f>
        <v>3.7946428571428568E-2</v>
      </c>
    </row>
    <row r="149" spans="1:9" x14ac:dyDescent="0.25">
      <c r="A149" t="s">
        <v>141</v>
      </c>
      <c r="B149" t="s">
        <v>14</v>
      </c>
      <c r="C149" t="s">
        <v>82</v>
      </c>
      <c r="D149" t="s">
        <v>535</v>
      </c>
      <c r="E149" t="s">
        <v>300</v>
      </c>
      <c r="F149" t="s">
        <v>417</v>
      </c>
      <c r="G149" s="3">
        <f t="shared" si="2"/>
        <v>0</v>
      </c>
      <c r="H149" t="s">
        <v>2139</v>
      </c>
      <c r="I149" s="3">
        <f>D149/(VLOOKUP(B149,'2024 Team'!$B$2:$G$33,3,FALSE))</f>
        <v>3.4623217922606926E-2</v>
      </c>
    </row>
    <row r="150" spans="1:9" x14ac:dyDescent="0.25">
      <c r="A150" t="s">
        <v>1693</v>
      </c>
      <c r="B150" t="s">
        <v>24</v>
      </c>
      <c r="C150" t="s">
        <v>159</v>
      </c>
      <c r="D150" t="s">
        <v>535</v>
      </c>
      <c r="E150" t="s">
        <v>383</v>
      </c>
      <c r="F150" t="s">
        <v>417</v>
      </c>
      <c r="G150" s="3">
        <f t="shared" si="2"/>
        <v>0</v>
      </c>
      <c r="H150" t="s">
        <v>208</v>
      </c>
      <c r="I150" s="3">
        <f>D150/(VLOOKUP(B150,'2024 Team'!$B$2:$G$33,3,FALSE))</f>
        <v>3.9627039627039624E-2</v>
      </c>
    </row>
    <row r="151" spans="1:9" x14ac:dyDescent="0.25">
      <c r="A151" t="s">
        <v>558</v>
      </c>
      <c r="B151" t="s">
        <v>24</v>
      </c>
      <c r="C151" t="s">
        <v>163</v>
      </c>
      <c r="D151" t="s">
        <v>193</v>
      </c>
      <c r="E151" t="s">
        <v>374</v>
      </c>
      <c r="F151" t="s">
        <v>417</v>
      </c>
      <c r="G151" s="3">
        <f t="shared" si="2"/>
        <v>0</v>
      </c>
      <c r="H151" t="s">
        <v>400</v>
      </c>
      <c r="I151" s="3">
        <f>D151/(VLOOKUP(B151,'2024 Team'!$B$2:$G$33,3,FALSE))</f>
        <v>3.7296037296037296E-2</v>
      </c>
    </row>
    <row r="152" spans="1:9" x14ac:dyDescent="0.25">
      <c r="A152" t="s">
        <v>1678</v>
      </c>
      <c r="B152" t="s">
        <v>46</v>
      </c>
      <c r="C152" t="s">
        <v>159</v>
      </c>
      <c r="D152" t="s">
        <v>193</v>
      </c>
      <c r="E152" t="s">
        <v>436</v>
      </c>
      <c r="F152" t="s">
        <v>417</v>
      </c>
      <c r="G152" s="3">
        <f t="shared" si="2"/>
        <v>0</v>
      </c>
      <c r="H152" t="s">
        <v>262</v>
      </c>
      <c r="I152" s="3">
        <f>D152/(VLOOKUP(B152,'2024 Team'!$B$2:$G$33,3,FALSE))</f>
        <v>3.5714285714285712E-2</v>
      </c>
    </row>
    <row r="153" spans="1:9" x14ac:dyDescent="0.25">
      <c r="A153" t="s">
        <v>1701</v>
      </c>
      <c r="B153" t="s">
        <v>16</v>
      </c>
      <c r="C153" t="s">
        <v>159</v>
      </c>
      <c r="D153" t="s">
        <v>557</v>
      </c>
      <c r="E153" t="s">
        <v>1135</v>
      </c>
      <c r="F153" t="s">
        <v>417</v>
      </c>
      <c r="G153" s="3">
        <f t="shared" si="2"/>
        <v>0</v>
      </c>
      <c r="H153" t="s">
        <v>492</v>
      </c>
      <c r="I153" s="3">
        <f>D153/(VLOOKUP(B153,'2024 Team'!$B$2:$G$33,3,FALSE))</f>
        <v>3.6585365853658534E-2</v>
      </c>
    </row>
    <row r="154" spans="1:9" x14ac:dyDescent="0.25">
      <c r="A154" t="s">
        <v>94</v>
      </c>
      <c r="B154" t="s">
        <v>50</v>
      </c>
      <c r="C154" t="s">
        <v>82</v>
      </c>
      <c r="D154" t="s">
        <v>557</v>
      </c>
      <c r="E154" t="s">
        <v>573</v>
      </c>
      <c r="F154" t="s">
        <v>417</v>
      </c>
      <c r="G154" s="3">
        <f t="shared" si="2"/>
        <v>0</v>
      </c>
      <c r="H154" t="s">
        <v>208</v>
      </c>
      <c r="I154" s="3">
        <f>D154/(VLOOKUP(B154,'2024 Team'!$B$2:$G$33,3,FALSE))</f>
        <v>3.3632286995515695E-2</v>
      </c>
    </row>
    <row r="155" spans="1:9" x14ac:dyDescent="0.25">
      <c r="A155" t="s">
        <v>397</v>
      </c>
      <c r="B155" t="s">
        <v>12</v>
      </c>
      <c r="C155" t="s">
        <v>159</v>
      </c>
      <c r="D155" t="s">
        <v>557</v>
      </c>
      <c r="E155" t="s">
        <v>639</v>
      </c>
      <c r="F155" t="s">
        <v>417</v>
      </c>
      <c r="G155" s="3">
        <f t="shared" si="2"/>
        <v>0</v>
      </c>
      <c r="H155" t="s">
        <v>643</v>
      </c>
      <c r="I155" s="3">
        <f>D155/(VLOOKUP(B155,'2024 Team'!$B$2:$G$33,3,FALSE))</f>
        <v>2.7075812274368231E-2</v>
      </c>
    </row>
    <row r="156" spans="1:9" x14ac:dyDescent="0.25">
      <c r="A156" t="s">
        <v>1698</v>
      </c>
      <c r="B156" t="s">
        <v>54</v>
      </c>
      <c r="C156" t="s">
        <v>159</v>
      </c>
      <c r="D156" t="s">
        <v>344</v>
      </c>
      <c r="E156" t="s">
        <v>493</v>
      </c>
      <c r="F156" t="s">
        <v>417</v>
      </c>
      <c r="G156" s="3">
        <f t="shared" si="2"/>
        <v>0</v>
      </c>
      <c r="H156" t="s">
        <v>442</v>
      </c>
      <c r="I156" s="3">
        <f>D156/(VLOOKUP(B156,'2024 Team'!$B$2:$G$33,3,FALSE))</f>
        <v>3.3018867924528301E-2</v>
      </c>
    </row>
    <row r="157" spans="1:9" x14ac:dyDescent="0.25">
      <c r="A157" t="s">
        <v>785</v>
      </c>
      <c r="B157" t="s">
        <v>24</v>
      </c>
      <c r="C157" t="s">
        <v>163</v>
      </c>
      <c r="D157" t="s">
        <v>344</v>
      </c>
      <c r="E157" t="s">
        <v>383</v>
      </c>
      <c r="F157" t="s">
        <v>417</v>
      </c>
      <c r="G157" s="3">
        <f t="shared" si="2"/>
        <v>0</v>
      </c>
      <c r="H157" t="s">
        <v>258</v>
      </c>
      <c r="I157" s="3">
        <f>D157/(VLOOKUP(B157,'2024 Team'!$B$2:$G$33,3,FALSE))</f>
        <v>3.2634032634032632E-2</v>
      </c>
    </row>
    <row r="158" spans="1:9" x14ac:dyDescent="0.25">
      <c r="A158" t="s">
        <v>167</v>
      </c>
      <c r="B158" t="s">
        <v>18</v>
      </c>
      <c r="C158" t="s">
        <v>163</v>
      </c>
      <c r="D158" t="s">
        <v>344</v>
      </c>
      <c r="E158" t="s">
        <v>536</v>
      </c>
      <c r="F158" t="s">
        <v>417</v>
      </c>
      <c r="G158" s="3">
        <f t="shared" si="2"/>
        <v>0</v>
      </c>
      <c r="H158" t="s">
        <v>394</v>
      </c>
      <c r="I158" s="3">
        <f>D158/(VLOOKUP(B158,'2024 Team'!$B$2:$G$33,3,FALSE))</f>
        <v>3.248259860788863E-2</v>
      </c>
    </row>
    <row r="159" spans="1:9" x14ac:dyDescent="0.25">
      <c r="A159" t="s">
        <v>1717</v>
      </c>
      <c r="B159" t="s">
        <v>16</v>
      </c>
      <c r="C159" t="s">
        <v>159</v>
      </c>
      <c r="D159" t="s">
        <v>234</v>
      </c>
      <c r="E159" t="s">
        <v>582</v>
      </c>
      <c r="F159" t="s">
        <v>417</v>
      </c>
      <c r="G159" s="3">
        <f t="shared" si="2"/>
        <v>0</v>
      </c>
      <c r="H159" t="s">
        <v>212</v>
      </c>
      <c r="I159" s="3">
        <f>D159/(VLOOKUP(B159,'2024 Team'!$B$2:$G$33,3,FALSE))</f>
        <v>3.1707317073170732E-2</v>
      </c>
    </row>
    <row r="160" spans="1:9" x14ac:dyDescent="0.25">
      <c r="A160" t="s">
        <v>635</v>
      </c>
      <c r="B160" t="s">
        <v>52</v>
      </c>
      <c r="C160" t="s">
        <v>159</v>
      </c>
      <c r="D160" t="s">
        <v>234</v>
      </c>
      <c r="E160" t="s">
        <v>459</v>
      </c>
      <c r="F160" t="s">
        <v>417</v>
      </c>
      <c r="G160" s="3">
        <f t="shared" si="2"/>
        <v>0</v>
      </c>
      <c r="H160" t="s">
        <v>555</v>
      </c>
      <c r="I160" s="3">
        <f>D160/(VLOOKUP(B160,'2024 Team'!$B$2:$G$33,3,FALSE))</f>
        <v>2.9279279279279279E-2</v>
      </c>
    </row>
    <row r="161" spans="1:9" x14ac:dyDescent="0.25">
      <c r="A161" t="s">
        <v>509</v>
      </c>
      <c r="B161" t="s">
        <v>50</v>
      </c>
      <c r="C161" t="s">
        <v>159</v>
      </c>
      <c r="D161" t="s">
        <v>234</v>
      </c>
      <c r="E161" t="s">
        <v>485</v>
      </c>
      <c r="F161" t="s">
        <v>417</v>
      </c>
      <c r="G161" s="3">
        <f t="shared" si="2"/>
        <v>0</v>
      </c>
      <c r="H161" t="s">
        <v>498</v>
      </c>
      <c r="I161" s="3">
        <f>D161/(VLOOKUP(B161,'2024 Team'!$B$2:$G$33,3,FALSE))</f>
        <v>2.914798206278027E-2</v>
      </c>
    </row>
    <row r="162" spans="1:9" x14ac:dyDescent="0.25">
      <c r="A162" t="s">
        <v>2140</v>
      </c>
      <c r="B162" t="s">
        <v>10</v>
      </c>
      <c r="C162" t="s">
        <v>159</v>
      </c>
      <c r="D162" t="s">
        <v>234</v>
      </c>
      <c r="E162" t="s">
        <v>475</v>
      </c>
      <c r="F162" t="s">
        <v>417</v>
      </c>
      <c r="G162" s="3">
        <f t="shared" si="2"/>
        <v>0</v>
      </c>
      <c r="H162" t="s">
        <v>498</v>
      </c>
      <c r="I162" s="3">
        <f>D162/(VLOOKUP(B162,'2024 Team'!$B$2:$G$33,3,FALSE))</f>
        <v>2.6262626262626262E-2</v>
      </c>
    </row>
    <row r="163" spans="1:9" x14ac:dyDescent="0.25">
      <c r="A163" t="s">
        <v>590</v>
      </c>
      <c r="B163" t="s">
        <v>26</v>
      </c>
      <c r="C163" t="s">
        <v>163</v>
      </c>
      <c r="D163" t="s">
        <v>234</v>
      </c>
      <c r="E163" t="s">
        <v>1199</v>
      </c>
      <c r="F163" t="s">
        <v>417</v>
      </c>
      <c r="G163" s="3">
        <f t="shared" si="2"/>
        <v>0</v>
      </c>
      <c r="H163" t="s">
        <v>512</v>
      </c>
      <c r="I163" s="3">
        <f>D163/(VLOOKUP(B163,'2024 Team'!$B$2:$G$33,3,FALSE))</f>
        <v>2.8199566160520606E-2</v>
      </c>
    </row>
    <row r="164" spans="1:9" x14ac:dyDescent="0.25">
      <c r="A164" t="s">
        <v>83</v>
      </c>
      <c r="B164" t="s">
        <v>24</v>
      </c>
      <c r="C164" t="s">
        <v>82</v>
      </c>
      <c r="D164" t="s">
        <v>234</v>
      </c>
      <c r="E164" t="s">
        <v>429</v>
      </c>
      <c r="F164" t="s">
        <v>300</v>
      </c>
      <c r="G164" s="3">
        <f t="shared" si="2"/>
        <v>7.6923076923076927E-2</v>
      </c>
      <c r="H164" t="s">
        <v>293</v>
      </c>
      <c r="I164" s="3">
        <f>D164/(VLOOKUP(B164,'2024 Team'!$B$2:$G$33,3,FALSE))</f>
        <v>3.0303030303030304E-2</v>
      </c>
    </row>
    <row r="165" spans="1:9" x14ac:dyDescent="0.25">
      <c r="A165" t="s">
        <v>711</v>
      </c>
      <c r="B165" t="s">
        <v>42</v>
      </c>
      <c r="C165" t="s">
        <v>163</v>
      </c>
      <c r="D165" t="s">
        <v>198</v>
      </c>
      <c r="E165" t="s">
        <v>470</v>
      </c>
      <c r="F165" t="s">
        <v>417</v>
      </c>
      <c r="G165" s="3">
        <f t="shared" si="2"/>
        <v>0</v>
      </c>
      <c r="H165" t="s">
        <v>409</v>
      </c>
      <c r="I165" s="3">
        <f>D165/(VLOOKUP(B165,'2024 Team'!$B$2:$G$33,3,FALSE))</f>
        <v>2.591792656587473E-2</v>
      </c>
    </row>
    <row r="166" spans="1:9" x14ac:dyDescent="0.25">
      <c r="A166" t="s">
        <v>566</v>
      </c>
      <c r="B166" t="s">
        <v>24</v>
      </c>
      <c r="C166" t="s">
        <v>159</v>
      </c>
      <c r="D166" t="s">
        <v>198</v>
      </c>
      <c r="E166" t="s">
        <v>480</v>
      </c>
      <c r="F166" t="s">
        <v>417</v>
      </c>
      <c r="G166" s="3">
        <f t="shared" si="2"/>
        <v>0</v>
      </c>
      <c r="H166" t="s">
        <v>512</v>
      </c>
      <c r="I166" s="3">
        <f>D166/(VLOOKUP(B166,'2024 Team'!$B$2:$G$33,3,FALSE))</f>
        <v>2.7972027972027972E-2</v>
      </c>
    </row>
    <row r="167" spans="1:9" x14ac:dyDescent="0.25">
      <c r="A167" t="s">
        <v>627</v>
      </c>
      <c r="B167" t="s">
        <v>26</v>
      </c>
      <c r="C167" t="s">
        <v>159</v>
      </c>
      <c r="D167" t="s">
        <v>266</v>
      </c>
      <c r="E167" t="s">
        <v>371</v>
      </c>
      <c r="F167" t="s">
        <v>417</v>
      </c>
      <c r="G167" s="3">
        <f t="shared" si="2"/>
        <v>0</v>
      </c>
      <c r="H167" t="s">
        <v>611</v>
      </c>
      <c r="I167" s="3">
        <f>D167/(VLOOKUP(B167,'2024 Team'!$B$2:$G$33,3,FALSE))</f>
        <v>2.3861171366594359E-2</v>
      </c>
    </row>
    <row r="168" spans="1:9" x14ac:dyDescent="0.25">
      <c r="A168" t="s">
        <v>140</v>
      </c>
      <c r="B168" t="s">
        <v>16</v>
      </c>
      <c r="C168" t="s">
        <v>82</v>
      </c>
      <c r="D168" t="s">
        <v>266</v>
      </c>
      <c r="E168" t="s">
        <v>679</v>
      </c>
      <c r="F168" t="s">
        <v>417</v>
      </c>
      <c r="G168" s="3">
        <f t="shared" si="2"/>
        <v>0</v>
      </c>
      <c r="H168" t="s">
        <v>550</v>
      </c>
      <c r="I168" s="3">
        <f>D168/(VLOOKUP(B168,'2024 Team'!$B$2:$G$33,3,FALSE))</f>
        <v>2.6829268292682926E-2</v>
      </c>
    </row>
    <row r="169" spans="1:9" x14ac:dyDescent="0.25">
      <c r="A169" t="s">
        <v>2077</v>
      </c>
      <c r="B169" t="s">
        <v>52</v>
      </c>
      <c r="C169" t="s">
        <v>82</v>
      </c>
      <c r="D169" t="s">
        <v>266</v>
      </c>
      <c r="E169" t="s">
        <v>514</v>
      </c>
      <c r="F169" t="s">
        <v>417</v>
      </c>
      <c r="G169" s="3">
        <f t="shared" si="2"/>
        <v>0</v>
      </c>
      <c r="H169" t="s">
        <v>643</v>
      </c>
      <c r="I169" s="3">
        <f>D169/(VLOOKUP(B169,'2024 Team'!$B$2:$G$33,3,FALSE))</f>
        <v>2.4774774774774775E-2</v>
      </c>
    </row>
    <row r="170" spans="1:9" x14ac:dyDescent="0.25">
      <c r="A170" t="s">
        <v>133</v>
      </c>
      <c r="B170" t="s">
        <v>24</v>
      </c>
      <c r="C170" t="s">
        <v>82</v>
      </c>
      <c r="D170" t="s">
        <v>266</v>
      </c>
      <c r="E170" t="s">
        <v>454</v>
      </c>
      <c r="F170" t="s">
        <v>417</v>
      </c>
      <c r="G170" s="3">
        <f t="shared" si="2"/>
        <v>0</v>
      </c>
      <c r="H170" t="s">
        <v>221</v>
      </c>
      <c r="I170" s="3">
        <f>D170/(VLOOKUP(B170,'2024 Team'!$B$2:$G$33,3,FALSE))</f>
        <v>2.564102564102564E-2</v>
      </c>
    </row>
    <row r="171" spans="1:9" x14ac:dyDescent="0.25">
      <c r="A171" t="s">
        <v>604</v>
      </c>
      <c r="B171" t="s">
        <v>44</v>
      </c>
      <c r="C171" t="s">
        <v>163</v>
      </c>
      <c r="D171" t="s">
        <v>266</v>
      </c>
      <c r="E171" t="s">
        <v>459</v>
      </c>
      <c r="F171" t="s">
        <v>300</v>
      </c>
      <c r="G171" s="3">
        <f t="shared" si="2"/>
        <v>9.0909090909090912E-2</v>
      </c>
      <c r="H171" t="s">
        <v>293</v>
      </c>
      <c r="I171" s="3">
        <f>D171/(VLOOKUP(B171,'2024 Team'!$B$2:$G$33,3,FALSE))</f>
        <v>2.4444444444444446E-2</v>
      </c>
    </row>
    <row r="172" spans="1:9" x14ac:dyDescent="0.25">
      <c r="A172" t="s">
        <v>642</v>
      </c>
      <c r="B172" t="s">
        <v>28</v>
      </c>
      <c r="C172" t="s">
        <v>163</v>
      </c>
      <c r="D172" t="s">
        <v>266</v>
      </c>
      <c r="E172" t="s">
        <v>529</v>
      </c>
      <c r="F172" t="s">
        <v>300</v>
      </c>
      <c r="G172" s="3">
        <f t="shared" si="2"/>
        <v>9.0909090909090912E-2</v>
      </c>
      <c r="H172" t="s">
        <v>445</v>
      </c>
      <c r="I172" s="3">
        <f>D172/(VLOOKUP(B172,'2024 Team'!$B$2:$G$33,3,FALSE))</f>
        <v>2.0599250936329586E-2</v>
      </c>
    </row>
    <row r="173" spans="1:9" x14ac:dyDescent="0.25">
      <c r="A173" t="s">
        <v>606</v>
      </c>
      <c r="B173" t="s">
        <v>12</v>
      </c>
      <c r="C173" t="s">
        <v>159</v>
      </c>
      <c r="D173" t="s">
        <v>211</v>
      </c>
      <c r="E173" t="s">
        <v>493</v>
      </c>
      <c r="F173" t="s">
        <v>417</v>
      </c>
      <c r="G173" s="3">
        <f t="shared" si="2"/>
        <v>0</v>
      </c>
      <c r="H173" t="s">
        <v>550</v>
      </c>
      <c r="I173" s="3">
        <f>D173/(VLOOKUP(B173,'2024 Team'!$B$2:$G$33,3,FALSE))</f>
        <v>1.8050541516245487E-2</v>
      </c>
    </row>
    <row r="174" spans="1:9" x14ac:dyDescent="0.25">
      <c r="A174" t="s">
        <v>695</v>
      </c>
      <c r="B174" t="s">
        <v>46</v>
      </c>
      <c r="C174" t="s">
        <v>613</v>
      </c>
      <c r="D174" t="s">
        <v>211</v>
      </c>
      <c r="E174" t="s">
        <v>535</v>
      </c>
      <c r="F174" t="s">
        <v>300</v>
      </c>
      <c r="G174" s="3">
        <f t="shared" si="2"/>
        <v>0.1</v>
      </c>
      <c r="H174" t="s">
        <v>478</v>
      </c>
      <c r="I174" s="3">
        <f>D174/(VLOOKUP(B174,'2024 Team'!$B$2:$G$33,3,FALSE))</f>
        <v>2.2321428571428572E-2</v>
      </c>
    </row>
    <row r="175" spans="1:9" x14ac:dyDescent="0.25">
      <c r="A175" t="s">
        <v>806</v>
      </c>
      <c r="B175" t="s">
        <v>10</v>
      </c>
      <c r="C175" t="s">
        <v>163</v>
      </c>
      <c r="D175" t="s">
        <v>211</v>
      </c>
      <c r="E175" t="s">
        <v>562</v>
      </c>
      <c r="F175" t="s">
        <v>417</v>
      </c>
      <c r="G175" s="3">
        <f t="shared" si="2"/>
        <v>0</v>
      </c>
      <c r="H175" t="s">
        <v>599</v>
      </c>
      <c r="I175" s="3">
        <f>D175/(VLOOKUP(B175,'2024 Team'!$B$2:$G$33,3,FALSE))</f>
        <v>2.0202020202020204E-2</v>
      </c>
    </row>
    <row r="176" spans="1:9" x14ac:dyDescent="0.25">
      <c r="A176" t="s">
        <v>144</v>
      </c>
      <c r="B176" t="s">
        <v>50</v>
      </c>
      <c r="C176" t="s">
        <v>82</v>
      </c>
      <c r="D176" t="s">
        <v>211</v>
      </c>
      <c r="E176" t="s">
        <v>193</v>
      </c>
      <c r="F176" t="s">
        <v>300</v>
      </c>
      <c r="G176" s="3">
        <f t="shared" si="2"/>
        <v>0.1</v>
      </c>
      <c r="H176" t="s">
        <v>594</v>
      </c>
      <c r="I176" s="3">
        <f>D176/(VLOOKUP(B176,'2024 Team'!$B$2:$G$33,3,FALSE))</f>
        <v>2.2421524663677129E-2</v>
      </c>
    </row>
    <row r="177" spans="1:9" x14ac:dyDescent="0.25">
      <c r="A177" t="s">
        <v>2141</v>
      </c>
      <c r="B177" t="s">
        <v>32</v>
      </c>
      <c r="C177" t="s">
        <v>159</v>
      </c>
      <c r="D177" t="s">
        <v>211</v>
      </c>
      <c r="E177" t="s">
        <v>440</v>
      </c>
      <c r="F177" t="s">
        <v>417</v>
      </c>
      <c r="G177" s="3">
        <f t="shared" si="2"/>
        <v>0</v>
      </c>
      <c r="H177" t="s">
        <v>230</v>
      </c>
      <c r="I177" s="3">
        <f>D177/(VLOOKUP(B177,'2024 Team'!$B$2:$G$33,3,FALSE))</f>
        <v>2.3041474654377881E-2</v>
      </c>
    </row>
    <row r="178" spans="1:9" x14ac:dyDescent="0.25">
      <c r="A178" t="s">
        <v>2142</v>
      </c>
      <c r="B178" t="s">
        <v>16</v>
      </c>
      <c r="C178" t="s">
        <v>159</v>
      </c>
      <c r="D178" t="s">
        <v>270</v>
      </c>
      <c r="E178" t="s">
        <v>514</v>
      </c>
      <c r="F178" t="s">
        <v>417</v>
      </c>
      <c r="G178" s="3">
        <f t="shared" si="2"/>
        <v>0</v>
      </c>
      <c r="H178" t="s">
        <v>542</v>
      </c>
      <c r="I178" s="3">
        <f>D178/(VLOOKUP(B178,'2024 Team'!$B$2:$G$33,3,FALSE))</f>
        <v>2.1951219512195121E-2</v>
      </c>
    </row>
    <row r="179" spans="1:9" x14ac:dyDescent="0.25">
      <c r="A179" t="s">
        <v>710</v>
      </c>
      <c r="B179" t="s">
        <v>8</v>
      </c>
      <c r="C179" t="s">
        <v>159</v>
      </c>
      <c r="D179" t="s">
        <v>270</v>
      </c>
      <c r="E179" t="s">
        <v>554</v>
      </c>
      <c r="F179" t="s">
        <v>417</v>
      </c>
      <c r="G179" s="3">
        <f t="shared" si="2"/>
        <v>0</v>
      </c>
      <c r="H179" t="s">
        <v>394</v>
      </c>
      <c r="I179" s="3">
        <f>D179/(VLOOKUP(B179,'2024 Team'!$B$2:$G$33,3,FALSE))</f>
        <v>1.9438444924406047E-2</v>
      </c>
    </row>
    <row r="180" spans="1:9" x14ac:dyDescent="0.25">
      <c r="A180" t="s">
        <v>1584</v>
      </c>
      <c r="B180" t="s">
        <v>32</v>
      </c>
      <c r="C180" t="s">
        <v>163</v>
      </c>
      <c r="D180" t="s">
        <v>270</v>
      </c>
      <c r="E180" t="s">
        <v>444</v>
      </c>
      <c r="F180" t="s">
        <v>417</v>
      </c>
      <c r="G180" s="3">
        <f t="shared" si="2"/>
        <v>0</v>
      </c>
      <c r="H180" t="s">
        <v>251</v>
      </c>
      <c r="I180" s="3">
        <f>D180/(VLOOKUP(B180,'2024 Team'!$B$2:$G$33,3,FALSE))</f>
        <v>2.0737327188940093E-2</v>
      </c>
    </row>
    <row r="181" spans="1:9" x14ac:dyDescent="0.25">
      <c r="A181" t="s">
        <v>151</v>
      </c>
      <c r="B181" t="s">
        <v>62</v>
      </c>
      <c r="C181" t="s">
        <v>82</v>
      </c>
      <c r="D181" t="s">
        <v>270</v>
      </c>
      <c r="E181" t="s">
        <v>487</v>
      </c>
      <c r="F181" t="s">
        <v>289</v>
      </c>
      <c r="G181" s="3">
        <f t="shared" si="2"/>
        <v>0.22222222222222221</v>
      </c>
      <c r="H181" t="s">
        <v>423</v>
      </c>
      <c r="I181" s="3">
        <f>D181/(VLOOKUP(B181,'2024 Team'!$B$2:$G$33,3,FALSE))</f>
        <v>1.9693654266958426E-2</v>
      </c>
    </row>
    <row r="182" spans="1:9" x14ac:dyDescent="0.25">
      <c r="A182" t="s">
        <v>113</v>
      </c>
      <c r="B182" t="s">
        <v>34</v>
      </c>
      <c r="C182" t="s">
        <v>82</v>
      </c>
      <c r="D182" t="s">
        <v>270</v>
      </c>
      <c r="E182" t="s">
        <v>507</v>
      </c>
      <c r="F182" t="s">
        <v>417</v>
      </c>
      <c r="G182" s="3">
        <f t="shared" si="2"/>
        <v>0</v>
      </c>
      <c r="H182" t="s">
        <v>530</v>
      </c>
      <c r="I182" s="3">
        <f>D182/(VLOOKUP(B182,'2024 Team'!$B$2:$G$33,3,FALSE))</f>
        <v>1.8145161290322582E-2</v>
      </c>
    </row>
    <row r="183" spans="1:9" x14ac:dyDescent="0.25">
      <c r="A183" t="s">
        <v>572</v>
      </c>
      <c r="B183" t="s">
        <v>12</v>
      </c>
      <c r="C183" t="s">
        <v>163</v>
      </c>
      <c r="D183" t="s">
        <v>270</v>
      </c>
      <c r="E183" t="s">
        <v>1244</v>
      </c>
      <c r="F183" t="s">
        <v>417</v>
      </c>
      <c r="G183" s="3">
        <f t="shared" si="2"/>
        <v>0</v>
      </c>
      <c r="H183" t="s">
        <v>574</v>
      </c>
      <c r="I183" s="3">
        <f>D183/(VLOOKUP(B183,'2024 Team'!$B$2:$G$33,3,FALSE))</f>
        <v>1.6245487364620937E-2</v>
      </c>
    </row>
    <row r="184" spans="1:9" x14ac:dyDescent="0.25">
      <c r="A184" t="s">
        <v>138</v>
      </c>
      <c r="B184" t="s">
        <v>58</v>
      </c>
      <c r="C184" t="s">
        <v>82</v>
      </c>
      <c r="D184" t="s">
        <v>270</v>
      </c>
      <c r="E184" t="s">
        <v>557</v>
      </c>
      <c r="F184" t="s">
        <v>300</v>
      </c>
      <c r="G184" s="3">
        <f t="shared" si="2"/>
        <v>0.1111111111111111</v>
      </c>
      <c r="H184" t="s">
        <v>478</v>
      </c>
      <c r="I184" s="3">
        <f>D184/(VLOOKUP(B184,'2024 Team'!$B$2:$G$33,3,FALSE))</f>
        <v>1.4492753623188406E-2</v>
      </c>
    </row>
    <row r="185" spans="1:9" x14ac:dyDescent="0.25">
      <c r="A185" t="s">
        <v>1553</v>
      </c>
      <c r="B185" t="s">
        <v>40</v>
      </c>
      <c r="C185" t="s">
        <v>82</v>
      </c>
      <c r="D185" t="s">
        <v>270</v>
      </c>
      <c r="E185" t="s">
        <v>476</v>
      </c>
      <c r="F185" t="s">
        <v>417</v>
      </c>
      <c r="G185" s="3">
        <f t="shared" si="2"/>
        <v>0</v>
      </c>
      <c r="H185" t="s">
        <v>235</v>
      </c>
      <c r="I185" s="3">
        <f>D185/(VLOOKUP(B185,'2024 Team'!$B$2:$G$33,3,FALSE))</f>
        <v>2.368421052631579E-2</v>
      </c>
    </row>
    <row r="186" spans="1:9" x14ac:dyDescent="0.25">
      <c r="A186" t="s">
        <v>581</v>
      </c>
      <c r="B186" t="s">
        <v>40</v>
      </c>
      <c r="C186" t="s">
        <v>163</v>
      </c>
      <c r="D186" t="s">
        <v>270</v>
      </c>
      <c r="E186" t="s">
        <v>440</v>
      </c>
      <c r="F186" t="s">
        <v>300</v>
      </c>
      <c r="G186" s="3">
        <f t="shared" si="2"/>
        <v>0.1111111111111111</v>
      </c>
      <c r="H186" t="s">
        <v>203</v>
      </c>
      <c r="I186" s="3">
        <f>D186/(VLOOKUP(B186,'2024 Team'!$B$2:$G$33,3,FALSE))</f>
        <v>2.368421052631579E-2</v>
      </c>
    </row>
    <row r="187" spans="1:9" x14ac:dyDescent="0.25">
      <c r="A187" t="s">
        <v>1669</v>
      </c>
      <c r="B187" t="s">
        <v>24</v>
      </c>
      <c r="C187" t="s">
        <v>159</v>
      </c>
      <c r="D187" t="s">
        <v>225</v>
      </c>
      <c r="E187" t="s">
        <v>524</v>
      </c>
      <c r="F187" t="s">
        <v>417</v>
      </c>
      <c r="G187" s="3">
        <f t="shared" si="2"/>
        <v>0</v>
      </c>
      <c r="H187" t="s">
        <v>498</v>
      </c>
      <c r="I187" s="3">
        <f>D187/(VLOOKUP(B187,'2024 Team'!$B$2:$G$33,3,FALSE))</f>
        <v>1.8648018648018648E-2</v>
      </c>
    </row>
    <row r="188" spans="1:9" x14ac:dyDescent="0.25">
      <c r="A188" t="s">
        <v>1559</v>
      </c>
      <c r="B188" t="s">
        <v>54</v>
      </c>
      <c r="C188" t="s">
        <v>82</v>
      </c>
      <c r="D188" t="s">
        <v>225</v>
      </c>
      <c r="E188" t="s">
        <v>475</v>
      </c>
      <c r="F188" t="s">
        <v>417</v>
      </c>
      <c r="G188" s="3">
        <f t="shared" si="2"/>
        <v>0</v>
      </c>
      <c r="H188" t="s">
        <v>235</v>
      </c>
      <c r="I188" s="3">
        <f>D188/(VLOOKUP(B188,'2024 Team'!$B$2:$G$33,3,FALSE))</f>
        <v>1.8867924528301886E-2</v>
      </c>
    </row>
    <row r="189" spans="1:9" x14ac:dyDescent="0.25">
      <c r="A189" t="s">
        <v>944</v>
      </c>
      <c r="B189" t="s">
        <v>46</v>
      </c>
      <c r="C189" t="s">
        <v>163</v>
      </c>
      <c r="D189" t="s">
        <v>225</v>
      </c>
      <c r="E189" t="s">
        <v>446</v>
      </c>
      <c r="F189" t="s">
        <v>417</v>
      </c>
      <c r="G189" s="3">
        <f t="shared" si="2"/>
        <v>0</v>
      </c>
      <c r="H189" t="s">
        <v>426</v>
      </c>
      <c r="I189" s="3">
        <f>D189/(VLOOKUP(B189,'2024 Team'!$B$2:$G$33,3,FALSE))</f>
        <v>1.7857142857142856E-2</v>
      </c>
    </row>
    <row r="190" spans="1:9" x14ac:dyDescent="0.25">
      <c r="A190" t="s">
        <v>646</v>
      </c>
      <c r="B190" t="s">
        <v>30</v>
      </c>
      <c r="C190" t="s">
        <v>163</v>
      </c>
      <c r="D190" t="s">
        <v>225</v>
      </c>
      <c r="E190" t="s">
        <v>429</v>
      </c>
      <c r="F190" t="s">
        <v>417</v>
      </c>
      <c r="G190" s="3">
        <f t="shared" si="2"/>
        <v>0</v>
      </c>
      <c r="H190" t="s">
        <v>1539</v>
      </c>
      <c r="I190" s="3">
        <f>D190/(VLOOKUP(B190,'2024 Team'!$B$2:$G$33,3,FALSE))</f>
        <v>1.5209125475285171E-2</v>
      </c>
    </row>
    <row r="191" spans="1:9" x14ac:dyDescent="0.25">
      <c r="A191" t="s">
        <v>1038</v>
      </c>
      <c r="B191" t="s">
        <v>68</v>
      </c>
      <c r="C191" t="s">
        <v>163</v>
      </c>
      <c r="D191" t="s">
        <v>225</v>
      </c>
      <c r="E191" t="s">
        <v>433</v>
      </c>
      <c r="F191" t="s">
        <v>300</v>
      </c>
      <c r="G191" s="3">
        <f t="shared" si="2"/>
        <v>0.125</v>
      </c>
      <c r="H191" t="s">
        <v>434</v>
      </c>
      <c r="I191" s="3">
        <f>D191/(VLOOKUP(B191,'2024 Team'!$B$2:$G$33,3,FALSE))</f>
        <v>1.7777777777777778E-2</v>
      </c>
    </row>
    <row r="192" spans="1:9" x14ac:dyDescent="0.25">
      <c r="A192" t="s">
        <v>665</v>
      </c>
      <c r="B192" t="s">
        <v>66</v>
      </c>
      <c r="C192" t="s">
        <v>163</v>
      </c>
      <c r="D192" t="s">
        <v>225</v>
      </c>
      <c r="E192" t="s">
        <v>497</v>
      </c>
      <c r="F192" t="s">
        <v>417</v>
      </c>
      <c r="G192" s="3">
        <f t="shared" ref="G192:G254" si="3">F192/D192</f>
        <v>0</v>
      </c>
      <c r="H192" t="s">
        <v>616</v>
      </c>
      <c r="I192" s="3">
        <f>D192/(VLOOKUP(B192,'2024 Team'!$B$2:$G$33,3,FALSE))</f>
        <v>1.6563146997929608E-2</v>
      </c>
    </row>
    <row r="193" spans="1:9" x14ac:dyDescent="0.25">
      <c r="A193" t="s">
        <v>1714</v>
      </c>
      <c r="B193" t="s">
        <v>26</v>
      </c>
      <c r="C193" t="s">
        <v>613</v>
      </c>
      <c r="D193" t="s">
        <v>207</v>
      </c>
      <c r="E193" t="s">
        <v>225</v>
      </c>
      <c r="F193" t="s">
        <v>300</v>
      </c>
      <c r="G193" s="3">
        <f t="shared" si="3"/>
        <v>0.14285714285714285</v>
      </c>
      <c r="H193" t="s">
        <v>1703</v>
      </c>
      <c r="I193" s="3">
        <f>D193/(VLOOKUP(B193,'2024 Team'!$B$2:$G$33,3,FALSE))</f>
        <v>1.5184381778741865E-2</v>
      </c>
    </row>
    <row r="194" spans="1:9" x14ac:dyDescent="0.25">
      <c r="A194" t="s">
        <v>109</v>
      </c>
      <c r="B194" t="s">
        <v>10</v>
      </c>
      <c r="C194" t="s">
        <v>82</v>
      </c>
      <c r="D194" t="s">
        <v>207</v>
      </c>
      <c r="E194" t="s">
        <v>266</v>
      </c>
      <c r="F194" t="s">
        <v>300</v>
      </c>
      <c r="G194" s="3">
        <f t="shared" si="3"/>
        <v>0.14285714285714285</v>
      </c>
      <c r="H194" t="s">
        <v>594</v>
      </c>
      <c r="I194" s="3">
        <f>D194/(VLOOKUP(B194,'2024 Team'!$B$2:$G$33,3,FALSE))</f>
        <v>1.4141414141414142E-2</v>
      </c>
    </row>
    <row r="195" spans="1:9" x14ac:dyDescent="0.25">
      <c r="A195" t="s">
        <v>146</v>
      </c>
      <c r="B195" t="s">
        <v>8</v>
      </c>
      <c r="C195" t="s">
        <v>82</v>
      </c>
      <c r="D195" t="s">
        <v>207</v>
      </c>
      <c r="E195" t="s">
        <v>651</v>
      </c>
      <c r="F195" t="s">
        <v>417</v>
      </c>
      <c r="G195" s="3">
        <f t="shared" si="3"/>
        <v>0</v>
      </c>
      <c r="H195" t="s">
        <v>2143</v>
      </c>
      <c r="I195" s="3">
        <f>D195/(VLOOKUP(B195,'2024 Team'!$B$2:$G$33,3,FALSE))</f>
        <v>1.511879049676026E-2</v>
      </c>
    </row>
    <row r="196" spans="1:9" x14ac:dyDescent="0.25">
      <c r="A196" t="s">
        <v>154</v>
      </c>
      <c r="B196" t="s">
        <v>18</v>
      </c>
      <c r="C196" t="s">
        <v>82</v>
      </c>
      <c r="D196" t="s">
        <v>247</v>
      </c>
      <c r="E196" t="s">
        <v>734</v>
      </c>
      <c r="F196" t="s">
        <v>417</v>
      </c>
      <c r="G196" s="3">
        <f t="shared" si="3"/>
        <v>0</v>
      </c>
      <c r="H196" t="s">
        <v>1721</v>
      </c>
      <c r="I196" s="3">
        <f>D196/(VLOOKUP(B196,'2024 Team'!$B$2:$G$33,3,FALSE))</f>
        <v>1.3921113689095127E-2</v>
      </c>
    </row>
    <row r="197" spans="1:9" x14ac:dyDescent="0.25">
      <c r="A197" t="s">
        <v>767</v>
      </c>
      <c r="B197" t="s">
        <v>18</v>
      </c>
      <c r="C197" t="s">
        <v>159</v>
      </c>
      <c r="D197" t="s">
        <v>247</v>
      </c>
      <c r="E197" t="s">
        <v>510</v>
      </c>
      <c r="F197" t="s">
        <v>417</v>
      </c>
      <c r="G197" s="3">
        <f t="shared" si="3"/>
        <v>0</v>
      </c>
      <c r="H197" t="s">
        <v>323</v>
      </c>
      <c r="I197" s="3">
        <f>D197/(VLOOKUP(B197,'2024 Team'!$B$2:$G$33,3,FALSE))</f>
        <v>1.3921113689095127E-2</v>
      </c>
    </row>
    <row r="198" spans="1:9" x14ac:dyDescent="0.25">
      <c r="A198" t="s">
        <v>2144</v>
      </c>
      <c r="B198" t="s">
        <v>28</v>
      </c>
      <c r="C198" t="s">
        <v>159</v>
      </c>
      <c r="D198" t="s">
        <v>247</v>
      </c>
      <c r="E198" t="s">
        <v>514</v>
      </c>
      <c r="F198" t="s">
        <v>417</v>
      </c>
      <c r="G198" s="3">
        <f t="shared" si="3"/>
        <v>0</v>
      </c>
      <c r="H198" t="s">
        <v>221</v>
      </c>
      <c r="I198" s="3">
        <f>D198/(VLOOKUP(B198,'2024 Team'!$B$2:$G$33,3,FALSE))</f>
        <v>1.1235955056179775E-2</v>
      </c>
    </row>
    <row r="199" spans="1:9" x14ac:dyDescent="0.25">
      <c r="A199" t="s">
        <v>750</v>
      </c>
      <c r="B199" t="s">
        <v>16</v>
      </c>
      <c r="C199" t="s">
        <v>163</v>
      </c>
      <c r="D199" t="s">
        <v>247</v>
      </c>
      <c r="E199" t="s">
        <v>487</v>
      </c>
      <c r="F199" t="s">
        <v>417</v>
      </c>
      <c r="G199" s="3">
        <f t="shared" si="3"/>
        <v>0</v>
      </c>
      <c r="H199" t="s">
        <v>235</v>
      </c>
      <c r="I199" s="3">
        <f>D199/(VLOOKUP(B199,'2024 Team'!$B$2:$G$33,3,FALSE))</f>
        <v>1.4634146341463415E-2</v>
      </c>
    </row>
    <row r="200" spans="1:9" x14ac:dyDescent="0.25">
      <c r="A200" t="s">
        <v>2145</v>
      </c>
      <c r="B200" t="s">
        <v>30</v>
      </c>
      <c r="C200" t="s">
        <v>159</v>
      </c>
      <c r="D200" t="s">
        <v>247</v>
      </c>
      <c r="E200" t="s">
        <v>557</v>
      </c>
      <c r="F200" t="s">
        <v>417</v>
      </c>
      <c r="G200" s="3">
        <f t="shared" si="3"/>
        <v>0</v>
      </c>
      <c r="H200" t="s">
        <v>498</v>
      </c>
      <c r="I200" s="3">
        <f>D200/(VLOOKUP(B200,'2024 Team'!$B$2:$G$33,3,FALSE))</f>
        <v>1.1406844106463879E-2</v>
      </c>
    </row>
    <row r="201" spans="1:9" x14ac:dyDescent="0.25">
      <c r="A201" t="s">
        <v>621</v>
      </c>
      <c r="B201" t="s">
        <v>52</v>
      </c>
      <c r="C201" t="s">
        <v>163</v>
      </c>
      <c r="D201" t="s">
        <v>247</v>
      </c>
      <c r="E201" t="s">
        <v>503</v>
      </c>
      <c r="F201" t="s">
        <v>417</v>
      </c>
      <c r="G201" s="3">
        <f t="shared" si="3"/>
        <v>0</v>
      </c>
      <c r="H201" t="s">
        <v>251</v>
      </c>
      <c r="I201" s="3">
        <f>D201/(VLOOKUP(B201,'2024 Team'!$B$2:$G$33,3,FALSE))</f>
        <v>1.3513513513513514E-2</v>
      </c>
    </row>
    <row r="202" spans="1:9" x14ac:dyDescent="0.25">
      <c r="A202" t="s">
        <v>2146</v>
      </c>
      <c r="B202" t="s">
        <v>60</v>
      </c>
      <c r="C202" t="s">
        <v>159</v>
      </c>
      <c r="D202" t="s">
        <v>247</v>
      </c>
      <c r="E202" t="s">
        <v>535</v>
      </c>
      <c r="F202" t="s">
        <v>417</v>
      </c>
      <c r="G202" s="3">
        <f t="shared" si="3"/>
        <v>0</v>
      </c>
      <c r="H202" t="s">
        <v>385</v>
      </c>
      <c r="I202" s="3">
        <f>D202/(VLOOKUP(B202,'2024 Team'!$B$2:$G$33,3,FALSE))</f>
        <v>1.125703564727955E-2</v>
      </c>
    </row>
    <row r="203" spans="1:9" x14ac:dyDescent="0.25">
      <c r="A203" t="s">
        <v>685</v>
      </c>
      <c r="B203" t="s">
        <v>36</v>
      </c>
      <c r="C203" t="s">
        <v>163</v>
      </c>
      <c r="D203" t="s">
        <v>247</v>
      </c>
      <c r="E203" t="s">
        <v>450</v>
      </c>
      <c r="F203" t="s">
        <v>417</v>
      </c>
      <c r="G203" s="3">
        <f t="shared" si="3"/>
        <v>0</v>
      </c>
      <c r="H203" t="s">
        <v>531</v>
      </c>
      <c r="I203" s="3">
        <f>D203/(VLOOKUP(B203,'2024 Team'!$B$2:$G$33,3,FALSE))</f>
        <v>1.4492753623188406E-2</v>
      </c>
    </row>
    <row r="204" spans="1:9" x14ac:dyDescent="0.25">
      <c r="A204" t="s">
        <v>776</v>
      </c>
      <c r="B204" t="s">
        <v>28</v>
      </c>
      <c r="C204" t="s">
        <v>159</v>
      </c>
      <c r="D204" t="s">
        <v>247</v>
      </c>
      <c r="E204" t="s">
        <v>344</v>
      </c>
      <c r="F204" t="s">
        <v>417</v>
      </c>
      <c r="G204" s="3">
        <f t="shared" si="3"/>
        <v>0</v>
      </c>
      <c r="H204" t="s">
        <v>596</v>
      </c>
      <c r="I204" s="3">
        <f>D204/(VLOOKUP(B204,'2024 Team'!$B$2:$G$33,3,FALSE))</f>
        <v>1.1235955056179775E-2</v>
      </c>
    </row>
    <row r="205" spans="1:9" x14ac:dyDescent="0.25">
      <c r="A205" t="s">
        <v>704</v>
      </c>
      <c r="B205" t="s">
        <v>40</v>
      </c>
      <c r="C205" t="s">
        <v>153</v>
      </c>
      <c r="D205" t="s">
        <v>220</v>
      </c>
      <c r="E205" t="s">
        <v>234</v>
      </c>
      <c r="F205" t="s">
        <v>417</v>
      </c>
      <c r="G205" s="3">
        <f t="shared" si="3"/>
        <v>0</v>
      </c>
      <c r="H205" t="s">
        <v>603</v>
      </c>
      <c r="I205" s="3">
        <f>D205/(VLOOKUP(B205,'2024 Team'!$B$2:$G$33,3,FALSE))</f>
        <v>1.3157894736842105E-2</v>
      </c>
    </row>
    <row r="206" spans="1:9" x14ac:dyDescent="0.25">
      <c r="A206" t="s">
        <v>2147</v>
      </c>
      <c r="B206" t="s">
        <v>40</v>
      </c>
      <c r="C206" t="s">
        <v>159</v>
      </c>
      <c r="D206" t="s">
        <v>220</v>
      </c>
      <c r="E206" t="s">
        <v>198</v>
      </c>
      <c r="F206" t="s">
        <v>417</v>
      </c>
      <c r="G206" s="3">
        <f t="shared" si="3"/>
        <v>0</v>
      </c>
      <c r="H206" t="s">
        <v>542</v>
      </c>
      <c r="I206" s="3">
        <f>D206/(VLOOKUP(B206,'2024 Team'!$B$2:$G$33,3,FALSE))</f>
        <v>1.3157894736842105E-2</v>
      </c>
    </row>
    <row r="207" spans="1:9" x14ac:dyDescent="0.25">
      <c r="A207" t="s">
        <v>636</v>
      </c>
      <c r="B207" t="s">
        <v>8</v>
      </c>
      <c r="C207" t="s">
        <v>163</v>
      </c>
      <c r="D207" t="s">
        <v>220</v>
      </c>
      <c r="E207" t="s">
        <v>493</v>
      </c>
      <c r="F207" t="s">
        <v>417</v>
      </c>
      <c r="G207" s="3">
        <f t="shared" si="3"/>
        <v>0</v>
      </c>
      <c r="H207" t="s">
        <v>574</v>
      </c>
      <c r="I207" s="3">
        <f>D207/(VLOOKUP(B207,'2024 Team'!$B$2:$G$33,3,FALSE))</f>
        <v>1.079913606911447E-2</v>
      </c>
    </row>
    <row r="208" spans="1:9" x14ac:dyDescent="0.25">
      <c r="A208" t="s">
        <v>682</v>
      </c>
      <c r="B208" t="s">
        <v>34</v>
      </c>
      <c r="C208" t="s">
        <v>163</v>
      </c>
      <c r="D208" t="s">
        <v>220</v>
      </c>
      <c r="E208" t="s">
        <v>452</v>
      </c>
      <c r="F208" t="s">
        <v>417</v>
      </c>
      <c r="G208" s="3">
        <f t="shared" si="3"/>
        <v>0</v>
      </c>
      <c r="H208" t="s">
        <v>732</v>
      </c>
      <c r="I208" s="3">
        <f>D208/(VLOOKUP(B208,'2024 Team'!$B$2:$G$33,3,FALSE))</f>
        <v>1.0080645161290322E-2</v>
      </c>
    </row>
    <row r="209" spans="1:9" x14ac:dyDescent="0.25">
      <c r="A209" t="s">
        <v>822</v>
      </c>
      <c r="B209" t="s">
        <v>38</v>
      </c>
      <c r="C209" t="s">
        <v>163</v>
      </c>
      <c r="D209" t="s">
        <v>220</v>
      </c>
      <c r="E209" t="s">
        <v>573</v>
      </c>
      <c r="F209" t="s">
        <v>300</v>
      </c>
      <c r="G209" s="3">
        <f t="shared" si="3"/>
        <v>0.2</v>
      </c>
      <c r="H209" t="s">
        <v>1360</v>
      </c>
      <c r="I209" s="3">
        <f>D209/(VLOOKUP(B209,'2024 Team'!$B$2:$G$33,3,FALSE))</f>
        <v>1.1111111111111112E-2</v>
      </c>
    </row>
    <row r="210" spans="1:9" x14ac:dyDescent="0.25">
      <c r="A210" t="s">
        <v>2079</v>
      </c>
      <c r="B210" t="s">
        <v>28</v>
      </c>
      <c r="C210" t="s">
        <v>82</v>
      </c>
      <c r="D210" t="s">
        <v>220</v>
      </c>
      <c r="E210" t="s">
        <v>289</v>
      </c>
      <c r="F210" t="s">
        <v>417</v>
      </c>
      <c r="G210" s="3">
        <f t="shared" si="3"/>
        <v>0</v>
      </c>
      <c r="H210" t="s">
        <v>2148</v>
      </c>
      <c r="I210" s="3">
        <f>D210/(VLOOKUP(B210,'2024 Team'!$B$2:$G$33,3,FALSE))</f>
        <v>9.3632958801498131E-3</v>
      </c>
    </row>
    <row r="211" spans="1:9" x14ac:dyDescent="0.25">
      <c r="A211" t="s">
        <v>718</v>
      </c>
      <c r="B211" t="s">
        <v>62</v>
      </c>
      <c r="C211" t="s">
        <v>613</v>
      </c>
      <c r="D211" t="s">
        <v>220</v>
      </c>
      <c r="E211" t="s">
        <v>507</v>
      </c>
      <c r="F211" t="s">
        <v>300</v>
      </c>
      <c r="G211" s="3">
        <f t="shared" si="3"/>
        <v>0.2</v>
      </c>
      <c r="H211" t="s">
        <v>194</v>
      </c>
      <c r="I211" s="3">
        <f>D211/(VLOOKUP(B211,'2024 Team'!$B$2:$G$33,3,FALSE))</f>
        <v>1.0940919037199124E-2</v>
      </c>
    </row>
    <row r="212" spans="1:9" x14ac:dyDescent="0.25">
      <c r="A212" t="s">
        <v>2149</v>
      </c>
      <c r="B212" t="s">
        <v>22</v>
      </c>
      <c r="C212" t="s">
        <v>159</v>
      </c>
      <c r="D212" t="s">
        <v>220</v>
      </c>
      <c r="E212" t="s">
        <v>487</v>
      </c>
      <c r="F212" t="s">
        <v>417</v>
      </c>
      <c r="G212" s="3">
        <f t="shared" si="3"/>
        <v>0</v>
      </c>
      <c r="H212" t="s">
        <v>251</v>
      </c>
      <c r="I212" s="3">
        <f>D212/(VLOOKUP(B212,'2024 Team'!$B$2:$G$33,3,FALSE))</f>
        <v>1.278772378516624E-2</v>
      </c>
    </row>
    <row r="213" spans="1:9" x14ac:dyDescent="0.25">
      <c r="A213" t="s">
        <v>139</v>
      </c>
      <c r="B213" t="s">
        <v>58</v>
      </c>
      <c r="C213" t="s">
        <v>82</v>
      </c>
      <c r="D213" t="s">
        <v>220</v>
      </c>
      <c r="E213" t="s">
        <v>663</v>
      </c>
      <c r="F213" t="s">
        <v>417</v>
      </c>
      <c r="G213" s="3">
        <f t="shared" si="3"/>
        <v>0</v>
      </c>
      <c r="H213" t="s">
        <v>2150</v>
      </c>
      <c r="I213" s="3">
        <f>D213/(VLOOKUP(B213,'2024 Team'!$B$2:$G$33,3,FALSE))</f>
        <v>8.0515297906602248E-3</v>
      </c>
    </row>
    <row r="214" spans="1:9" x14ac:dyDescent="0.25">
      <c r="A214" t="s">
        <v>975</v>
      </c>
      <c r="B214" t="s">
        <v>54</v>
      </c>
      <c r="C214" t="s">
        <v>163</v>
      </c>
      <c r="D214" t="s">
        <v>220</v>
      </c>
      <c r="E214" t="s">
        <v>289</v>
      </c>
      <c r="F214" t="s">
        <v>417</v>
      </c>
      <c r="G214" s="3">
        <f t="shared" si="3"/>
        <v>0</v>
      </c>
      <c r="H214" t="s">
        <v>2148</v>
      </c>
      <c r="I214" s="3">
        <f>D214/(VLOOKUP(B214,'2024 Team'!$B$2:$G$33,3,FALSE))</f>
        <v>1.179245283018868E-2</v>
      </c>
    </row>
    <row r="215" spans="1:9" x14ac:dyDescent="0.25">
      <c r="A215" t="s">
        <v>828</v>
      </c>
      <c r="B215" t="s">
        <v>14</v>
      </c>
      <c r="C215" t="s">
        <v>163</v>
      </c>
      <c r="D215" t="s">
        <v>220</v>
      </c>
      <c r="E215" t="s">
        <v>344</v>
      </c>
      <c r="F215" t="s">
        <v>417</v>
      </c>
      <c r="G215" s="3">
        <f t="shared" si="3"/>
        <v>0</v>
      </c>
      <c r="H215" t="s">
        <v>385</v>
      </c>
      <c r="I215" s="3">
        <f>D215/(VLOOKUP(B215,'2024 Team'!$B$2:$G$33,3,FALSE))</f>
        <v>1.0183299389002037E-2</v>
      </c>
    </row>
    <row r="216" spans="1:9" x14ac:dyDescent="0.25">
      <c r="A216" t="s">
        <v>623</v>
      </c>
      <c r="B216" t="s">
        <v>64</v>
      </c>
      <c r="C216" t="s">
        <v>163</v>
      </c>
      <c r="D216" t="s">
        <v>220</v>
      </c>
      <c r="E216" t="s">
        <v>507</v>
      </c>
      <c r="F216" t="s">
        <v>417</v>
      </c>
      <c r="G216" s="3">
        <f t="shared" si="3"/>
        <v>0</v>
      </c>
      <c r="H216" t="s">
        <v>194</v>
      </c>
      <c r="I216" s="3">
        <f>D216/(VLOOKUP(B216,'2024 Team'!$B$2:$G$33,3,FALSE))</f>
        <v>1.3054830287206266E-2</v>
      </c>
    </row>
    <row r="217" spans="1:9" x14ac:dyDescent="0.25">
      <c r="A217" t="s">
        <v>1587</v>
      </c>
      <c r="B217" t="s">
        <v>66</v>
      </c>
      <c r="C217" t="s">
        <v>82</v>
      </c>
      <c r="D217" t="s">
        <v>220</v>
      </c>
      <c r="E217" t="s">
        <v>651</v>
      </c>
      <c r="F217" t="s">
        <v>417</v>
      </c>
      <c r="G217" s="3">
        <f t="shared" si="3"/>
        <v>0</v>
      </c>
      <c r="H217" t="s">
        <v>632</v>
      </c>
      <c r="I217" s="3">
        <f>D217/(VLOOKUP(B217,'2024 Team'!$B$2:$G$33,3,FALSE))</f>
        <v>1.0351966873706004E-2</v>
      </c>
    </row>
    <row r="218" spans="1:9" x14ac:dyDescent="0.25">
      <c r="A218" t="s">
        <v>2151</v>
      </c>
      <c r="B218" t="s">
        <v>40</v>
      </c>
      <c r="C218" t="s">
        <v>163</v>
      </c>
      <c r="D218" t="s">
        <v>220</v>
      </c>
      <c r="E218" t="s">
        <v>485</v>
      </c>
      <c r="F218" t="s">
        <v>300</v>
      </c>
      <c r="G218" s="3">
        <f t="shared" si="3"/>
        <v>0.2</v>
      </c>
      <c r="H218" t="s">
        <v>426</v>
      </c>
      <c r="I218" s="3">
        <f>D218/(VLOOKUP(B218,'2024 Team'!$B$2:$G$33,3,FALSE))</f>
        <v>1.3157894736842105E-2</v>
      </c>
    </row>
    <row r="219" spans="1:9" x14ac:dyDescent="0.25">
      <c r="A219" t="s">
        <v>1735</v>
      </c>
      <c r="B219" t="s">
        <v>60</v>
      </c>
      <c r="C219" t="s">
        <v>159</v>
      </c>
      <c r="D219" t="s">
        <v>220</v>
      </c>
      <c r="E219" t="s">
        <v>514</v>
      </c>
      <c r="F219" t="s">
        <v>417</v>
      </c>
      <c r="G219" s="3">
        <f t="shared" si="3"/>
        <v>0</v>
      </c>
      <c r="H219" t="s">
        <v>230</v>
      </c>
      <c r="I219" s="3">
        <f>D219/(VLOOKUP(B219,'2024 Team'!$B$2:$G$33,3,FALSE))</f>
        <v>9.3808630393996256E-3</v>
      </c>
    </row>
    <row r="220" spans="1:9" x14ac:dyDescent="0.25">
      <c r="A220" t="s">
        <v>537</v>
      </c>
      <c r="B220" t="s">
        <v>46</v>
      </c>
      <c r="C220" t="s">
        <v>163</v>
      </c>
      <c r="D220" t="s">
        <v>220</v>
      </c>
      <c r="E220" t="s">
        <v>500</v>
      </c>
      <c r="F220" t="s">
        <v>300</v>
      </c>
      <c r="G220" s="3">
        <f t="shared" si="3"/>
        <v>0.2</v>
      </c>
      <c r="H220" t="s">
        <v>258</v>
      </c>
      <c r="I220" s="3">
        <f>D220/(VLOOKUP(B220,'2024 Team'!$B$2:$G$33,3,FALSE))</f>
        <v>1.1160714285714286E-2</v>
      </c>
    </row>
    <row r="221" spans="1:9" x14ac:dyDescent="0.25">
      <c r="A221" t="s">
        <v>571</v>
      </c>
      <c r="B221" t="s">
        <v>12</v>
      </c>
      <c r="C221" t="s">
        <v>153</v>
      </c>
      <c r="D221" t="s">
        <v>229</v>
      </c>
      <c r="E221" t="s">
        <v>220</v>
      </c>
      <c r="F221" t="s">
        <v>417</v>
      </c>
      <c r="G221" s="3">
        <f t="shared" si="3"/>
        <v>0</v>
      </c>
      <c r="H221" t="s">
        <v>626</v>
      </c>
      <c r="I221" s="3">
        <f>D221/(VLOOKUP(B221,'2024 Team'!$B$2:$G$33,3,FALSE))</f>
        <v>7.2202166064981952E-3</v>
      </c>
    </row>
    <row r="222" spans="1:9" x14ac:dyDescent="0.25">
      <c r="A222" t="s">
        <v>837</v>
      </c>
      <c r="B222" t="s">
        <v>36</v>
      </c>
      <c r="C222" t="s">
        <v>163</v>
      </c>
      <c r="D222" t="s">
        <v>229</v>
      </c>
      <c r="E222" t="s">
        <v>314</v>
      </c>
      <c r="F222" t="s">
        <v>417</v>
      </c>
      <c r="G222" s="3">
        <f t="shared" si="3"/>
        <v>0</v>
      </c>
      <c r="H222" t="s">
        <v>669</v>
      </c>
      <c r="I222" s="3">
        <f>D222/(VLOOKUP(B222,'2024 Team'!$B$2:$G$33,3,FALSE))</f>
        <v>9.6618357487922701E-3</v>
      </c>
    </row>
    <row r="223" spans="1:9" x14ac:dyDescent="0.25">
      <c r="A223" t="s">
        <v>135</v>
      </c>
      <c r="B223" t="s">
        <v>12</v>
      </c>
      <c r="C223" t="s">
        <v>82</v>
      </c>
      <c r="D223" t="s">
        <v>229</v>
      </c>
      <c r="E223" t="s">
        <v>300</v>
      </c>
      <c r="F223" t="s">
        <v>417</v>
      </c>
      <c r="G223" s="3">
        <f t="shared" si="3"/>
        <v>0</v>
      </c>
      <c r="H223" t="s">
        <v>645</v>
      </c>
      <c r="I223" s="3">
        <f>D223/(VLOOKUP(B223,'2024 Team'!$B$2:$G$33,3,FALSE))</f>
        <v>7.2202166064981952E-3</v>
      </c>
    </row>
    <row r="224" spans="1:9" x14ac:dyDescent="0.25">
      <c r="A224" t="s">
        <v>1689</v>
      </c>
      <c r="B224" t="s">
        <v>8</v>
      </c>
      <c r="C224" t="s">
        <v>159</v>
      </c>
      <c r="D224" t="s">
        <v>229</v>
      </c>
      <c r="E224" t="s">
        <v>433</v>
      </c>
      <c r="F224" t="s">
        <v>300</v>
      </c>
      <c r="G224" s="3">
        <f t="shared" si="3"/>
        <v>0.25</v>
      </c>
      <c r="H224" t="s">
        <v>1254</v>
      </c>
      <c r="I224" s="3">
        <f>D224/(VLOOKUP(B224,'2024 Team'!$B$2:$G$33,3,FALSE))</f>
        <v>8.6393088552915772E-3</v>
      </c>
    </row>
    <row r="225" spans="1:9" x14ac:dyDescent="0.25">
      <c r="A225" t="s">
        <v>764</v>
      </c>
      <c r="B225" t="s">
        <v>66</v>
      </c>
      <c r="C225" t="s">
        <v>163</v>
      </c>
      <c r="D225" t="s">
        <v>229</v>
      </c>
      <c r="E225" t="s">
        <v>444</v>
      </c>
      <c r="F225" t="s">
        <v>417</v>
      </c>
      <c r="G225" s="3">
        <f t="shared" si="3"/>
        <v>0</v>
      </c>
      <c r="H225" t="s">
        <v>1130</v>
      </c>
      <c r="I225" s="3">
        <f>D225/(VLOOKUP(B225,'2024 Team'!$B$2:$G$33,3,FALSE))</f>
        <v>8.2815734989648039E-3</v>
      </c>
    </row>
    <row r="226" spans="1:9" x14ac:dyDescent="0.25">
      <c r="A226" t="s">
        <v>742</v>
      </c>
      <c r="B226" t="s">
        <v>34</v>
      </c>
      <c r="C226" t="s">
        <v>163</v>
      </c>
      <c r="D226" t="s">
        <v>229</v>
      </c>
      <c r="E226" t="s">
        <v>247</v>
      </c>
      <c r="F226" t="s">
        <v>417</v>
      </c>
      <c r="G226" s="3">
        <f t="shared" si="3"/>
        <v>0</v>
      </c>
      <c r="H226" t="s">
        <v>575</v>
      </c>
      <c r="I226" s="3">
        <f>D226/(VLOOKUP(B226,'2024 Team'!$B$2:$G$33,3,FALSE))</f>
        <v>8.0645161290322578E-3</v>
      </c>
    </row>
    <row r="227" spans="1:9" x14ac:dyDescent="0.25">
      <c r="A227" t="s">
        <v>930</v>
      </c>
      <c r="B227" t="s">
        <v>44</v>
      </c>
      <c r="C227" t="s">
        <v>163</v>
      </c>
      <c r="D227" t="s">
        <v>229</v>
      </c>
      <c r="E227" t="s">
        <v>476</v>
      </c>
      <c r="F227" t="s">
        <v>417</v>
      </c>
      <c r="G227" s="3">
        <f t="shared" si="3"/>
        <v>0</v>
      </c>
      <c r="H227" t="s">
        <v>732</v>
      </c>
      <c r="I227" s="3">
        <f>D227/(VLOOKUP(B227,'2024 Team'!$B$2:$G$33,3,FALSE))</f>
        <v>8.8888888888888889E-3</v>
      </c>
    </row>
    <row r="228" spans="1:9" x14ac:dyDescent="0.25">
      <c r="A228" t="s">
        <v>782</v>
      </c>
      <c r="B228" t="s">
        <v>26</v>
      </c>
      <c r="C228" t="s">
        <v>82</v>
      </c>
      <c r="D228" t="s">
        <v>229</v>
      </c>
      <c r="E228" t="s">
        <v>220</v>
      </c>
      <c r="F228" t="s">
        <v>417</v>
      </c>
      <c r="G228" s="3">
        <f t="shared" si="3"/>
        <v>0</v>
      </c>
      <c r="H228" t="s">
        <v>626</v>
      </c>
      <c r="I228" s="3">
        <f>D228/(VLOOKUP(B228,'2024 Team'!$B$2:$G$33,3,FALSE))</f>
        <v>8.6767895878524948E-3</v>
      </c>
    </row>
    <row r="229" spans="1:9" x14ac:dyDescent="0.25">
      <c r="A229" t="s">
        <v>175</v>
      </c>
      <c r="B229" t="s">
        <v>46</v>
      </c>
      <c r="C229" t="s">
        <v>163</v>
      </c>
      <c r="D229" t="s">
        <v>229</v>
      </c>
      <c r="E229" t="s">
        <v>198</v>
      </c>
      <c r="F229" t="s">
        <v>417</v>
      </c>
      <c r="G229" s="3">
        <f t="shared" si="3"/>
        <v>0</v>
      </c>
      <c r="H229" t="s">
        <v>502</v>
      </c>
      <c r="I229" s="3">
        <f>D229/(VLOOKUP(B229,'2024 Team'!$B$2:$G$33,3,FALSE))</f>
        <v>8.9285714285714281E-3</v>
      </c>
    </row>
    <row r="230" spans="1:9" x14ac:dyDescent="0.25">
      <c r="A230" t="s">
        <v>2152</v>
      </c>
      <c r="B230" t="s">
        <v>26</v>
      </c>
      <c r="C230" t="s">
        <v>159</v>
      </c>
      <c r="D230" t="s">
        <v>229</v>
      </c>
      <c r="E230" t="s">
        <v>211</v>
      </c>
      <c r="F230" t="s">
        <v>417</v>
      </c>
      <c r="G230" s="3">
        <f t="shared" si="3"/>
        <v>0</v>
      </c>
      <c r="H230" t="s">
        <v>498</v>
      </c>
      <c r="I230" s="3">
        <f>D230/(VLOOKUP(B230,'2024 Team'!$B$2:$G$33,3,FALSE))</f>
        <v>8.6767895878524948E-3</v>
      </c>
    </row>
    <row r="231" spans="1:9" x14ac:dyDescent="0.25">
      <c r="A231" t="s">
        <v>739</v>
      </c>
      <c r="B231" t="s">
        <v>30</v>
      </c>
      <c r="C231" t="s">
        <v>163</v>
      </c>
      <c r="D231" t="s">
        <v>229</v>
      </c>
      <c r="E231" t="s">
        <v>510</v>
      </c>
      <c r="F231" t="s">
        <v>417</v>
      </c>
      <c r="G231" s="3">
        <f t="shared" si="3"/>
        <v>0</v>
      </c>
      <c r="H231" t="s">
        <v>400</v>
      </c>
      <c r="I231" s="3">
        <f>D231/(VLOOKUP(B231,'2024 Team'!$B$2:$G$33,3,FALSE))</f>
        <v>7.6045627376425855E-3</v>
      </c>
    </row>
    <row r="232" spans="1:9" x14ac:dyDescent="0.25">
      <c r="A232" t="s">
        <v>697</v>
      </c>
      <c r="B232" t="s">
        <v>48</v>
      </c>
      <c r="C232" t="s">
        <v>163</v>
      </c>
      <c r="D232" t="s">
        <v>314</v>
      </c>
      <c r="E232" t="s">
        <v>524</v>
      </c>
      <c r="F232" t="s">
        <v>300</v>
      </c>
      <c r="G232" s="3">
        <f t="shared" si="3"/>
        <v>0.33333333333333331</v>
      </c>
      <c r="H232" t="s">
        <v>608</v>
      </c>
      <c r="I232" s="3">
        <f>D232/(VLOOKUP(B232,'2024 Team'!$B$2:$G$33,3,FALSE))</f>
        <v>6.5645514223194746E-3</v>
      </c>
    </row>
    <row r="233" spans="1:9" x14ac:dyDescent="0.25">
      <c r="A233" t="s">
        <v>143</v>
      </c>
      <c r="B233" t="s">
        <v>62</v>
      </c>
      <c r="C233" t="s">
        <v>82</v>
      </c>
      <c r="D233" t="s">
        <v>314</v>
      </c>
      <c r="E233" t="s">
        <v>229</v>
      </c>
      <c r="F233" t="s">
        <v>417</v>
      </c>
      <c r="G233" s="3">
        <f t="shared" si="3"/>
        <v>0</v>
      </c>
      <c r="H233" t="s">
        <v>626</v>
      </c>
      <c r="I233" s="3">
        <f>D233/(VLOOKUP(B233,'2024 Team'!$B$2:$G$33,3,FALSE))</f>
        <v>6.5645514223194746E-3</v>
      </c>
    </row>
    <row r="234" spans="1:9" x14ac:dyDescent="0.25">
      <c r="A234" t="s">
        <v>638</v>
      </c>
      <c r="B234" t="s">
        <v>70</v>
      </c>
      <c r="C234" t="s">
        <v>163</v>
      </c>
      <c r="D234" t="s">
        <v>314</v>
      </c>
      <c r="E234" t="s">
        <v>507</v>
      </c>
      <c r="F234" t="s">
        <v>417</v>
      </c>
      <c r="G234" s="3">
        <f t="shared" si="3"/>
        <v>0</v>
      </c>
      <c r="H234" t="s">
        <v>1381</v>
      </c>
      <c r="I234" s="3">
        <f>D234/(VLOOKUP(B234,'2024 Team'!$B$2:$G$33,3,FALSE))</f>
        <v>5.7034220532319393E-3</v>
      </c>
    </row>
    <row r="235" spans="1:9" x14ac:dyDescent="0.25">
      <c r="A235" t="s">
        <v>693</v>
      </c>
      <c r="B235" t="s">
        <v>20</v>
      </c>
      <c r="C235" t="s">
        <v>163</v>
      </c>
      <c r="D235" t="s">
        <v>314</v>
      </c>
      <c r="E235" t="s">
        <v>475</v>
      </c>
      <c r="F235" t="s">
        <v>417</v>
      </c>
      <c r="G235" s="3">
        <f t="shared" si="3"/>
        <v>0</v>
      </c>
      <c r="H235" t="s">
        <v>1331</v>
      </c>
      <c r="I235" s="3">
        <f>D235/(VLOOKUP(B235,'2024 Team'!$B$2:$G$33,3,FALSE))</f>
        <v>7.8947368421052634E-3</v>
      </c>
    </row>
    <row r="236" spans="1:9" x14ac:dyDescent="0.25">
      <c r="A236" t="s">
        <v>820</v>
      </c>
      <c r="B236" t="s">
        <v>24</v>
      </c>
      <c r="C236" t="s">
        <v>163</v>
      </c>
      <c r="D236" t="s">
        <v>314</v>
      </c>
      <c r="E236" t="s">
        <v>687</v>
      </c>
      <c r="F236" t="s">
        <v>417</v>
      </c>
      <c r="G236" s="3">
        <f t="shared" si="3"/>
        <v>0</v>
      </c>
      <c r="H236" t="s">
        <v>652</v>
      </c>
      <c r="I236" s="3">
        <f>D236/(VLOOKUP(B236,'2024 Team'!$B$2:$G$33,3,FALSE))</f>
        <v>6.993006993006993E-3</v>
      </c>
    </row>
    <row r="237" spans="1:9" x14ac:dyDescent="0.25">
      <c r="A237" t="s">
        <v>1716</v>
      </c>
      <c r="B237" t="s">
        <v>58</v>
      </c>
      <c r="C237" t="s">
        <v>159</v>
      </c>
      <c r="D237" t="s">
        <v>314</v>
      </c>
      <c r="E237" t="s">
        <v>207</v>
      </c>
      <c r="F237" t="s">
        <v>417</v>
      </c>
      <c r="G237" s="3">
        <f t="shared" si="3"/>
        <v>0</v>
      </c>
      <c r="H237" t="s">
        <v>596</v>
      </c>
      <c r="I237" s="3">
        <f>D237/(VLOOKUP(B237,'2024 Team'!$B$2:$G$33,3,FALSE))</f>
        <v>4.830917874396135E-3</v>
      </c>
    </row>
    <row r="238" spans="1:9" x14ac:dyDescent="0.25">
      <c r="A238" t="s">
        <v>965</v>
      </c>
      <c r="B238" t="s">
        <v>32</v>
      </c>
      <c r="C238" t="s">
        <v>163</v>
      </c>
      <c r="D238" t="s">
        <v>314</v>
      </c>
      <c r="E238" t="s">
        <v>225</v>
      </c>
      <c r="F238" t="s">
        <v>300</v>
      </c>
      <c r="G238" s="3">
        <f t="shared" si="3"/>
        <v>0.33333333333333331</v>
      </c>
      <c r="H238" t="s">
        <v>423</v>
      </c>
      <c r="I238" s="3">
        <f>D238/(VLOOKUP(B238,'2024 Team'!$B$2:$G$33,3,FALSE))</f>
        <v>6.9124423963133645E-3</v>
      </c>
    </row>
    <row r="239" spans="1:9" x14ac:dyDescent="0.25">
      <c r="A239" t="s">
        <v>624</v>
      </c>
      <c r="B239" t="s">
        <v>50</v>
      </c>
      <c r="C239" t="s">
        <v>163</v>
      </c>
      <c r="D239" t="s">
        <v>314</v>
      </c>
      <c r="E239" t="s">
        <v>193</v>
      </c>
      <c r="F239" t="s">
        <v>417</v>
      </c>
      <c r="G239" s="3">
        <f t="shared" si="3"/>
        <v>0</v>
      </c>
      <c r="H239" t="s">
        <v>492</v>
      </c>
      <c r="I239" s="3">
        <f>D239/(VLOOKUP(B239,'2024 Team'!$B$2:$G$33,3,FALSE))</f>
        <v>6.7264573991031393E-3</v>
      </c>
    </row>
    <row r="240" spans="1:9" x14ac:dyDescent="0.25">
      <c r="A240" t="s">
        <v>1684</v>
      </c>
      <c r="B240" t="s">
        <v>18</v>
      </c>
      <c r="C240" t="s">
        <v>159</v>
      </c>
      <c r="D240" t="s">
        <v>314</v>
      </c>
      <c r="E240" t="s">
        <v>314</v>
      </c>
      <c r="F240" t="s">
        <v>417</v>
      </c>
      <c r="G240" s="3">
        <f t="shared" si="3"/>
        <v>0</v>
      </c>
      <c r="H240" t="s">
        <v>614</v>
      </c>
      <c r="I240" s="3">
        <f>D240/(VLOOKUP(B240,'2024 Team'!$B$2:$G$33,3,FALSE))</f>
        <v>6.9605568445475635E-3</v>
      </c>
    </row>
    <row r="241" spans="1:9" x14ac:dyDescent="0.25">
      <c r="A241" t="s">
        <v>672</v>
      </c>
      <c r="B241" t="s">
        <v>48</v>
      </c>
      <c r="C241" t="s">
        <v>159</v>
      </c>
      <c r="D241" t="s">
        <v>314</v>
      </c>
      <c r="E241" t="s">
        <v>663</v>
      </c>
      <c r="F241" t="s">
        <v>417</v>
      </c>
      <c r="G241" s="3">
        <f t="shared" si="3"/>
        <v>0</v>
      </c>
      <c r="H241" t="s">
        <v>664</v>
      </c>
      <c r="I241" s="3">
        <f>D241/(VLOOKUP(B241,'2024 Team'!$B$2:$G$33,3,FALSE))</f>
        <v>6.5645514223194746E-3</v>
      </c>
    </row>
    <row r="242" spans="1:9" x14ac:dyDescent="0.25">
      <c r="A242" t="s">
        <v>702</v>
      </c>
      <c r="B242" t="s">
        <v>14</v>
      </c>
      <c r="C242" t="s">
        <v>613</v>
      </c>
      <c r="D242" t="s">
        <v>314</v>
      </c>
      <c r="E242" t="s">
        <v>207</v>
      </c>
      <c r="F242" t="s">
        <v>417</v>
      </c>
      <c r="G242" s="3">
        <f t="shared" si="3"/>
        <v>0</v>
      </c>
      <c r="H242" t="s">
        <v>596</v>
      </c>
      <c r="I242" s="3">
        <f>D242/(VLOOKUP(B242,'2024 Team'!$B$2:$G$33,3,FALSE))</f>
        <v>6.1099796334012219E-3</v>
      </c>
    </row>
    <row r="243" spans="1:9" x14ac:dyDescent="0.25">
      <c r="A243" t="s">
        <v>513</v>
      </c>
      <c r="B243" t="s">
        <v>64</v>
      </c>
      <c r="C243" t="s">
        <v>159</v>
      </c>
      <c r="D243" t="s">
        <v>314</v>
      </c>
      <c r="E243" t="s">
        <v>211</v>
      </c>
      <c r="F243" t="s">
        <v>417</v>
      </c>
      <c r="G243" s="3">
        <f t="shared" si="3"/>
        <v>0</v>
      </c>
      <c r="H243" t="s">
        <v>409</v>
      </c>
      <c r="I243" s="3">
        <f>D243/(VLOOKUP(B243,'2024 Team'!$B$2:$G$33,3,FALSE))</f>
        <v>7.832898172323759E-3</v>
      </c>
    </row>
    <row r="244" spans="1:9" x14ac:dyDescent="0.25">
      <c r="A244" t="s">
        <v>715</v>
      </c>
      <c r="B244" t="s">
        <v>42</v>
      </c>
      <c r="C244" t="s">
        <v>163</v>
      </c>
      <c r="D244" t="s">
        <v>314</v>
      </c>
      <c r="E244" t="s">
        <v>247</v>
      </c>
      <c r="F244" t="s">
        <v>417</v>
      </c>
      <c r="G244" s="3">
        <f t="shared" si="3"/>
        <v>0</v>
      </c>
      <c r="H244" t="s">
        <v>643</v>
      </c>
      <c r="I244" s="3">
        <f>D244/(VLOOKUP(B244,'2024 Team'!$B$2:$G$33,3,FALSE))</f>
        <v>6.4794816414686825E-3</v>
      </c>
    </row>
    <row r="245" spans="1:9" x14ac:dyDescent="0.25">
      <c r="A245" t="s">
        <v>738</v>
      </c>
      <c r="B245" t="s">
        <v>30</v>
      </c>
      <c r="C245" t="s">
        <v>153</v>
      </c>
      <c r="D245" t="s">
        <v>314</v>
      </c>
      <c r="E245" t="s">
        <v>247</v>
      </c>
      <c r="F245" t="s">
        <v>417</v>
      </c>
      <c r="G245" s="3">
        <f t="shared" si="3"/>
        <v>0</v>
      </c>
      <c r="H245" t="s">
        <v>643</v>
      </c>
      <c r="I245" s="3">
        <f>D245/(VLOOKUP(B245,'2024 Team'!$B$2:$G$33,3,FALSE))</f>
        <v>5.7034220532319393E-3</v>
      </c>
    </row>
    <row r="246" spans="1:9" x14ac:dyDescent="0.25">
      <c r="A246" t="s">
        <v>122</v>
      </c>
      <c r="B246" t="s">
        <v>32</v>
      </c>
      <c r="C246" t="s">
        <v>82</v>
      </c>
      <c r="D246" t="s">
        <v>314</v>
      </c>
      <c r="E246" t="s">
        <v>266</v>
      </c>
      <c r="F246" t="s">
        <v>417</v>
      </c>
      <c r="G246" s="3">
        <f t="shared" si="3"/>
        <v>0</v>
      </c>
      <c r="H246" t="s">
        <v>221</v>
      </c>
      <c r="I246" s="3">
        <f>D246/(VLOOKUP(B246,'2024 Team'!$B$2:$G$33,3,FALSE))</f>
        <v>6.9124423963133645E-3</v>
      </c>
    </row>
    <row r="247" spans="1:9" x14ac:dyDescent="0.25">
      <c r="A247" t="s">
        <v>155</v>
      </c>
      <c r="B247" t="s">
        <v>48</v>
      </c>
      <c r="C247" t="s">
        <v>82</v>
      </c>
      <c r="D247" t="s">
        <v>314</v>
      </c>
      <c r="E247" t="s">
        <v>649</v>
      </c>
      <c r="F247" t="s">
        <v>417</v>
      </c>
      <c r="G247" s="3">
        <f t="shared" si="3"/>
        <v>0</v>
      </c>
      <c r="H247" t="s">
        <v>584</v>
      </c>
      <c r="I247" s="3">
        <f>D247/(VLOOKUP(B247,'2024 Team'!$B$2:$G$33,3,FALSE))</f>
        <v>6.5645514223194746E-3</v>
      </c>
    </row>
    <row r="248" spans="1:9" x14ac:dyDescent="0.25">
      <c r="A248" t="s">
        <v>701</v>
      </c>
      <c r="B248" t="s">
        <v>48</v>
      </c>
      <c r="C248" t="s">
        <v>163</v>
      </c>
      <c r="D248" t="s">
        <v>314</v>
      </c>
      <c r="E248" t="s">
        <v>651</v>
      </c>
      <c r="F248" t="s">
        <v>417</v>
      </c>
      <c r="G248" s="3">
        <f t="shared" si="3"/>
        <v>0</v>
      </c>
      <c r="H248" t="s">
        <v>2153</v>
      </c>
      <c r="I248" s="3">
        <f>D248/(VLOOKUP(B248,'2024 Team'!$B$2:$G$33,3,FALSE))</f>
        <v>6.5645514223194746E-3</v>
      </c>
    </row>
    <row r="249" spans="1:9" x14ac:dyDescent="0.25">
      <c r="A249" t="s">
        <v>838</v>
      </c>
      <c r="B249" t="s">
        <v>18</v>
      </c>
      <c r="C249" t="s">
        <v>163</v>
      </c>
      <c r="D249" t="s">
        <v>314</v>
      </c>
      <c r="E249" t="s">
        <v>557</v>
      </c>
      <c r="F249" t="s">
        <v>417</v>
      </c>
      <c r="G249" s="3">
        <f t="shared" si="3"/>
        <v>0</v>
      </c>
      <c r="H249" t="s">
        <v>258</v>
      </c>
      <c r="I249" s="3">
        <f>D249/(VLOOKUP(B249,'2024 Team'!$B$2:$G$33,3,FALSE))</f>
        <v>6.9605568445475635E-3</v>
      </c>
    </row>
    <row r="250" spans="1:9" x14ac:dyDescent="0.25">
      <c r="A250" t="s">
        <v>721</v>
      </c>
      <c r="B250" t="s">
        <v>62</v>
      </c>
      <c r="C250" t="s">
        <v>163</v>
      </c>
      <c r="D250" t="s">
        <v>314</v>
      </c>
      <c r="E250" t="s">
        <v>452</v>
      </c>
      <c r="F250" t="s">
        <v>417</v>
      </c>
      <c r="G250" s="3">
        <f t="shared" si="3"/>
        <v>0</v>
      </c>
      <c r="H250" t="s">
        <v>1212</v>
      </c>
      <c r="I250" s="3">
        <f>D250/(VLOOKUP(B250,'2024 Team'!$B$2:$G$33,3,FALSE))</f>
        <v>6.5645514223194746E-3</v>
      </c>
    </row>
    <row r="251" spans="1:9" x14ac:dyDescent="0.25">
      <c r="A251" t="s">
        <v>1758</v>
      </c>
      <c r="B251" t="s">
        <v>42</v>
      </c>
      <c r="C251" t="s">
        <v>163</v>
      </c>
      <c r="D251" t="s">
        <v>314</v>
      </c>
      <c r="E251" t="s">
        <v>687</v>
      </c>
      <c r="F251" t="s">
        <v>417</v>
      </c>
      <c r="G251" s="3">
        <f t="shared" si="3"/>
        <v>0</v>
      </c>
      <c r="H251" t="s">
        <v>652</v>
      </c>
      <c r="I251" s="3">
        <f>D251/(VLOOKUP(B251,'2024 Team'!$B$2:$G$33,3,FALSE))</f>
        <v>6.4794816414686825E-3</v>
      </c>
    </row>
    <row r="252" spans="1:9" x14ac:dyDescent="0.25">
      <c r="A252" t="s">
        <v>681</v>
      </c>
      <c r="B252" t="s">
        <v>54</v>
      </c>
      <c r="C252" t="s">
        <v>163</v>
      </c>
      <c r="D252" t="s">
        <v>314</v>
      </c>
      <c r="E252" t="s">
        <v>202</v>
      </c>
      <c r="F252" t="s">
        <v>417</v>
      </c>
      <c r="G252" s="3">
        <f t="shared" si="3"/>
        <v>0</v>
      </c>
      <c r="H252" t="s">
        <v>389</v>
      </c>
      <c r="I252" s="3">
        <f>D252/(VLOOKUP(B252,'2024 Team'!$B$2:$G$33,3,FALSE))</f>
        <v>7.0754716981132077E-3</v>
      </c>
    </row>
    <row r="253" spans="1:9" x14ac:dyDescent="0.25">
      <c r="A253" t="s">
        <v>124</v>
      </c>
      <c r="B253" t="s">
        <v>56</v>
      </c>
      <c r="C253" t="s">
        <v>82</v>
      </c>
      <c r="D253" t="s">
        <v>314</v>
      </c>
      <c r="E253" t="s">
        <v>234</v>
      </c>
      <c r="F253" t="s">
        <v>417</v>
      </c>
      <c r="G253" s="3">
        <f t="shared" si="3"/>
        <v>0</v>
      </c>
      <c r="H253" t="s">
        <v>239</v>
      </c>
      <c r="I253" s="3">
        <f>D253/(VLOOKUP(B253,'2024 Team'!$B$2:$G$33,3,FALSE))</f>
        <v>8.2644628099173556E-3</v>
      </c>
    </row>
    <row r="254" spans="1:9" x14ac:dyDescent="0.25">
      <c r="A254" t="s">
        <v>120</v>
      </c>
      <c r="B254" t="s">
        <v>38</v>
      </c>
      <c r="C254" t="s">
        <v>82</v>
      </c>
      <c r="D254" t="s">
        <v>314</v>
      </c>
      <c r="E254" t="s">
        <v>417</v>
      </c>
      <c r="F254" t="s">
        <v>417</v>
      </c>
      <c r="G254" s="3">
        <f t="shared" si="3"/>
        <v>0</v>
      </c>
      <c r="H254" t="s">
        <v>504</v>
      </c>
      <c r="I254" s="3">
        <f>D254/(VLOOKUP(B254,'2024 Team'!$B$2:$G$33,3,FALSE))</f>
        <v>6.6666666666666671E-3</v>
      </c>
    </row>
    <row r="255" spans="1:9" x14ac:dyDescent="0.25">
      <c r="A255" t="s">
        <v>1564</v>
      </c>
      <c r="B255" t="s">
        <v>46</v>
      </c>
      <c r="C255" t="s">
        <v>82</v>
      </c>
      <c r="D255" t="s">
        <v>289</v>
      </c>
      <c r="E255" t="s">
        <v>211</v>
      </c>
      <c r="F255" t="s">
        <v>417</v>
      </c>
      <c r="G255" s="3">
        <f t="shared" ref="G255:G315" si="4">F255/D255</f>
        <v>0</v>
      </c>
      <c r="H255" t="s">
        <v>258</v>
      </c>
      <c r="I255" s="3">
        <f>D255/(VLOOKUP(B255,'2024 Team'!$B$2:$G$33,3,FALSE))</f>
        <v>4.464285714285714E-3</v>
      </c>
    </row>
    <row r="256" spans="1:9" x14ac:dyDescent="0.25">
      <c r="A256" t="s">
        <v>1564</v>
      </c>
      <c r="B256" t="s">
        <v>54</v>
      </c>
      <c r="C256" t="s">
        <v>82</v>
      </c>
      <c r="D256" t="s">
        <v>300</v>
      </c>
      <c r="E256" t="s">
        <v>663</v>
      </c>
      <c r="F256" t="s">
        <v>417</v>
      </c>
      <c r="G256" s="3">
        <f t="shared" si="4"/>
        <v>0</v>
      </c>
      <c r="H256" t="s">
        <v>652</v>
      </c>
      <c r="I256" s="3">
        <f>D256/(VLOOKUP(B256,'2024 Team'!$B$2:$G$33,3,FALSE))</f>
        <v>2.3584905660377358E-3</v>
      </c>
    </row>
    <row r="257" spans="1:9" x14ac:dyDescent="0.25">
      <c r="A257" t="s">
        <v>658</v>
      </c>
      <c r="B257" t="s">
        <v>18</v>
      </c>
      <c r="C257" t="s">
        <v>163</v>
      </c>
      <c r="D257" t="s">
        <v>289</v>
      </c>
      <c r="E257" t="s">
        <v>266</v>
      </c>
      <c r="F257" t="s">
        <v>417</v>
      </c>
      <c r="G257" s="3">
        <f t="shared" si="4"/>
        <v>0</v>
      </c>
      <c r="H257" t="s">
        <v>445</v>
      </c>
      <c r="I257" s="3">
        <f>D257/(VLOOKUP(B257,'2024 Team'!$B$2:$G$33,3,FALSE))</f>
        <v>4.6403712296983757E-3</v>
      </c>
    </row>
    <row r="258" spans="1:9" x14ac:dyDescent="0.25">
      <c r="A258" t="s">
        <v>658</v>
      </c>
      <c r="B258" t="s">
        <v>16</v>
      </c>
      <c r="C258" t="s">
        <v>163</v>
      </c>
      <c r="D258" t="s">
        <v>300</v>
      </c>
      <c r="E258" t="s">
        <v>417</v>
      </c>
      <c r="F258" t="s">
        <v>417</v>
      </c>
      <c r="G258" s="3">
        <f t="shared" si="4"/>
        <v>0</v>
      </c>
      <c r="H258" t="s">
        <v>504</v>
      </c>
      <c r="I258" s="3">
        <f>D258/(VLOOKUP(B258,'2024 Team'!$B$2:$G$33,3,FALSE))</f>
        <v>2.4390243902439024E-3</v>
      </c>
    </row>
    <row r="259" spans="1:9" x14ac:dyDescent="0.25">
      <c r="A259" t="s">
        <v>926</v>
      </c>
      <c r="B259" t="s">
        <v>44</v>
      </c>
      <c r="C259" t="s">
        <v>163</v>
      </c>
      <c r="D259" t="s">
        <v>289</v>
      </c>
      <c r="E259" t="s">
        <v>207</v>
      </c>
      <c r="F259" t="s">
        <v>417</v>
      </c>
      <c r="G259" s="3">
        <f t="shared" si="4"/>
        <v>0</v>
      </c>
      <c r="H259" t="s">
        <v>555</v>
      </c>
      <c r="I259" s="3">
        <f>D259/(VLOOKUP(B259,'2024 Team'!$B$2:$G$33,3,FALSE))</f>
        <v>4.4444444444444444E-3</v>
      </c>
    </row>
    <row r="260" spans="1:9" x14ac:dyDescent="0.25">
      <c r="A260" t="s">
        <v>125</v>
      </c>
      <c r="B260" t="s">
        <v>20</v>
      </c>
      <c r="C260" t="s">
        <v>82</v>
      </c>
      <c r="D260" t="s">
        <v>289</v>
      </c>
      <c r="E260" t="s">
        <v>649</v>
      </c>
      <c r="F260" t="s">
        <v>417</v>
      </c>
      <c r="G260" s="3">
        <f t="shared" si="4"/>
        <v>0</v>
      </c>
      <c r="H260" t="s">
        <v>652</v>
      </c>
      <c r="I260" s="3">
        <f>D260/(VLOOKUP(B260,'2024 Team'!$B$2:$G$33,3,FALSE))</f>
        <v>5.263157894736842E-3</v>
      </c>
    </row>
    <row r="261" spans="1:9" x14ac:dyDescent="0.25">
      <c r="A261" t="s">
        <v>187</v>
      </c>
      <c r="B261" t="s">
        <v>68</v>
      </c>
      <c r="C261" t="s">
        <v>163</v>
      </c>
      <c r="D261" t="s">
        <v>289</v>
      </c>
      <c r="E261" t="s">
        <v>300</v>
      </c>
      <c r="F261" t="s">
        <v>417</v>
      </c>
      <c r="G261" s="3">
        <f t="shared" si="4"/>
        <v>0</v>
      </c>
      <c r="H261" t="s">
        <v>565</v>
      </c>
      <c r="I261" s="3">
        <f>D261/(VLOOKUP(B261,'2024 Team'!$B$2:$G$33,3,FALSE))</f>
        <v>4.4444444444444444E-3</v>
      </c>
    </row>
    <row r="262" spans="1:9" x14ac:dyDescent="0.25">
      <c r="A262" t="s">
        <v>577</v>
      </c>
      <c r="B262" t="s">
        <v>56</v>
      </c>
      <c r="C262" t="s">
        <v>163</v>
      </c>
      <c r="D262" t="s">
        <v>289</v>
      </c>
      <c r="E262" t="s">
        <v>507</v>
      </c>
      <c r="F262" t="s">
        <v>417</v>
      </c>
      <c r="G262" s="3">
        <f t="shared" si="4"/>
        <v>0</v>
      </c>
      <c r="H262" t="s">
        <v>1466</v>
      </c>
      <c r="I262" s="3">
        <f>D262/(VLOOKUP(B262,'2024 Team'!$B$2:$G$33,3,FALSE))</f>
        <v>5.5096418732782371E-3</v>
      </c>
    </row>
    <row r="263" spans="1:9" x14ac:dyDescent="0.25">
      <c r="A263" t="s">
        <v>659</v>
      </c>
      <c r="B263" t="s">
        <v>26</v>
      </c>
      <c r="C263" t="s">
        <v>163</v>
      </c>
      <c r="D263" t="s">
        <v>289</v>
      </c>
      <c r="E263" t="s">
        <v>225</v>
      </c>
      <c r="F263" t="s">
        <v>417</v>
      </c>
      <c r="G263" s="3">
        <f t="shared" si="4"/>
        <v>0</v>
      </c>
      <c r="H263" t="s">
        <v>235</v>
      </c>
      <c r="I263" s="3">
        <f>D263/(VLOOKUP(B263,'2024 Team'!$B$2:$G$33,3,FALSE))</f>
        <v>4.3383947939262474E-3</v>
      </c>
    </row>
    <row r="264" spans="1:9" x14ac:dyDescent="0.25">
      <c r="A264" t="s">
        <v>617</v>
      </c>
      <c r="B264" t="s">
        <v>44</v>
      </c>
      <c r="C264" t="s">
        <v>82</v>
      </c>
      <c r="D264" t="s">
        <v>289</v>
      </c>
      <c r="E264" t="s">
        <v>220</v>
      </c>
      <c r="F264" t="s">
        <v>417</v>
      </c>
      <c r="G264" s="3">
        <f t="shared" si="4"/>
        <v>0</v>
      </c>
      <c r="H264" t="s">
        <v>498</v>
      </c>
      <c r="I264" s="3">
        <f>D264/(VLOOKUP(B264,'2024 Team'!$B$2:$G$33,3,FALSE))</f>
        <v>4.4444444444444444E-3</v>
      </c>
    </row>
    <row r="265" spans="1:9" x14ac:dyDescent="0.25">
      <c r="A265" t="s">
        <v>674</v>
      </c>
      <c r="B265" t="s">
        <v>48</v>
      </c>
      <c r="C265" t="s">
        <v>613</v>
      </c>
      <c r="D265" t="s">
        <v>289</v>
      </c>
      <c r="E265" t="s">
        <v>211</v>
      </c>
      <c r="F265" t="s">
        <v>300</v>
      </c>
      <c r="G265" s="3">
        <f t="shared" si="4"/>
        <v>0.5</v>
      </c>
      <c r="H265" t="s">
        <v>258</v>
      </c>
      <c r="I265" s="3">
        <f>D265/(VLOOKUP(B265,'2024 Team'!$B$2:$G$33,3,FALSE))</f>
        <v>4.3763676148796497E-3</v>
      </c>
    </row>
    <row r="266" spans="1:9" x14ac:dyDescent="0.25">
      <c r="A266" t="s">
        <v>1560</v>
      </c>
      <c r="B266" t="s">
        <v>42</v>
      </c>
      <c r="C266" t="s">
        <v>82</v>
      </c>
      <c r="D266" t="s">
        <v>289</v>
      </c>
      <c r="E266" t="s">
        <v>524</v>
      </c>
      <c r="F266" t="s">
        <v>417</v>
      </c>
      <c r="G266" s="3">
        <f t="shared" si="4"/>
        <v>0</v>
      </c>
      <c r="H266" t="s">
        <v>662</v>
      </c>
      <c r="I266" s="3">
        <f>D266/(VLOOKUP(B266,'2024 Team'!$B$2:$G$33,3,FALSE))</f>
        <v>4.3196544276457886E-3</v>
      </c>
    </row>
    <row r="267" spans="1:9" x14ac:dyDescent="0.25">
      <c r="A267" t="s">
        <v>1812</v>
      </c>
      <c r="B267" t="s">
        <v>16</v>
      </c>
      <c r="C267" t="s">
        <v>163</v>
      </c>
      <c r="D267" t="s">
        <v>289</v>
      </c>
      <c r="E267" t="s">
        <v>247</v>
      </c>
      <c r="F267" t="s">
        <v>417</v>
      </c>
      <c r="G267" s="3">
        <f t="shared" si="4"/>
        <v>0</v>
      </c>
      <c r="H267" t="s">
        <v>502</v>
      </c>
      <c r="I267" s="3">
        <f>D267/(VLOOKUP(B267,'2024 Team'!$B$2:$G$33,3,FALSE))</f>
        <v>4.8780487804878049E-3</v>
      </c>
    </row>
    <row r="268" spans="1:9" x14ac:dyDescent="0.25">
      <c r="A268" t="s">
        <v>1812</v>
      </c>
      <c r="B268" t="s">
        <v>12</v>
      </c>
      <c r="C268" t="s">
        <v>163</v>
      </c>
      <c r="D268" t="s">
        <v>417</v>
      </c>
      <c r="E268" t="s">
        <v>417</v>
      </c>
      <c r="F268" t="s">
        <v>417</v>
      </c>
      <c r="G268" s="3" t="e">
        <f t="shared" si="4"/>
        <v>#DIV/0!</v>
      </c>
      <c r="I268" s="3">
        <f>D268/(VLOOKUP(B268,'2024 Team'!$B$2:$G$33,3,FALSE))</f>
        <v>0</v>
      </c>
    </row>
    <row r="269" spans="1:9" x14ac:dyDescent="0.25">
      <c r="A269" t="s">
        <v>1812</v>
      </c>
      <c r="B269" t="s">
        <v>32</v>
      </c>
      <c r="C269" t="s">
        <v>163</v>
      </c>
      <c r="D269" t="s">
        <v>417</v>
      </c>
      <c r="E269" t="s">
        <v>417</v>
      </c>
      <c r="F269" t="s">
        <v>417</v>
      </c>
      <c r="G269" s="3" t="e">
        <f t="shared" si="4"/>
        <v>#DIV/0!</v>
      </c>
      <c r="I269" s="3">
        <f>D269/(VLOOKUP(B269,'2024 Team'!$B$2:$G$33,3,FALSE))</f>
        <v>0</v>
      </c>
    </row>
    <row r="270" spans="1:9" x14ac:dyDescent="0.25">
      <c r="A270" t="s">
        <v>709</v>
      </c>
      <c r="B270" t="s">
        <v>66</v>
      </c>
      <c r="C270" t="s">
        <v>163</v>
      </c>
      <c r="D270" t="s">
        <v>289</v>
      </c>
      <c r="E270" t="s">
        <v>266</v>
      </c>
      <c r="F270" t="s">
        <v>417</v>
      </c>
      <c r="G270" s="3">
        <f t="shared" si="4"/>
        <v>0</v>
      </c>
      <c r="H270" t="s">
        <v>445</v>
      </c>
      <c r="I270" s="3">
        <f>D270/(VLOOKUP(B270,'2024 Team'!$B$2:$G$33,3,FALSE))</f>
        <v>4.140786749482402E-3</v>
      </c>
    </row>
    <row r="271" spans="1:9" x14ac:dyDescent="0.25">
      <c r="A271" t="s">
        <v>181</v>
      </c>
      <c r="B271" t="s">
        <v>44</v>
      </c>
      <c r="C271" t="s">
        <v>163</v>
      </c>
      <c r="D271" t="s">
        <v>289</v>
      </c>
      <c r="E271" t="s">
        <v>211</v>
      </c>
      <c r="F271" t="s">
        <v>417</v>
      </c>
      <c r="G271" s="3">
        <f t="shared" si="4"/>
        <v>0</v>
      </c>
      <c r="H271" t="s">
        <v>258</v>
      </c>
      <c r="I271" s="3">
        <f>D271/(VLOOKUP(B271,'2024 Team'!$B$2:$G$33,3,FALSE))</f>
        <v>4.4444444444444444E-3</v>
      </c>
    </row>
    <row r="272" spans="1:9" x14ac:dyDescent="0.25">
      <c r="A272" t="s">
        <v>2154</v>
      </c>
      <c r="B272" t="s">
        <v>40</v>
      </c>
      <c r="C272" t="s">
        <v>163</v>
      </c>
      <c r="D272" t="s">
        <v>289</v>
      </c>
      <c r="E272" t="s">
        <v>266</v>
      </c>
      <c r="F272" t="s">
        <v>417</v>
      </c>
      <c r="G272" s="3">
        <f t="shared" si="4"/>
        <v>0</v>
      </c>
      <c r="H272" t="s">
        <v>445</v>
      </c>
      <c r="I272" s="3">
        <f>D272/(VLOOKUP(B272,'2024 Team'!$B$2:$G$33,3,FALSE))</f>
        <v>5.263157894736842E-3</v>
      </c>
    </row>
    <row r="273" spans="1:9" x14ac:dyDescent="0.25">
      <c r="A273" t="s">
        <v>1048</v>
      </c>
      <c r="B273" t="s">
        <v>70</v>
      </c>
      <c r="C273" t="s">
        <v>163</v>
      </c>
      <c r="D273" t="s">
        <v>289</v>
      </c>
      <c r="E273" t="s">
        <v>289</v>
      </c>
      <c r="F273" t="s">
        <v>417</v>
      </c>
      <c r="G273" s="3">
        <f t="shared" si="4"/>
        <v>0</v>
      </c>
      <c r="H273" t="s">
        <v>614</v>
      </c>
      <c r="I273" s="3">
        <f>D273/(VLOOKUP(B273,'2024 Team'!$B$2:$G$33,3,FALSE))</f>
        <v>3.8022813688212928E-3</v>
      </c>
    </row>
    <row r="274" spans="1:9" x14ac:dyDescent="0.25">
      <c r="A274" t="s">
        <v>654</v>
      </c>
      <c r="B274" t="s">
        <v>40</v>
      </c>
      <c r="C274" t="s">
        <v>163</v>
      </c>
      <c r="D274" t="s">
        <v>289</v>
      </c>
      <c r="E274" t="s">
        <v>510</v>
      </c>
      <c r="F274" t="s">
        <v>417</v>
      </c>
      <c r="G274" s="3">
        <f t="shared" si="4"/>
        <v>0</v>
      </c>
      <c r="H274" t="s">
        <v>1181</v>
      </c>
      <c r="I274" s="3">
        <f>D274/(VLOOKUP(B274,'2024 Team'!$B$2:$G$33,3,FALSE))</f>
        <v>5.263157894736842E-3</v>
      </c>
    </row>
    <row r="275" spans="1:9" x14ac:dyDescent="0.25">
      <c r="A275" t="s">
        <v>858</v>
      </c>
      <c r="B275" t="s">
        <v>16</v>
      </c>
      <c r="C275" t="s">
        <v>163</v>
      </c>
      <c r="D275" t="s">
        <v>289</v>
      </c>
      <c r="E275" t="s">
        <v>220</v>
      </c>
      <c r="F275" t="s">
        <v>417</v>
      </c>
      <c r="G275" s="3">
        <f t="shared" si="4"/>
        <v>0</v>
      </c>
      <c r="H275" t="s">
        <v>498</v>
      </c>
      <c r="I275" s="3">
        <f>D275/(VLOOKUP(B275,'2024 Team'!$B$2:$G$33,3,FALSE))</f>
        <v>4.8780487804878049E-3</v>
      </c>
    </row>
    <row r="276" spans="1:9" x14ac:dyDescent="0.25">
      <c r="A276" t="s">
        <v>858</v>
      </c>
      <c r="B276" t="s">
        <v>24</v>
      </c>
      <c r="C276" t="s">
        <v>163</v>
      </c>
      <c r="D276" t="s">
        <v>417</v>
      </c>
      <c r="E276" t="s">
        <v>417</v>
      </c>
      <c r="F276" t="s">
        <v>417</v>
      </c>
      <c r="G276" s="3" t="e">
        <f t="shared" si="4"/>
        <v>#DIV/0!</v>
      </c>
      <c r="I276" s="3">
        <f>D276/(VLOOKUP(B276,'2024 Team'!$B$2:$G$33,3,FALSE))</f>
        <v>0</v>
      </c>
    </row>
    <row r="277" spans="1:9" x14ac:dyDescent="0.25">
      <c r="A277" t="s">
        <v>859</v>
      </c>
      <c r="B277" t="s">
        <v>60</v>
      </c>
      <c r="C277" t="s">
        <v>163</v>
      </c>
      <c r="D277" t="s">
        <v>289</v>
      </c>
      <c r="E277" t="s">
        <v>1545</v>
      </c>
      <c r="F277" t="s">
        <v>417</v>
      </c>
      <c r="G277" s="3">
        <f t="shared" si="4"/>
        <v>0</v>
      </c>
      <c r="H277" t="s">
        <v>771</v>
      </c>
      <c r="I277" s="3">
        <f>D277/(VLOOKUP(B277,'2024 Team'!$B$2:$G$33,3,FALSE))</f>
        <v>3.7523452157598499E-3</v>
      </c>
    </row>
    <row r="278" spans="1:9" x14ac:dyDescent="0.25">
      <c r="A278" t="s">
        <v>722</v>
      </c>
      <c r="B278" t="s">
        <v>28</v>
      </c>
      <c r="C278" t="s">
        <v>163</v>
      </c>
      <c r="D278" t="s">
        <v>289</v>
      </c>
      <c r="E278" t="s">
        <v>417</v>
      </c>
      <c r="F278" t="s">
        <v>417</v>
      </c>
      <c r="G278" s="3">
        <f t="shared" si="4"/>
        <v>0</v>
      </c>
      <c r="H278" t="s">
        <v>504</v>
      </c>
      <c r="I278" s="3">
        <f>D278/(VLOOKUP(B278,'2024 Team'!$B$2:$G$33,3,FALSE))</f>
        <v>3.7453183520599251E-3</v>
      </c>
    </row>
    <row r="279" spans="1:9" x14ac:dyDescent="0.25">
      <c r="A279" t="s">
        <v>744</v>
      </c>
      <c r="B279" t="s">
        <v>14</v>
      </c>
      <c r="C279" t="s">
        <v>163</v>
      </c>
      <c r="D279" t="s">
        <v>289</v>
      </c>
      <c r="E279" t="s">
        <v>229</v>
      </c>
      <c r="F279" t="s">
        <v>417</v>
      </c>
      <c r="G279" s="3">
        <f t="shared" si="4"/>
        <v>0</v>
      </c>
      <c r="H279" t="s">
        <v>643</v>
      </c>
      <c r="I279" s="3">
        <f>D279/(VLOOKUP(B279,'2024 Team'!$B$2:$G$33,3,FALSE))</f>
        <v>4.0733197556008143E-3</v>
      </c>
    </row>
    <row r="280" spans="1:9" x14ac:dyDescent="0.25">
      <c r="A280" t="s">
        <v>976</v>
      </c>
      <c r="B280" t="s">
        <v>54</v>
      </c>
      <c r="C280" t="s">
        <v>163</v>
      </c>
      <c r="D280" t="s">
        <v>289</v>
      </c>
      <c r="E280" t="s">
        <v>535</v>
      </c>
      <c r="F280" t="s">
        <v>417</v>
      </c>
      <c r="G280" s="3">
        <f t="shared" si="4"/>
        <v>0</v>
      </c>
      <c r="H280" t="s">
        <v>717</v>
      </c>
      <c r="I280" s="3">
        <f>D280/(VLOOKUP(B280,'2024 Team'!$B$2:$G$33,3,FALSE))</f>
        <v>4.7169811320754715E-3</v>
      </c>
    </row>
    <row r="281" spans="1:9" x14ac:dyDescent="0.25">
      <c r="A281" t="s">
        <v>2155</v>
      </c>
      <c r="B281" t="s">
        <v>58</v>
      </c>
      <c r="C281" t="s">
        <v>163</v>
      </c>
      <c r="D281" t="s">
        <v>289</v>
      </c>
      <c r="E281" t="s">
        <v>247</v>
      </c>
      <c r="F281" t="s">
        <v>417</v>
      </c>
      <c r="G281" s="3">
        <f t="shared" si="4"/>
        <v>0</v>
      </c>
      <c r="H281" t="s">
        <v>502</v>
      </c>
      <c r="I281" s="3">
        <f>D281/(VLOOKUP(B281,'2024 Team'!$B$2:$G$33,3,FALSE))</f>
        <v>3.2206119162640902E-3</v>
      </c>
    </row>
    <row r="282" spans="1:9" x14ac:dyDescent="0.25">
      <c r="A282" t="s">
        <v>610</v>
      </c>
      <c r="B282" t="s">
        <v>46</v>
      </c>
      <c r="C282" t="s">
        <v>153</v>
      </c>
      <c r="D282" t="s">
        <v>289</v>
      </c>
      <c r="E282" t="s">
        <v>663</v>
      </c>
      <c r="F282" t="s">
        <v>417</v>
      </c>
      <c r="G282" s="3">
        <f t="shared" si="4"/>
        <v>0</v>
      </c>
      <c r="H282" t="s">
        <v>589</v>
      </c>
      <c r="I282" s="3">
        <f>D282/(VLOOKUP(B282,'2024 Team'!$B$2:$G$33,3,FALSE))</f>
        <v>4.464285714285714E-3</v>
      </c>
    </row>
    <row r="283" spans="1:9" x14ac:dyDescent="0.25">
      <c r="A283" t="s">
        <v>689</v>
      </c>
      <c r="B283" t="s">
        <v>28</v>
      </c>
      <c r="C283" t="s">
        <v>163</v>
      </c>
      <c r="D283" t="s">
        <v>289</v>
      </c>
      <c r="E283" t="s">
        <v>247</v>
      </c>
      <c r="F283" t="s">
        <v>417</v>
      </c>
      <c r="G283" s="3">
        <f t="shared" si="4"/>
        <v>0</v>
      </c>
      <c r="H283" t="s">
        <v>502</v>
      </c>
      <c r="I283" s="3">
        <f>D283/(VLOOKUP(B283,'2024 Team'!$B$2:$G$33,3,FALSE))</f>
        <v>3.7453183520599251E-3</v>
      </c>
    </row>
    <row r="284" spans="1:9" x14ac:dyDescent="0.25">
      <c r="A284" t="s">
        <v>759</v>
      </c>
      <c r="B284" t="s">
        <v>16</v>
      </c>
      <c r="C284" t="s">
        <v>163</v>
      </c>
      <c r="D284" t="s">
        <v>289</v>
      </c>
      <c r="E284" t="s">
        <v>207</v>
      </c>
      <c r="F284" t="s">
        <v>417</v>
      </c>
      <c r="G284" s="3">
        <f t="shared" si="4"/>
        <v>0</v>
      </c>
      <c r="H284" t="s">
        <v>555</v>
      </c>
      <c r="I284" s="3">
        <f>D284/(VLOOKUP(B284,'2024 Team'!$B$2:$G$33,3,FALSE))</f>
        <v>4.8780487804878049E-3</v>
      </c>
    </row>
    <row r="285" spans="1:9" x14ac:dyDescent="0.25">
      <c r="A285" t="s">
        <v>1586</v>
      </c>
      <c r="B285" t="s">
        <v>22</v>
      </c>
      <c r="C285" t="s">
        <v>163</v>
      </c>
      <c r="D285" t="s">
        <v>289</v>
      </c>
      <c r="E285" t="s">
        <v>651</v>
      </c>
      <c r="F285" t="s">
        <v>417</v>
      </c>
      <c r="G285" s="3">
        <f t="shared" si="4"/>
        <v>0</v>
      </c>
      <c r="H285" t="s">
        <v>768</v>
      </c>
      <c r="I285" s="3">
        <f>D285/(VLOOKUP(B285,'2024 Team'!$B$2:$G$33,3,FALSE))</f>
        <v>5.1150895140664966E-3</v>
      </c>
    </row>
    <row r="286" spans="1:9" x14ac:dyDescent="0.25">
      <c r="A286" t="s">
        <v>1690</v>
      </c>
      <c r="B286" t="s">
        <v>62</v>
      </c>
      <c r="C286" t="s">
        <v>159</v>
      </c>
      <c r="D286" t="s">
        <v>289</v>
      </c>
      <c r="E286" t="s">
        <v>229</v>
      </c>
      <c r="F286" t="s">
        <v>417</v>
      </c>
      <c r="G286" s="3">
        <f t="shared" si="4"/>
        <v>0</v>
      </c>
      <c r="H286" t="s">
        <v>643</v>
      </c>
      <c r="I286" s="3">
        <f>D286/(VLOOKUP(B286,'2024 Team'!$B$2:$G$33,3,FALSE))</f>
        <v>4.3763676148796497E-3</v>
      </c>
    </row>
    <row r="287" spans="1:9" x14ac:dyDescent="0.25">
      <c r="A287" t="s">
        <v>692</v>
      </c>
      <c r="B287" t="s">
        <v>44</v>
      </c>
      <c r="C287" t="s">
        <v>163</v>
      </c>
      <c r="D287" t="s">
        <v>289</v>
      </c>
      <c r="E287" t="s">
        <v>198</v>
      </c>
      <c r="F287" t="s">
        <v>417</v>
      </c>
      <c r="G287" s="3">
        <f t="shared" si="4"/>
        <v>0</v>
      </c>
      <c r="H287" t="s">
        <v>389</v>
      </c>
      <c r="I287" s="3">
        <f>D287/(VLOOKUP(B287,'2024 Team'!$B$2:$G$33,3,FALSE))</f>
        <v>4.4444444444444444E-3</v>
      </c>
    </row>
    <row r="288" spans="1:9" x14ac:dyDescent="0.25">
      <c r="A288" t="s">
        <v>986</v>
      </c>
      <c r="B288" t="s">
        <v>56</v>
      </c>
      <c r="C288" t="s">
        <v>163</v>
      </c>
      <c r="D288" t="s">
        <v>289</v>
      </c>
      <c r="E288" t="s">
        <v>220</v>
      </c>
      <c r="F288" t="s">
        <v>417</v>
      </c>
      <c r="G288" s="3">
        <f t="shared" si="4"/>
        <v>0</v>
      </c>
      <c r="H288" t="s">
        <v>498</v>
      </c>
      <c r="I288" s="3">
        <f>D288/(VLOOKUP(B288,'2024 Team'!$B$2:$G$33,3,FALSE))</f>
        <v>5.5096418732782371E-3</v>
      </c>
    </row>
    <row r="289" spans="1:9" x14ac:dyDescent="0.25">
      <c r="A289" t="s">
        <v>1556</v>
      </c>
      <c r="B289" t="s">
        <v>22</v>
      </c>
      <c r="C289" t="s">
        <v>82</v>
      </c>
      <c r="D289" t="s">
        <v>289</v>
      </c>
      <c r="E289" t="s">
        <v>289</v>
      </c>
      <c r="F289" t="s">
        <v>417</v>
      </c>
      <c r="G289" s="3">
        <f t="shared" si="4"/>
        <v>0</v>
      </c>
      <c r="H289" t="s">
        <v>614</v>
      </c>
      <c r="I289" s="3">
        <f>D289/(VLOOKUP(B289,'2024 Team'!$B$2:$G$33,3,FALSE))</f>
        <v>5.1150895140664966E-3</v>
      </c>
    </row>
    <row r="290" spans="1:9" x14ac:dyDescent="0.25">
      <c r="A290" t="s">
        <v>954</v>
      </c>
      <c r="B290" t="s">
        <v>52</v>
      </c>
      <c r="C290" t="s">
        <v>163</v>
      </c>
      <c r="D290" t="s">
        <v>300</v>
      </c>
      <c r="E290" t="s">
        <v>270</v>
      </c>
      <c r="F290" t="s">
        <v>417</v>
      </c>
      <c r="G290" s="3">
        <f t="shared" si="4"/>
        <v>0</v>
      </c>
      <c r="H290" t="s">
        <v>732</v>
      </c>
      <c r="I290" s="3">
        <f>D290/(VLOOKUP(B290,'2024 Team'!$B$2:$G$33,3,FALSE))</f>
        <v>2.2522522522522522E-3</v>
      </c>
    </row>
    <row r="291" spans="1:9" x14ac:dyDescent="0.25">
      <c r="A291" t="s">
        <v>2156</v>
      </c>
      <c r="B291" t="s">
        <v>46</v>
      </c>
      <c r="C291" t="s">
        <v>165</v>
      </c>
      <c r="D291" t="s">
        <v>300</v>
      </c>
      <c r="E291" t="s">
        <v>417</v>
      </c>
      <c r="F291" t="s">
        <v>417</v>
      </c>
      <c r="G291" s="3">
        <f t="shared" si="4"/>
        <v>0</v>
      </c>
      <c r="H291" t="s">
        <v>504</v>
      </c>
      <c r="I291" s="3">
        <f>D291/(VLOOKUP(B291,'2024 Team'!$B$2:$G$33,3,FALSE))</f>
        <v>2.232142857142857E-3</v>
      </c>
    </row>
    <row r="292" spans="1:9" x14ac:dyDescent="0.25">
      <c r="A292" t="s">
        <v>2157</v>
      </c>
      <c r="B292" t="s">
        <v>54</v>
      </c>
      <c r="C292" t="s">
        <v>755</v>
      </c>
      <c r="D292" t="s">
        <v>300</v>
      </c>
      <c r="E292" t="s">
        <v>211</v>
      </c>
      <c r="F292" t="s">
        <v>417</v>
      </c>
      <c r="G292" s="3">
        <f t="shared" si="4"/>
        <v>0</v>
      </c>
      <c r="H292" t="s">
        <v>662</v>
      </c>
      <c r="I292" s="3">
        <f>D292/(VLOOKUP(B292,'2024 Team'!$B$2:$G$33,3,FALSE))</f>
        <v>2.3584905660377358E-3</v>
      </c>
    </row>
    <row r="293" spans="1:9" x14ac:dyDescent="0.25">
      <c r="A293" t="s">
        <v>1014</v>
      </c>
      <c r="B293" t="s">
        <v>50</v>
      </c>
      <c r="C293" t="s">
        <v>163</v>
      </c>
      <c r="D293" t="s">
        <v>300</v>
      </c>
      <c r="E293" t="s">
        <v>247</v>
      </c>
      <c r="F293" t="s">
        <v>417</v>
      </c>
      <c r="G293" s="3">
        <f t="shared" si="4"/>
        <v>0</v>
      </c>
      <c r="H293" t="s">
        <v>389</v>
      </c>
      <c r="I293" s="3">
        <f>D293/(VLOOKUP(B293,'2024 Team'!$B$2:$G$33,3,FALSE))</f>
        <v>2.242152466367713E-3</v>
      </c>
    </row>
    <row r="294" spans="1:9" x14ac:dyDescent="0.25">
      <c r="A294" t="s">
        <v>1582</v>
      </c>
      <c r="B294" t="s">
        <v>68</v>
      </c>
      <c r="C294" t="s">
        <v>163</v>
      </c>
      <c r="D294" t="s">
        <v>300</v>
      </c>
      <c r="E294" t="s">
        <v>314</v>
      </c>
      <c r="F294" t="s">
        <v>417</v>
      </c>
      <c r="G294" s="3">
        <f t="shared" si="4"/>
        <v>0</v>
      </c>
      <c r="H294" t="s">
        <v>502</v>
      </c>
      <c r="I294" s="3">
        <f>D294/(VLOOKUP(B294,'2024 Team'!$B$2:$G$33,3,FALSE))</f>
        <v>2.2222222222222222E-3</v>
      </c>
    </row>
    <row r="295" spans="1:9" x14ac:dyDescent="0.25">
      <c r="A295" t="s">
        <v>551</v>
      </c>
      <c r="B295" t="s">
        <v>32</v>
      </c>
      <c r="C295" t="s">
        <v>159</v>
      </c>
      <c r="D295" t="s">
        <v>300</v>
      </c>
      <c r="E295" t="s">
        <v>289</v>
      </c>
      <c r="F295" t="s">
        <v>417</v>
      </c>
      <c r="G295" s="3">
        <f t="shared" si="4"/>
        <v>0</v>
      </c>
      <c r="H295" t="s">
        <v>643</v>
      </c>
      <c r="I295" s="3">
        <f>D295/(VLOOKUP(B295,'2024 Team'!$B$2:$G$33,3,FALSE))</f>
        <v>2.304147465437788E-3</v>
      </c>
    </row>
    <row r="296" spans="1:9" x14ac:dyDescent="0.25">
      <c r="A296" t="s">
        <v>819</v>
      </c>
      <c r="B296" t="s">
        <v>14</v>
      </c>
      <c r="C296" t="s">
        <v>163</v>
      </c>
      <c r="D296" t="s">
        <v>300</v>
      </c>
      <c r="E296" t="s">
        <v>270</v>
      </c>
      <c r="F296" t="s">
        <v>417</v>
      </c>
      <c r="G296" s="3">
        <f t="shared" si="4"/>
        <v>0</v>
      </c>
      <c r="H296" t="s">
        <v>732</v>
      </c>
      <c r="I296" s="3">
        <f>D296/(VLOOKUP(B296,'2024 Team'!$B$2:$G$33,3,FALSE))</f>
        <v>2.0366598778004071E-3</v>
      </c>
    </row>
    <row r="297" spans="1:9" x14ac:dyDescent="0.25">
      <c r="A297" t="s">
        <v>766</v>
      </c>
      <c r="B297" t="s">
        <v>56</v>
      </c>
      <c r="C297" t="s">
        <v>153</v>
      </c>
      <c r="D297" t="s">
        <v>300</v>
      </c>
      <c r="E297" t="s">
        <v>417</v>
      </c>
      <c r="F297" t="s">
        <v>417</v>
      </c>
      <c r="G297" s="3">
        <f t="shared" si="4"/>
        <v>0</v>
      </c>
      <c r="H297" t="s">
        <v>504</v>
      </c>
      <c r="I297" s="3">
        <f>D297/(VLOOKUP(B297,'2024 Team'!$B$2:$G$33,3,FALSE))</f>
        <v>2.7548209366391185E-3</v>
      </c>
    </row>
    <row r="298" spans="1:9" x14ac:dyDescent="0.25">
      <c r="A298" t="s">
        <v>2158</v>
      </c>
      <c r="B298" t="s">
        <v>62</v>
      </c>
      <c r="C298" t="s">
        <v>163</v>
      </c>
      <c r="D298" t="s">
        <v>300</v>
      </c>
      <c r="E298" t="s">
        <v>207</v>
      </c>
      <c r="F298" t="s">
        <v>417</v>
      </c>
      <c r="G298" s="3">
        <f t="shared" si="4"/>
        <v>0</v>
      </c>
      <c r="H298" t="s">
        <v>648</v>
      </c>
      <c r="I298" s="3">
        <f>D298/(VLOOKUP(B298,'2024 Team'!$B$2:$G$33,3,FALSE))</f>
        <v>2.1881838074398249E-3</v>
      </c>
    </row>
    <row r="299" spans="1:9" x14ac:dyDescent="0.25">
      <c r="A299" t="s">
        <v>1737</v>
      </c>
      <c r="B299" t="s">
        <v>56</v>
      </c>
      <c r="C299" t="s">
        <v>755</v>
      </c>
      <c r="D299" t="s">
        <v>300</v>
      </c>
      <c r="E299" t="s">
        <v>528</v>
      </c>
      <c r="F299" t="s">
        <v>417</v>
      </c>
      <c r="G299" s="3">
        <f t="shared" si="4"/>
        <v>0</v>
      </c>
      <c r="H299" t="s">
        <v>1479</v>
      </c>
      <c r="I299" s="3">
        <f>D299/(VLOOKUP(B299,'2024 Team'!$B$2:$G$33,3,FALSE))</f>
        <v>2.7548209366391185E-3</v>
      </c>
    </row>
    <row r="300" spans="1:9" x14ac:dyDescent="0.25">
      <c r="A300" t="s">
        <v>992</v>
      </c>
      <c r="B300" t="s">
        <v>58</v>
      </c>
      <c r="C300" t="s">
        <v>163</v>
      </c>
      <c r="D300" t="s">
        <v>300</v>
      </c>
      <c r="E300" t="s">
        <v>234</v>
      </c>
      <c r="F300" t="s">
        <v>417</v>
      </c>
      <c r="G300" s="3">
        <f t="shared" si="4"/>
        <v>0</v>
      </c>
      <c r="H300" t="s">
        <v>1466</v>
      </c>
      <c r="I300" s="3">
        <f>D300/(VLOOKUP(B300,'2024 Team'!$B$2:$G$33,3,FALSE))</f>
        <v>1.6103059581320451E-3</v>
      </c>
    </row>
    <row r="301" spans="1:9" x14ac:dyDescent="0.25">
      <c r="A301" t="s">
        <v>706</v>
      </c>
      <c r="B301" t="s">
        <v>34</v>
      </c>
      <c r="C301" t="s">
        <v>163</v>
      </c>
      <c r="D301" t="s">
        <v>300</v>
      </c>
      <c r="E301" t="s">
        <v>198</v>
      </c>
      <c r="F301" t="s">
        <v>417</v>
      </c>
      <c r="G301" s="3">
        <f t="shared" si="4"/>
        <v>0</v>
      </c>
      <c r="H301" t="s">
        <v>752</v>
      </c>
      <c r="I301" s="3">
        <f>D301/(VLOOKUP(B301,'2024 Team'!$B$2:$G$33,3,FALSE))</f>
        <v>2.0161290322580645E-3</v>
      </c>
    </row>
    <row r="302" spans="1:9" x14ac:dyDescent="0.25">
      <c r="A302" t="s">
        <v>993</v>
      </c>
      <c r="B302" t="s">
        <v>56</v>
      </c>
      <c r="C302" t="s">
        <v>163</v>
      </c>
      <c r="D302" t="s">
        <v>300</v>
      </c>
      <c r="E302" t="s">
        <v>220</v>
      </c>
      <c r="F302" t="s">
        <v>417</v>
      </c>
      <c r="G302" s="3">
        <f t="shared" si="4"/>
        <v>0</v>
      </c>
      <c r="H302" t="s">
        <v>258</v>
      </c>
      <c r="I302" s="3">
        <f>D302/(VLOOKUP(B302,'2024 Team'!$B$2:$G$33,3,FALSE))</f>
        <v>2.7548209366391185E-3</v>
      </c>
    </row>
    <row r="303" spans="1:9" x14ac:dyDescent="0.25">
      <c r="A303" t="s">
        <v>1025</v>
      </c>
      <c r="B303" t="s">
        <v>66</v>
      </c>
      <c r="C303" t="s">
        <v>163</v>
      </c>
      <c r="D303" t="s">
        <v>300</v>
      </c>
      <c r="E303" t="s">
        <v>289</v>
      </c>
      <c r="F303" t="s">
        <v>417</v>
      </c>
      <c r="G303" s="3">
        <f t="shared" si="4"/>
        <v>0</v>
      </c>
      <c r="H303" t="s">
        <v>643</v>
      </c>
      <c r="I303" s="3">
        <f>D303/(VLOOKUP(B303,'2024 Team'!$B$2:$G$33,3,FALSE))</f>
        <v>2.070393374741201E-3</v>
      </c>
    </row>
    <row r="304" spans="1:9" x14ac:dyDescent="0.25">
      <c r="A304" t="s">
        <v>909</v>
      </c>
      <c r="B304" t="s">
        <v>38</v>
      </c>
      <c r="C304" t="s">
        <v>153</v>
      </c>
      <c r="D304" t="s">
        <v>300</v>
      </c>
      <c r="E304" t="s">
        <v>651</v>
      </c>
      <c r="F304" t="s">
        <v>417</v>
      </c>
      <c r="G304" s="3">
        <f t="shared" si="4"/>
        <v>0</v>
      </c>
      <c r="H304" t="s">
        <v>743</v>
      </c>
      <c r="I304" s="3">
        <f>D304/(VLOOKUP(B304,'2024 Team'!$B$2:$G$33,3,FALSE))</f>
        <v>2.2222222222222222E-3</v>
      </c>
    </row>
    <row r="305" spans="1:9" x14ac:dyDescent="0.25">
      <c r="A305" t="s">
        <v>2159</v>
      </c>
      <c r="B305" t="s">
        <v>52</v>
      </c>
      <c r="C305" t="s">
        <v>165</v>
      </c>
      <c r="D305" t="s">
        <v>300</v>
      </c>
      <c r="E305" t="s">
        <v>266</v>
      </c>
      <c r="F305" t="s">
        <v>417</v>
      </c>
      <c r="G305" s="3">
        <f t="shared" si="4"/>
        <v>0</v>
      </c>
      <c r="H305" t="s">
        <v>779</v>
      </c>
      <c r="I305" s="3">
        <f>D305/(VLOOKUP(B305,'2024 Team'!$B$2:$G$33,3,FALSE))</f>
        <v>2.2522522522522522E-3</v>
      </c>
    </row>
    <row r="306" spans="1:9" x14ac:dyDescent="0.25">
      <c r="A306" t="s">
        <v>2160</v>
      </c>
      <c r="B306" t="s">
        <v>38</v>
      </c>
      <c r="C306" t="s">
        <v>980</v>
      </c>
      <c r="D306" t="s">
        <v>300</v>
      </c>
      <c r="E306" t="s">
        <v>300</v>
      </c>
      <c r="F306" t="s">
        <v>417</v>
      </c>
      <c r="G306" s="3">
        <f t="shared" si="4"/>
        <v>0</v>
      </c>
      <c r="H306" t="s">
        <v>614</v>
      </c>
      <c r="I306" s="3">
        <f>D306/(VLOOKUP(B306,'2024 Team'!$B$2:$G$33,3,FALSE))</f>
        <v>2.2222222222222222E-3</v>
      </c>
    </row>
    <row r="307" spans="1:9" x14ac:dyDescent="0.25">
      <c r="A307" t="s">
        <v>1551</v>
      </c>
      <c r="B307" t="s">
        <v>64</v>
      </c>
      <c r="C307" t="s">
        <v>82</v>
      </c>
      <c r="D307" t="s">
        <v>300</v>
      </c>
      <c r="E307" t="s">
        <v>289</v>
      </c>
      <c r="F307" t="s">
        <v>417</v>
      </c>
      <c r="G307" s="3">
        <f t="shared" si="4"/>
        <v>0</v>
      </c>
      <c r="H307" t="s">
        <v>643</v>
      </c>
      <c r="I307" s="3">
        <f>D307/(VLOOKUP(B307,'2024 Team'!$B$2:$G$33,3,FALSE))</f>
        <v>2.6109660574412533E-3</v>
      </c>
    </row>
    <row r="308" spans="1:9" x14ac:dyDescent="0.25">
      <c r="A308" t="s">
        <v>847</v>
      </c>
      <c r="B308" t="s">
        <v>20</v>
      </c>
      <c r="C308" t="s">
        <v>153</v>
      </c>
      <c r="D308" t="s">
        <v>300</v>
      </c>
      <c r="E308" t="s">
        <v>300</v>
      </c>
      <c r="F308" t="s">
        <v>417</v>
      </c>
      <c r="G308" s="3">
        <f t="shared" si="4"/>
        <v>0</v>
      </c>
      <c r="H308" t="s">
        <v>614</v>
      </c>
      <c r="I308" s="3">
        <f>D308/(VLOOKUP(B308,'2024 Team'!$B$2:$G$33,3,FALSE))</f>
        <v>2.631578947368421E-3</v>
      </c>
    </row>
    <row r="309" spans="1:9" x14ac:dyDescent="0.25">
      <c r="A309" t="s">
        <v>2161</v>
      </c>
      <c r="B309" t="s">
        <v>52</v>
      </c>
      <c r="C309" t="s">
        <v>163</v>
      </c>
      <c r="D309" t="s">
        <v>300</v>
      </c>
      <c r="E309" t="s">
        <v>663</v>
      </c>
      <c r="F309" t="s">
        <v>417</v>
      </c>
      <c r="G309" s="3">
        <f t="shared" si="4"/>
        <v>0</v>
      </c>
      <c r="H309" t="s">
        <v>652</v>
      </c>
      <c r="I309" s="3">
        <f>D309/(VLOOKUP(B309,'2024 Team'!$B$2:$G$33,3,FALSE))</f>
        <v>2.2522522522522522E-3</v>
      </c>
    </row>
    <row r="310" spans="1:9" x14ac:dyDescent="0.25">
      <c r="A310" t="s">
        <v>2162</v>
      </c>
      <c r="B310" t="s">
        <v>68</v>
      </c>
      <c r="C310" t="s">
        <v>163</v>
      </c>
      <c r="D310" t="s">
        <v>300</v>
      </c>
      <c r="E310" t="s">
        <v>588</v>
      </c>
      <c r="F310" t="s">
        <v>417</v>
      </c>
      <c r="G310" s="3">
        <f t="shared" si="4"/>
        <v>0</v>
      </c>
      <c r="H310" t="s">
        <v>2073</v>
      </c>
      <c r="I310" s="3">
        <f>D310/(VLOOKUP(B310,'2024 Team'!$B$2:$G$33,3,FALSE))</f>
        <v>2.2222222222222222E-3</v>
      </c>
    </row>
    <row r="311" spans="1:9" x14ac:dyDescent="0.25">
      <c r="A311" t="s">
        <v>700</v>
      </c>
      <c r="B311" t="s">
        <v>48</v>
      </c>
      <c r="C311" t="s">
        <v>163</v>
      </c>
      <c r="D311" t="s">
        <v>300</v>
      </c>
      <c r="E311" t="s">
        <v>314</v>
      </c>
      <c r="F311" t="s">
        <v>417</v>
      </c>
      <c r="G311" s="3">
        <f t="shared" si="4"/>
        <v>0</v>
      </c>
      <c r="H311" t="s">
        <v>502</v>
      </c>
      <c r="I311" s="3">
        <f>D311/(VLOOKUP(B311,'2024 Team'!$B$2:$G$33,3,FALSE))</f>
        <v>2.1881838074398249E-3</v>
      </c>
    </row>
    <row r="312" spans="1:9" x14ac:dyDescent="0.25">
      <c r="A312" t="s">
        <v>2163</v>
      </c>
      <c r="B312" t="s">
        <v>50</v>
      </c>
      <c r="C312" t="s">
        <v>647</v>
      </c>
      <c r="D312" t="s">
        <v>300</v>
      </c>
      <c r="E312" t="s">
        <v>220</v>
      </c>
      <c r="F312" t="s">
        <v>417</v>
      </c>
      <c r="G312" s="3">
        <f t="shared" si="4"/>
        <v>0</v>
      </c>
      <c r="H312" t="s">
        <v>258</v>
      </c>
      <c r="I312" s="3">
        <f>D312/(VLOOKUP(B312,'2024 Team'!$B$2:$G$33,3,FALSE))</f>
        <v>2.242152466367713E-3</v>
      </c>
    </row>
    <row r="313" spans="1:9" x14ac:dyDescent="0.25">
      <c r="A313" t="s">
        <v>777</v>
      </c>
      <c r="B313" t="s">
        <v>38</v>
      </c>
      <c r="C313" t="s">
        <v>153</v>
      </c>
      <c r="D313" t="s">
        <v>300</v>
      </c>
      <c r="E313" t="s">
        <v>300</v>
      </c>
      <c r="F313" t="s">
        <v>417</v>
      </c>
      <c r="G313" s="3">
        <f t="shared" si="4"/>
        <v>0</v>
      </c>
      <c r="H313" t="s">
        <v>614</v>
      </c>
      <c r="I313" s="3">
        <f>D313/(VLOOKUP(B313,'2024 Team'!$B$2:$G$33,3,FALSE))</f>
        <v>2.2222222222222222E-3</v>
      </c>
    </row>
    <row r="314" spans="1:9" x14ac:dyDescent="0.25">
      <c r="A314" t="s">
        <v>1653</v>
      </c>
      <c r="B314" t="s">
        <v>68</v>
      </c>
      <c r="C314" t="s">
        <v>159</v>
      </c>
      <c r="D314" t="s">
        <v>300</v>
      </c>
      <c r="E314" t="s">
        <v>289</v>
      </c>
      <c r="F314" t="s">
        <v>417</v>
      </c>
      <c r="G314" s="3">
        <f t="shared" si="4"/>
        <v>0</v>
      </c>
      <c r="H314" t="s">
        <v>643</v>
      </c>
      <c r="I314" s="3">
        <f>D314/(VLOOKUP(B314,'2024 Team'!$B$2:$G$33,3,FALSE))</f>
        <v>2.2222222222222222E-3</v>
      </c>
    </row>
    <row r="315" spans="1:9" x14ac:dyDescent="0.25">
      <c r="A315" t="s">
        <v>814</v>
      </c>
      <c r="B315" t="s">
        <v>12</v>
      </c>
      <c r="C315" t="s">
        <v>153</v>
      </c>
      <c r="D315" t="s">
        <v>300</v>
      </c>
      <c r="E315" t="s">
        <v>289</v>
      </c>
      <c r="F315" t="s">
        <v>417</v>
      </c>
      <c r="G315" s="3">
        <f t="shared" si="4"/>
        <v>0</v>
      </c>
      <c r="H315" t="s">
        <v>643</v>
      </c>
      <c r="I315" s="3">
        <f>D315/(VLOOKUP(B315,'2024 Team'!$B$2:$G$33,3,FALSE))</f>
        <v>1.8050541516245488E-3</v>
      </c>
    </row>
    <row r="316" spans="1:9" x14ac:dyDescent="0.25">
      <c r="A316" t="s">
        <v>625</v>
      </c>
      <c r="B316" t="s">
        <v>40</v>
      </c>
      <c r="C316" t="s">
        <v>159</v>
      </c>
      <c r="D316" t="s">
        <v>300</v>
      </c>
      <c r="E316" t="s">
        <v>417</v>
      </c>
      <c r="F316" t="s">
        <v>417</v>
      </c>
      <c r="G316" s="3">
        <f t="shared" ref="G316:G376" si="5">F316/D316</f>
        <v>0</v>
      </c>
      <c r="H316" t="s">
        <v>504</v>
      </c>
      <c r="I316" s="3">
        <f>D316/(VLOOKUP(B316,'2024 Team'!$B$2:$G$33,3,FALSE))</f>
        <v>2.631578947368421E-3</v>
      </c>
    </row>
    <row r="317" spans="1:9" x14ac:dyDescent="0.25">
      <c r="A317" t="s">
        <v>803</v>
      </c>
      <c r="B317" t="s">
        <v>10</v>
      </c>
      <c r="C317" t="s">
        <v>163</v>
      </c>
      <c r="D317" t="s">
        <v>300</v>
      </c>
      <c r="E317" t="s">
        <v>687</v>
      </c>
      <c r="F317" t="s">
        <v>417</v>
      </c>
      <c r="G317" s="3">
        <f t="shared" si="5"/>
        <v>0</v>
      </c>
      <c r="H317" t="s">
        <v>771</v>
      </c>
      <c r="I317" s="3">
        <f>D317/(VLOOKUP(B317,'2024 Team'!$B$2:$G$33,3,FALSE))</f>
        <v>2.0202020202020202E-3</v>
      </c>
    </row>
    <row r="318" spans="1:9" x14ac:dyDescent="0.25">
      <c r="A318" t="s">
        <v>2164</v>
      </c>
      <c r="B318" t="s">
        <v>64</v>
      </c>
      <c r="C318" t="s">
        <v>2165</v>
      </c>
      <c r="D318" t="s">
        <v>300</v>
      </c>
      <c r="E318" t="s">
        <v>289</v>
      </c>
      <c r="F318" t="s">
        <v>417</v>
      </c>
      <c r="G318" s="3">
        <f t="shared" si="5"/>
        <v>0</v>
      </c>
      <c r="H318" t="s">
        <v>643</v>
      </c>
      <c r="I318" s="3">
        <f>D318/(VLOOKUP(B318,'2024 Team'!$B$2:$G$33,3,FALSE))</f>
        <v>2.6109660574412533E-3</v>
      </c>
    </row>
    <row r="319" spans="1:9" x14ac:dyDescent="0.25">
      <c r="A319" t="s">
        <v>795</v>
      </c>
      <c r="B319" t="s">
        <v>8</v>
      </c>
      <c r="C319" t="s">
        <v>153</v>
      </c>
      <c r="D319" t="s">
        <v>300</v>
      </c>
      <c r="E319" t="s">
        <v>289</v>
      </c>
      <c r="F319" t="s">
        <v>300</v>
      </c>
      <c r="G319" s="3">
        <f t="shared" si="5"/>
        <v>1</v>
      </c>
      <c r="H319" t="s">
        <v>643</v>
      </c>
      <c r="I319" s="3">
        <f>D319/(VLOOKUP(B319,'2024 Team'!$B$2:$G$33,3,FALSE))</f>
        <v>2.1598272138228943E-3</v>
      </c>
    </row>
    <row r="320" spans="1:9" x14ac:dyDescent="0.25">
      <c r="A320" t="s">
        <v>751</v>
      </c>
      <c r="B320" t="s">
        <v>16</v>
      </c>
      <c r="C320" t="s">
        <v>163</v>
      </c>
      <c r="D320" t="s">
        <v>300</v>
      </c>
      <c r="E320" t="s">
        <v>417</v>
      </c>
      <c r="F320" t="s">
        <v>417</v>
      </c>
      <c r="G320" s="3">
        <f t="shared" si="5"/>
        <v>0</v>
      </c>
      <c r="H320" t="s">
        <v>504</v>
      </c>
      <c r="I320" s="3">
        <f>D320/(VLOOKUP(B320,'2024 Team'!$B$2:$G$33,3,FALSE))</f>
        <v>2.4390243902439024E-3</v>
      </c>
    </row>
    <row r="321" spans="1:9" x14ac:dyDescent="0.25">
      <c r="A321" t="s">
        <v>634</v>
      </c>
      <c r="B321" t="s">
        <v>22</v>
      </c>
      <c r="C321" t="s">
        <v>163</v>
      </c>
      <c r="D321" t="s">
        <v>300</v>
      </c>
      <c r="E321" t="s">
        <v>300</v>
      </c>
      <c r="F321" t="s">
        <v>417</v>
      </c>
      <c r="G321" s="3">
        <f t="shared" si="5"/>
        <v>0</v>
      </c>
      <c r="H321" t="s">
        <v>614</v>
      </c>
      <c r="I321" s="3">
        <f>D321/(VLOOKUP(B321,'2024 Team'!$B$2:$G$33,3,FALSE))</f>
        <v>2.5575447570332483E-3</v>
      </c>
    </row>
    <row r="322" spans="1:9" x14ac:dyDescent="0.25">
      <c r="A322" t="s">
        <v>1034</v>
      </c>
      <c r="B322" t="s">
        <v>68</v>
      </c>
      <c r="C322" t="s">
        <v>153</v>
      </c>
      <c r="D322" t="s">
        <v>300</v>
      </c>
      <c r="E322" t="s">
        <v>535</v>
      </c>
      <c r="F322" t="s">
        <v>417</v>
      </c>
      <c r="G322" s="3">
        <f t="shared" si="5"/>
        <v>0</v>
      </c>
      <c r="H322" t="s">
        <v>1541</v>
      </c>
      <c r="I322" s="3">
        <f>D322/(VLOOKUP(B322,'2024 Team'!$B$2:$G$33,3,FALSE))</f>
        <v>2.2222222222222222E-3</v>
      </c>
    </row>
    <row r="323" spans="1:9" x14ac:dyDescent="0.25">
      <c r="A323" t="s">
        <v>134</v>
      </c>
      <c r="B323" t="s">
        <v>38</v>
      </c>
      <c r="C323" t="s">
        <v>82</v>
      </c>
      <c r="D323" t="s">
        <v>300</v>
      </c>
      <c r="E323" t="s">
        <v>220</v>
      </c>
      <c r="F323" t="s">
        <v>417</v>
      </c>
      <c r="G323" s="3">
        <f t="shared" si="5"/>
        <v>0</v>
      </c>
      <c r="H323" t="s">
        <v>258</v>
      </c>
      <c r="I323" s="3">
        <f>D323/(VLOOKUP(B323,'2024 Team'!$B$2:$G$33,3,FALSE))</f>
        <v>2.2222222222222222E-3</v>
      </c>
    </row>
    <row r="324" spans="1:9" x14ac:dyDescent="0.25">
      <c r="A324" t="s">
        <v>177</v>
      </c>
      <c r="B324" t="s">
        <v>52</v>
      </c>
      <c r="C324" t="s">
        <v>163</v>
      </c>
      <c r="D324" t="s">
        <v>300</v>
      </c>
      <c r="E324" t="s">
        <v>207</v>
      </c>
      <c r="F324" t="s">
        <v>417</v>
      </c>
      <c r="G324" s="3">
        <f t="shared" si="5"/>
        <v>0</v>
      </c>
      <c r="H324" t="s">
        <v>648</v>
      </c>
      <c r="I324" s="3">
        <f>D324/(VLOOKUP(B324,'2024 Team'!$B$2:$G$33,3,FALSE))</f>
        <v>2.2522522522522522E-3</v>
      </c>
    </row>
    <row r="325" spans="1:9" x14ac:dyDescent="0.25">
      <c r="A325" t="s">
        <v>1027</v>
      </c>
      <c r="B325" t="s">
        <v>66</v>
      </c>
      <c r="C325" t="s">
        <v>153</v>
      </c>
      <c r="D325" t="s">
        <v>300</v>
      </c>
      <c r="E325" t="s">
        <v>651</v>
      </c>
      <c r="F325" t="s">
        <v>417</v>
      </c>
      <c r="G325" s="3">
        <f t="shared" si="5"/>
        <v>0</v>
      </c>
      <c r="H325" t="s">
        <v>743</v>
      </c>
      <c r="I325" s="3">
        <f>D325/(VLOOKUP(B325,'2024 Team'!$B$2:$G$33,3,FALSE))</f>
        <v>2.070393374741201E-3</v>
      </c>
    </row>
    <row r="326" spans="1:9" x14ac:dyDescent="0.25">
      <c r="A326" t="s">
        <v>2166</v>
      </c>
      <c r="B326" t="s">
        <v>50</v>
      </c>
      <c r="C326" t="s">
        <v>755</v>
      </c>
      <c r="D326" t="s">
        <v>300</v>
      </c>
      <c r="E326" t="s">
        <v>289</v>
      </c>
      <c r="F326" t="s">
        <v>417</v>
      </c>
      <c r="G326" s="3">
        <f t="shared" si="5"/>
        <v>0</v>
      </c>
      <c r="H326" t="s">
        <v>643</v>
      </c>
      <c r="I326" s="3">
        <f>D326/(VLOOKUP(B326,'2024 Team'!$B$2:$G$33,3,FALSE))</f>
        <v>2.242152466367713E-3</v>
      </c>
    </row>
    <row r="327" spans="1:9" x14ac:dyDescent="0.25">
      <c r="A327" t="s">
        <v>2167</v>
      </c>
      <c r="B327" t="s">
        <v>50</v>
      </c>
      <c r="C327" t="s">
        <v>163</v>
      </c>
      <c r="D327" t="s">
        <v>300</v>
      </c>
      <c r="E327" t="s">
        <v>417</v>
      </c>
      <c r="F327" t="s">
        <v>417</v>
      </c>
      <c r="G327" s="3">
        <f t="shared" si="5"/>
        <v>0</v>
      </c>
      <c r="H327" t="s">
        <v>504</v>
      </c>
      <c r="I327" s="3">
        <f>D327/(VLOOKUP(B327,'2024 Team'!$B$2:$G$33,3,FALSE))</f>
        <v>2.242152466367713E-3</v>
      </c>
    </row>
    <row r="328" spans="1:9" x14ac:dyDescent="0.25">
      <c r="A328" t="s">
        <v>1574</v>
      </c>
      <c r="B328" t="s">
        <v>28</v>
      </c>
      <c r="C328" t="s">
        <v>186</v>
      </c>
      <c r="D328" t="s">
        <v>300</v>
      </c>
      <c r="E328" t="s">
        <v>300</v>
      </c>
      <c r="F328" t="s">
        <v>417</v>
      </c>
      <c r="G328" s="3">
        <f t="shared" si="5"/>
        <v>0</v>
      </c>
      <c r="H328" t="s">
        <v>614</v>
      </c>
      <c r="I328" s="3">
        <f>D328/(VLOOKUP(B328,'2024 Team'!$B$2:$G$33,3,FALSE))</f>
        <v>1.8726591760299626E-3</v>
      </c>
    </row>
    <row r="329" spans="1:9" x14ac:dyDescent="0.25">
      <c r="A329" t="s">
        <v>657</v>
      </c>
      <c r="B329" t="s">
        <v>38</v>
      </c>
      <c r="C329" t="s">
        <v>163</v>
      </c>
      <c r="D329" t="s">
        <v>300</v>
      </c>
      <c r="E329" t="s">
        <v>300</v>
      </c>
      <c r="F329" t="s">
        <v>417</v>
      </c>
      <c r="G329" s="3">
        <f t="shared" si="5"/>
        <v>0</v>
      </c>
      <c r="H329" t="s">
        <v>614</v>
      </c>
      <c r="I329" s="3">
        <f>D329/(VLOOKUP(B329,'2024 Team'!$B$2:$G$33,3,FALSE))</f>
        <v>2.2222222222222222E-3</v>
      </c>
    </row>
    <row r="330" spans="1:9" x14ac:dyDescent="0.25">
      <c r="A330" t="s">
        <v>786</v>
      </c>
      <c r="B330" t="s">
        <v>20</v>
      </c>
      <c r="C330" t="s">
        <v>153</v>
      </c>
      <c r="D330" t="s">
        <v>300</v>
      </c>
      <c r="E330" t="s">
        <v>651</v>
      </c>
      <c r="F330" t="s">
        <v>417</v>
      </c>
      <c r="G330" s="3">
        <f t="shared" si="5"/>
        <v>0</v>
      </c>
      <c r="H330" t="s">
        <v>743</v>
      </c>
      <c r="I330" s="3">
        <f>D330/(VLOOKUP(B330,'2024 Team'!$B$2:$G$33,3,FALSE))</f>
        <v>2.631578947368421E-3</v>
      </c>
    </row>
    <row r="331" spans="1:9" x14ac:dyDescent="0.25">
      <c r="A331" t="s">
        <v>2168</v>
      </c>
      <c r="B331" t="s">
        <v>44</v>
      </c>
      <c r="C331" t="s">
        <v>159</v>
      </c>
      <c r="D331" t="s">
        <v>300</v>
      </c>
      <c r="E331" t="s">
        <v>314</v>
      </c>
      <c r="F331" t="s">
        <v>417</v>
      </c>
      <c r="G331" s="3">
        <f t="shared" si="5"/>
        <v>0</v>
      </c>
      <c r="H331" t="s">
        <v>502</v>
      </c>
      <c r="I331" s="3">
        <f>D331/(VLOOKUP(B331,'2024 Team'!$B$2:$G$33,3,FALSE))</f>
        <v>2.2222222222222222E-3</v>
      </c>
    </row>
    <row r="332" spans="1:9" x14ac:dyDescent="0.25">
      <c r="A332" t="s">
        <v>2084</v>
      </c>
      <c r="B332" t="s">
        <v>42</v>
      </c>
      <c r="C332" t="s">
        <v>165</v>
      </c>
      <c r="D332" t="s">
        <v>300</v>
      </c>
      <c r="E332" t="s">
        <v>417</v>
      </c>
      <c r="F332" t="s">
        <v>417</v>
      </c>
      <c r="G332" s="3">
        <f t="shared" si="5"/>
        <v>0</v>
      </c>
      <c r="H332" t="s">
        <v>504</v>
      </c>
      <c r="I332" s="3">
        <f>D332/(VLOOKUP(B332,'2024 Team'!$B$2:$G$33,3,FALSE))</f>
        <v>2.1598272138228943E-3</v>
      </c>
    </row>
    <row r="333" spans="1:9" x14ac:dyDescent="0.25">
      <c r="A333" t="s">
        <v>1705</v>
      </c>
      <c r="B333" t="s">
        <v>64</v>
      </c>
      <c r="C333" t="s">
        <v>163</v>
      </c>
      <c r="D333" t="s">
        <v>300</v>
      </c>
      <c r="E333" t="s">
        <v>300</v>
      </c>
      <c r="F333" t="s">
        <v>417</v>
      </c>
      <c r="G333" s="3">
        <f t="shared" si="5"/>
        <v>0</v>
      </c>
      <c r="H333" t="s">
        <v>614</v>
      </c>
      <c r="I333" s="3">
        <f>D333/(VLOOKUP(B333,'2024 Team'!$B$2:$G$33,3,FALSE))</f>
        <v>2.6109660574412533E-3</v>
      </c>
    </row>
    <row r="334" spans="1:9" x14ac:dyDescent="0.25">
      <c r="A334" t="s">
        <v>798</v>
      </c>
      <c r="B334" t="s">
        <v>32</v>
      </c>
      <c r="C334" t="s">
        <v>163</v>
      </c>
      <c r="D334" t="s">
        <v>300</v>
      </c>
      <c r="E334" t="s">
        <v>417</v>
      </c>
      <c r="F334" t="s">
        <v>417</v>
      </c>
      <c r="G334" s="3">
        <f t="shared" si="5"/>
        <v>0</v>
      </c>
      <c r="H334" t="s">
        <v>504</v>
      </c>
      <c r="I334" s="3">
        <f>D334/(VLOOKUP(B334,'2024 Team'!$B$2:$G$33,3,FALSE))</f>
        <v>2.304147465437788E-3</v>
      </c>
    </row>
    <row r="335" spans="1:9" x14ac:dyDescent="0.25">
      <c r="A335" t="s">
        <v>996</v>
      </c>
      <c r="B335" t="s">
        <v>58</v>
      </c>
      <c r="C335" t="s">
        <v>163</v>
      </c>
      <c r="D335" t="s">
        <v>300</v>
      </c>
      <c r="E335" t="s">
        <v>300</v>
      </c>
      <c r="F335" t="s">
        <v>417</v>
      </c>
      <c r="G335" s="3">
        <f t="shared" si="5"/>
        <v>0</v>
      </c>
      <c r="H335" t="s">
        <v>614</v>
      </c>
      <c r="I335" s="3">
        <f>D335/(VLOOKUP(B335,'2024 Team'!$B$2:$G$33,3,FALSE))</f>
        <v>1.6103059581320451E-3</v>
      </c>
    </row>
    <row r="336" spans="1:9" x14ac:dyDescent="0.25">
      <c r="A336" t="s">
        <v>2169</v>
      </c>
      <c r="B336" t="s">
        <v>66</v>
      </c>
      <c r="C336" t="s">
        <v>647</v>
      </c>
      <c r="D336" t="s">
        <v>300</v>
      </c>
      <c r="E336" t="s">
        <v>649</v>
      </c>
      <c r="F336" t="s">
        <v>417</v>
      </c>
      <c r="G336" s="3">
        <f t="shared" si="5"/>
        <v>0</v>
      </c>
      <c r="H336" t="s">
        <v>768</v>
      </c>
      <c r="I336" s="3">
        <f>D336/(VLOOKUP(B336,'2024 Team'!$B$2:$G$33,3,FALSE))</f>
        <v>2.070393374741201E-3</v>
      </c>
    </row>
    <row r="337" spans="1:9" x14ac:dyDescent="0.25">
      <c r="A337" t="s">
        <v>2078</v>
      </c>
      <c r="B337" t="s">
        <v>46</v>
      </c>
      <c r="C337" t="s">
        <v>82</v>
      </c>
      <c r="D337" t="s">
        <v>300</v>
      </c>
      <c r="E337" t="s">
        <v>229</v>
      </c>
      <c r="F337" t="s">
        <v>417</v>
      </c>
      <c r="G337" s="3">
        <f t="shared" si="5"/>
        <v>0</v>
      </c>
      <c r="H337" t="s">
        <v>235</v>
      </c>
      <c r="I337" s="3">
        <f>D337/(VLOOKUP(B337,'2024 Team'!$B$2:$G$33,3,FALSE))</f>
        <v>2.232142857142857E-3</v>
      </c>
    </row>
    <row r="338" spans="1:9" x14ac:dyDescent="0.25">
      <c r="A338" t="s">
        <v>854</v>
      </c>
      <c r="B338" t="s">
        <v>22</v>
      </c>
      <c r="C338" t="s">
        <v>163</v>
      </c>
      <c r="D338" t="s">
        <v>300</v>
      </c>
      <c r="E338" t="s">
        <v>588</v>
      </c>
      <c r="F338" t="s">
        <v>417</v>
      </c>
      <c r="G338" s="3">
        <f t="shared" si="5"/>
        <v>0</v>
      </c>
      <c r="H338" t="s">
        <v>2073</v>
      </c>
      <c r="I338" s="3">
        <f>D338/(VLOOKUP(B338,'2024 Team'!$B$2:$G$33,3,FALSE))</f>
        <v>2.5575447570332483E-3</v>
      </c>
    </row>
    <row r="339" spans="1:9" x14ac:dyDescent="0.25">
      <c r="A339" t="s">
        <v>1003</v>
      </c>
      <c r="B339" t="s">
        <v>14</v>
      </c>
      <c r="C339" t="s">
        <v>163</v>
      </c>
      <c r="D339" t="s">
        <v>417</v>
      </c>
      <c r="E339" t="s">
        <v>417</v>
      </c>
      <c r="F339" t="s">
        <v>417</v>
      </c>
      <c r="G339" s="3" t="e">
        <f t="shared" si="5"/>
        <v>#DIV/0!</v>
      </c>
      <c r="I339" s="3">
        <f>D339/(VLOOKUP(B339,'2024 Team'!$B$2:$G$33,3,FALSE))</f>
        <v>0</v>
      </c>
    </row>
    <row r="340" spans="1:9" x14ac:dyDescent="0.25">
      <c r="A340" t="s">
        <v>1003</v>
      </c>
      <c r="B340" t="s">
        <v>52</v>
      </c>
      <c r="C340" t="s">
        <v>163</v>
      </c>
      <c r="D340" t="s">
        <v>300</v>
      </c>
      <c r="E340" t="s">
        <v>229</v>
      </c>
      <c r="F340" t="s">
        <v>417</v>
      </c>
      <c r="G340" s="3">
        <f t="shared" si="5"/>
        <v>0</v>
      </c>
      <c r="H340" t="s">
        <v>235</v>
      </c>
      <c r="I340" s="3">
        <f>D340/(VLOOKUP(B340,'2024 Team'!$B$2:$G$33,3,FALSE))</f>
        <v>2.2522522522522522E-3</v>
      </c>
    </row>
    <row r="341" spans="1:9" x14ac:dyDescent="0.25">
      <c r="A341" t="s">
        <v>800</v>
      </c>
      <c r="B341" t="s">
        <v>8</v>
      </c>
      <c r="C341" t="s">
        <v>163</v>
      </c>
      <c r="D341" t="s">
        <v>300</v>
      </c>
      <c r="E341" t="s">
        <v>207</v>
      </c>
      <c r="F341" t="s">
        <v>417</v>
      </c>
      <c r="G341" s="3">
        <f t="shared" si="5"/>
        <v>0</v>
      </c>
      <c r="H341" t="s">
        <v>648</v>
      </c>
      <c r="I341" s="3">
        <f>D341/(VLOOKUP(B341,'2024 Team'!$B$2:$G$33,3,FALSE))</f>
        <v>2.1598272138228943E-3</v>
      </c>
    </row>
    <row r="342" spans="1:9" x14ac:dyDescent="0.25">
      <c r="A342" t="s">
        <v>667</v>
      </c>
      <c r="B342" t="s">
        <v>70</v>
      </c>
      <c r="C342" t="s">
        <v>163</v>
      </c>
      <c r="D342" t="s">
        <v>300</v>
      </c>
      <c r="E342" t="s">
        <v>225</v>
      </c>
      <c r="F342" t="s">
        <v>417</v>
      </c>
      <c r="G342" s="3">
        <f t="shared" si="5"/>
        <v>0</v>
      </c>
      <c r="H342" t="s">
        <v>531</v>
      </c>
      <c r="I342" s="3">
        <f>D342/(VLOOKUP(B342,'2024 Team'!$B$2:$G$33,3,FALSE))</f>
        <v>1.9011406844106464E-3</v>
      </c>
    </row>
    <row r="343" spans="1:9" x14ac:dyDescent="0.25">
      <c r="A343" t="s">
        <v>924</v>
      </c>
      <c r="B343" t="s">
        <v>40</v>
      </c>
      <c r="C343" t="s">
        <v>163</v>
      </c>
      <c r="D343" t="s">
        <v>417</v>
      </c>
      <c r="E343" t="s">
        <v>417</v>
      </c>
      <c r="F343" t="s">
        <v>417</v>
      </c>
      <c r="G343" s="3" t="e">
        <f t="shared" si="5"/>
        <v>#DIV/0!</v>
      </c>
      <c r="I343" s="3">
        <f>D343/(VLOOKUP(B343,'2024 Team'!$B$2:$G$33,3,FALSE))</f>
        <v>0</v>
      </c>
    </row>
    <row r="344" spans="1:9" x14ac:dyDescent="0.25">
      <c r="A344" t="s">
        <v>924</v>
      </c>
      <c r="B344" t="s">
        <v>56</v>
      </c>
      <c r="C344" t="s">
        <v>163</v>
      </c>
      <c r="D344" t="s">
        <v>417</v>
      </c>
      <c r="E344" t="s">
        <v>417</v>
      </c>
      <c r="F344" t="s">
        <v>417</v>
      </c>
      <c r="G344" s="3" t="e">
        <f t="shared" si="5"/>
        <v>#DIV/0!</v>
      </c>
      <c r="I344" s="3">
        <f>D344/(VLOOKUP(B344,'2024 Team'!$B$2:$G$33,3,FALSE))</f>
        <v>0</v>
      </c>
    </row>
    <row r="345" spans="1:9" x14ac:dyDescent="0.25">
      <c r="A345" t="s">
        <v>863</v>
      </c>
      <c r="B345" t="s">
        <v>26</v>
      </c>
      <c r="C345" t="s">
        <v>153</v>
      </c>
      <c r="D345" t="s">
        <v>417</v>
      </c>
      <c r="E345" t="s">
        <v>417</v>
      </c>
      <c r="F345" t="s">
        <v>417</v>
      </c>
      <c r="G345" s="3" t="e">
        <f t="shared" si="5"/>
        <v>#DIV/0!</v>
      </c>
      <c r="I345" s="3">
        <f>D345/(VLOOKUP(B345,'2024 Team'!$B$2:$G$33,3,FALSE))</f>
        <v>0</v>
      </c>
    </row>
    <row r="346" spans="1:9" x14ac:dyDescent="0.25">
      <c r="A346" t="s">
        <v>1770</v>
      </c>
      <c r="B346" t="s">
        <v>12</v>
      </c>
      <c r="C346" t="s">
        <v>163</v>
      </c>
      <c r="D346" t="s">
        <v>417</v>
      </c>
      <c r="E346" t="s">
        <v>417</v>
      </c>
      <c r="F346" t="s">
        <v>417</v>
      </c>
      <c r="G346" s="3" t="e">
        <f t="shared" si="5"/>
        <v>#DIV/0!</v>
      </c>
      <c r="I346" s="3">
        <f>D346/(VLOOKUP(B346,'2024 Team'!$B$2:$G$33,3,FALSE))</f>
        <v>0</v>
      </c>
    </row>
    <row r="347" spans="1:9" x14ac:dyDescent="0.25">
      <c r="A347" t="s">
        <v>1771</v>
      </c>
      <c r="B347" t="s">
        <v>62</v>
      </c>
      <c r="C347" t="s">
        <v>163</v>
      </c>
      <c r="D347" t="s">
        <v>417</v>
      </c>
      <c r="E347" t="s">
        <v>417</v>
      </c>
      <c r="F347" t="s">
        <v>417</v>
      </c>
      <c r="G347" s="3" t="e">
        <f t="shared" si="5"/>
        <v>#DIV/0!</v>
      </c>
      <c r="I347" s="3">
        <f>D347/(VLOOKUP(B347,'2024 Team'!$B$2:$G$33,3,FALSE))</f>
        <v>0</v>
      </c>
    </row>
    <row r="348" spans="1:9" x14ac:dyDescent="0.25">
      <c r="A348" t="s">
        <v>1772</v>
      </c>
      <c r="B348" t="s">
        <v>22</v>
      </c>
      <c r="C348" t="s">
        <v>153</v>
      </c>
      <c r="D348" t="s">
        <v>417</v>
      </c>
      <c r="E348" t="s">
        <v>417</v>
      </c>
      <c r="F348" t="s">
        <v>417</v>
      </c>
      <c r="G348" s="3" t="e">
        <f t="shared" si="5"/>
        <v>#DIV/0!</v>
      </c>
      <c r="I348" s="3">
        <f>D348/(VLOOKUP(B348,'2024 Team'!$B$2:$G$33,3,FALSE))</f>
        <v>0</v>
      </c>
    </row>
    <row r="349" spans="1:9" x14ac:dyDescent="0.25">
      <c r="A349" t="s">
        <v>892</v>
      </c>
      <c r="B349" t="s">
        <v>34</v>
      </c>
      <c r="C349" t="s">
        <v>153</v>
      </c>
      <c r="D349" t="s">
        <v>417</v>
      </c>
      <c r="E349" t="s">
        <v>417</v>
      </c>
      <c r="F349" t="s">
        <v>417</v>
      </c>
      <c r="G349" s="3" t="e">
        <f t="shared" si="5"/>
        <v>#DIV/0!</v>
      </c>
      <c r="I349" s="3">
        <f>D349/(VLOOKUP(B349,'2024 Team'!$B$2:$G$33,3,FALSE))</f>
        <v>0</v>
      </c>
    </row>
    <row r="350" spans="1:9" x14ac:dyDescent="0.25">
      <c r="A350" t="s">
        <v>2170</v>
      </c>
      <c r="B350" t="s">
        <v>20</v>
      </c>
      <c r="C350" t="s">
        <v>153</v>
      </c>
      <c r="D350" t="s">
        <v>417</v>
      </c>
      <c r="E350" t="s">
        <v>417</v>
      </c>
      <c r="F350" t="s">
        <v>417</v>
      </c>
      <c r="G350" s="3" t="e">
        <f t="shared" si="5"/>
        <v>#DIV/0!</v>
      </c>
      <c r="I350" s="3">
        <f>D350/(VLOOKUP(B350,'2024 Team'!$B$2:$G$33,3,FALSE))</f>
        <v>0</v>
      </c>
    </row>
    <row r="351" spans="1:9" x14ac:dyDescent="0.25">
      <c r="A351" t="s">
        <v>925</v>
      </c>
      <c r="B351" t="s">
        <v>44</v>
      </c>
      <c r="C351" t="s">
        <v>153</v>
      </c>
      <c r="D351" t="s">
        <v>417</v>
      </c>
      <c r="E351" t="s">
        <v>417</v>
      </c>
      <c r="F351" t="s">
        <v>417</v>
      </c>
      <c r="G351" s="3" t="e">
        <f t="shared" si="5"/>
        <v>#DIV/0!</v>
      </c>
      <c r="I351" s="3">
        <f>D351/(VLOOKUP(B351,'2024 Team'!$B$2:$G$33,3,FALSE))</f>
        <v>0</v>
      </c>
    </row>
    <row r="352" spans="1:9" x14ac:dyDescent="0.25">
      <c r="A352" t="s">
        <v>916</v>
      </c>
      <c r="B352" t="s">
        <v>18</v>
      </c>
      <c r="C352" t="s">
        <v>163</v>
      </c>
      <c r="D352" t="s">
        <v>417</v>
      </c>
      <c r="E352" t="s">
        <v>417</v>
      </c>
      <c r="F352" t="s">
        <v>417</v>
      </c>
      <c r="G352" s="3" t="e">
        <f t="shared" si="5"/>
        <v>#DIV/0!</v>
      </c>
      <c r="I352" s="3">
        <f>D352/(VLOOKUP(B352,'2024 Team'!$B$2:$G$33,3,FALSE))</f>
        <v>0</v>
      </c>
    </row>
    <row r="353" spans="1:9" x14ac:dyDescent="0.25">
      <c r="A353" t="s">
        <v>999</v>
      </c>
      <c r="B353" t="s">
        <v>60</v>
      </c>
      <c r="C353" t="s">
        <v>163</v>
      </c>
      <c r="D353" t="s">
        <v>417</v>
      </c>
      <c r="E353" t="s">
        <v>417</v>
      </c>
      <c r="F353" t="s">
        <v>417</v>
      </c>
      <c r="G353" s="3" t="e">
        <f t="shared" si="5"/>
        <v>#DIV/0!</v>
      </c>
      <c r="I353" s="3">
        <f>D353/(VLOOKUP(B353,'2024 Team'!$B$2:$G$33,3,FALSE))</f>
        <v>0</v>
      </c>
    </row>
    <row r="354" spans="1:9" x14ac:dyDescent="0.25">
      <c r="A354" t="s">
        <v>931</v>
      </c>
      <c r="B354" t="s">
        <v>40</v>
      </c>
      <c r="C354" t="s">
        <v>163</v>
      </c>
      <c r="D354" t="s">
        <v>417</v>
      </c>
      <c r="E354" t="s">
        <v>417</v>
      </c>
      <c r="F354" t="s">
        <v>417</v>
      </c>
      <c r="G354" s="3" t="e">
        <f t="shared" si="5"/>
        <v>#DIV/0!</v>
      </c>
      <c r="I354" s="3">
        <f>D354/(VLOOKUP(B354,'2024 Team'!$B$2:$G$33,3,FALSE))</f>
        <v>0</v>
      </c>
    </row>
    <row r="355" spans="1:9" x14ac:dyDescent="0.25">
      <c r="A355" t="s">
        <v>2171</v>
      </c>
      <c r="B355" t="s">
        <v>50</v>
      </c>
      <c r="C355" t="s">
        <v>163</v>
      </c>
      <c r="D355" t="s">
        <v>417</v>
      </c>
      <c r="E355" t="s">
        <v>417</v>
      </c>
      <c r="F355" t="s">
        <v>417</v>
      </c>
      <c r="G355" s="3" t="e">
        <f t="shared" si="5"/>
        <v>#DIV/0!</v>
      </c>
      <c r="I355" s="3">
        <f>D355/(VLOOKUP(B355,'2024 Team'!$B$2:$G$33,3,FALSE))</f>
        <v>0</v>
      </c>
    </row>
    <row r="356" spans="1:9" x14ac:dyDescent="0.25">
      <c r="A356" t="s">
        <v>585</v>
      </c>
      <c r="B356" t="s">
        <v>64</v>
      </c>
      <c r="C356" t="s">
        <v>153</v>
      </c>
      <c r="D356" t="s">
        <v>417</v>
      </c>
      <c r="E356" t="s">
        <v>417</v>
      </c>
      <c r="F356" t="s">
        <v>417</v>
      </c>
      <c r="G356" s="3" t="e">
        <f t="shared" si="5"/>
        <v>#DIV/0!</v>
      </c>
      <c r="I356" s="3">
        <f>D356/(VLOOKUP(B356,'2024 Team'!$B$2:$G$33,3,FALSE))</f>
        <v>0</v>
      </c>
    </row>
    <row r="357" spans="1:9" x14ac:dyDescent="0.25">
      <c r="A357" t="s">
        <v>812</v>
      </c>
      <c r="B357" t="s">
        <v>12</v>
      </c>
      <c r="C357" t="s">
        <v>163</v>
      </c>
      <c r="D357" t="s">
        <v>417</v>
      </c>
      <c r="E357" t="s">
        <v>417</v>
      </c>
      <c r="F357" t="s">
        <v>417</v>
      </c>
      <c r="G357" s="3" t="e">
        <f t="shared" si="5"/>
        <v>#DIV/0!</v>
      </c>
      <c r="I357" s="3">
        <f>D357/(VLOOKUP(B357,'2024 Team'!$B$2:$G$33,3,FALSE))</f>
        <v>0</v>
      </c>
    </row>
    <row r="358" spans="1:9" x14ac:dyDescent="0.25">
      <c r="A358" t="s">
        <v>850</v>
      </c>
      <c r="B358" t="s">
        <v>22</v>
      </c>
      <c r="C358" t="s">
        <v>153</v>
      </c>
      <c r="D358" t="s">
        <v>417</v>
      </c>
      <c r="E358" t="s">
        <v>417</v>
      </c>
      <c r="F358" t="s">
        <v>417</v>
      </c>
      <c r="G358" s="3" t="e">
        <f t="shared" si="5"/>
        <v>#DIV/0!</v>
      </c>
      <c r="I358" s="3">
        <f>D358/(VLOOKUP(B358,'2024 Team'!$B$2:$G$33,3,FALSE))</f>
        <v>0</v>
      </c>
    </row>
    <row r="359" spans="1:9" x14ac:dyDescent="0.25">
      <c r="A359" t="s">
        <v>1041</v>
      </c>
      <c r="B359" t="s">
        <v>70</v>
      </c>
      <c r="C359" t="s">
        <v>153</v>
      </c>
      <c r="D359" t="s">
        <v>417</v>
      </c>
      <c r="E359" t="s">
        <v>417</v>
      </c>
      <c r="F359" t="s">
        <v>417</v>
      </c>
      <c r="G359" s="3" t="e">
        <f t="shared" si="5"/>
        <v>#DIV/0!</v>
      </c>
      <c r="I359" s="3">
        <f>D359/(VLOOKUP(B359,'2024 Team'!$B$2:$G$33,3,FALSE))</f>
        <v>0</v>
      </c>
    </row>
    <row r="360" spans="1:9" x14ac:dyDescent="0.25">
      <c r="A360" t="s">
        <v>741</v>
      </c>
      <c r="B360" t="s">
        <v>30</v>
      </c>
      <c r="C360" t="s">
        <v>613</v>
      </c>
      <c r="D360" t="s">
        <v>417</v>
      </c>
      <c r="E360" t="s">
        <v>417</v>
      </c>
      <c r="F360" t="s">
        <v>417</v>
      </c>
      <c r="G360" s="3" t="e">
        <f t="shared" si="5"/>
        <v>#DIV/0!</v>
      </c>
      <c r="I360" s="3">
        <f>D360/(VLOOKUP(B360,'2024 Team'!$B$2:$G$33,3,FALSE))</f>
        <v>0</v>
      </c>
    </row>
    <row r="361" spans="1:9" x14ac:dyDescent="0.25">
      <c r="A361" t="s">
        <v>741</v>
      </c>
      <c r="B361" t="s">
        <v>32</v>
      </c>
      <c r="C361" t="s">
        <v>613</v>
      </c>
      <c r="D361" t="s">
        <v>417</v>
      </c>
      <c r="E361" t="s">
        <v>417</v>
      </c>
      <c r="F361" t="s">
        <v>417</v>
      </c>
      <c r="G361" s="3" t="e">
        <f t="shared" si="5"/>
        <v>#DIV/0!</v>
      </c>
      <c r="I361" s="3">
        <f>D361/(VLOOKUP(B361,'2024 Team'!$B$2:$G$33,3,FALSE))</f>
        <v>0</v>
      </c>
    </row>
    <row r="362" spans="1:9" x14ac:dyDescent="0.25">
      <c r="A362" t="s">
        <v>1774</v>
      </c>
      <c r="B362" t="s">
        <v>46</v>
      </c>
      <c r="C362" t="s">
        <v>163</v>
      </c>
      <c r="D362" t="s">
        <v>417</v>
      </c>
      <c r="E362" t="s">
        <v>417</v>
      </c>
      <c r="F362" t="s">
        <v>417</v>
      </c>
      <c r="G362" s="3" t="e">
        <f t="shared" si="5"/>
        <v>#DIV/0!</v>
      </c>
      <c r="I362" s="3">
        <f>D362/(VLOOKUP(B362,'2024 Team'!$B$2:$G$33,3,FALSE))</f>
        <v>0</v>
      </c>
    </row>
    <row r="363" spans="1:9" x14ac:dyDescent="0.25">
      <c r="A363" t="s">
        <v>1776</v>
      </c>
      <c r="B363" t="s">
        <v>22</v>
      </c>
      <c r="C363" t="s">
        <v>163</v>
      </c>
      <c r="D363" t="s">
        <v>417</v>
      </c>
      <c r="E363" t="s">
        <v>417</v>
      </c>
      <c r="F363" t="s">
        <v>417</v>
      </c>
      <c r="G363" s="3" t="e">
        <f t="shared" si="5"/>
        <v>#DIV/0!</v>
      </c>
      <c r="I363" s="3">
        <f>D363/(VLOOKUP(B363,'2024 Team'!$B$2:$G$33,3,FALSE))</f>
        <v>0</v>
      </c>
    </row>
    <row r="364" spans="1:9" x14ac:dyDescent="0.25">
      <c r="A364" t="s">
        <v>2172</v>
      </c>
      <c r="B364" t="s">
        <v>50</v>
      </c>
      <c r="C364" t="s">
        <v>153</v>
      </c>
      <c r="D364" t="s">
        <v>417</v>
      </c>
      <c r="E364" t="s">
        <v>417</v>
      </c>
      <c r="F364" t="s">
        <v>417</v>
      </c>
      <c r="G364" s="3" t="e">
        <f t="shared" si="5"/>
        <v>#DIV/0!</v>
      </c>
      <c r="I364" s="3">
        <f>D364/(VLOOKUP(B364,'2024 Team'!$B$2:$G$33,3,FALSE))</f>
        <v>0</v>
      </c>
    </row>
    <row r="365" spans="1:9" x14ac:dyDescent="0.25">
      <c r="A365" t="s">
        <v>955</v>
      </c>
      <c r="B365" t="s">
        <v>62</v>
      </c>
      <c r="C365" t="s">
        <v>163</v>
      </c>
      <c r="D365" t="s">
        <v>417</v>
      </c>
      <c r="E365" t="s">
        <v>417</v>
      </c>
      <c r="F365" t="s">
        <v>417</v>
      </c>
      <c r="G365" s="3" t="e">
        <f t="shared" si="5"/>
        <v>#DIV/0!</v>
      </c>
      <c r="I365" s="3">
        <f>D365/(VLOOKUP(B365,'2024 Team'!$B$2:$G$33,3,FALSE))</f>
        <v>0</v>
      </c>
    </row>
    <row r="366" spans="1:9" x14ac:dyDescent="0.25">
      <c r="A366" t="s">
        <v>969</v>
      </c>
      <c r="B366" t="s">
        <v>54</v>
      </c>
      <c r="C366" t="s">
        <v>153</v>
      </c>
      <c r="D366" t="s">
        <v>417</v>
      </c>
      <c r="E366" t="s">
        <v>417</v>
      </c>
      <c r="F366" t="s">
        <v>417</v>
      </c>
      <c r="G366" s="3" t="e">
        <f t="shared" si="5"/>
        <v>#DIV/0!</v>
      </c>
      <c r="I366" s="3">
        <f>D366/(VLOOKUP(B366,'2024 Team'!$B$2:$G$33,3,FALSE))</f>
        <v>0</v>
      </c>
    </row>
    <row r="367" spans="1:9" x14ac:dyDescent="0.25">
      <c r="A367" t="s">
        <v>885</v>
      </c>
      <c r="B367" t="s">
        <v>46</v>
      </c>
      <c r="C367" t="s">
        <v>163</v>
      </c>
      <c r="D367" t="s">
        <v>417</v>
      </c>
      <c r="E367" t="s">
        <v>417</v>
      </c>
      <c r="F367" t="s">
        <v>417</v>
      </c>
      <c r="G367" s="3" t="e">
        <f t="shared" si="5"/>
        <v>#DIV/0!</v>
      </c>
      <c r="I367" s="3">
        <f>D367/(VLOOKUP(B367,'2024 Team'!$B$2:$G$33,3,FALSE))</f>
        <v>0</v>
      </c>
    </row>
    <row r="368" spans="1:9" x14ac:dyDescent="0.25">
      <c r="A368" t="s">
        <v>2173</v>
      </c>
      <c r="B368" t="s">
        <v>10</v>
      </c>
      <c r="C368" t="s">
        <v>163</v>
      </c>
      <c r="D368" t="s">
        <v>417</v>
      </c>
      <c r="E368" t="s">
        <v>417</v>
      </c>
      <c r="F368" t="s">
        <v>417</v>
      </c>
      <c r="G368" s="3" t="e">
        <f t="shared" si="5"/>
        <v>#DIV/0!</v>
      </c>
      <c r="I368" s="3">
        <f>D368/(VLOOKUP(B368,'2024 Team'!$B$2:$G$33,3,FALSE))</f>
        <v>0</v>
      </c>
    </row>
    <row r="369" spans="1:9" x14ac:dyDescent="0.25">
      <c r="A369" t="s">
        <v>1007</v>
      </c>
      <c r="B369" t="s">
        <v>64</v>
      </c>
      <c r="C369" t="s">
        <v>163</v>
      </c>
      <c r="D369" t="s">
        <v>417</v>
      </c>
      <c r="E369" t="s">
        <v>417</v>
      </c>
      <c r="F369" t="s">
        <v>417</v>
      </c>
      <c r="G369" s="3" t="e">
        <f t="shared" si="5"/>
        <v>#DIV/0!</v>
      </c>
      <c r="I369" s="3">
        <f>D369/(VLOOKUP(B369,'2024 Team'!$B$2:$G$33,3,FALSE))</f>
        <v>0</v>
      </c>
    </row>
    <row r="370" spans="1:9" x14ac:dyDescent="0.25">
      <c r="A370" t="s">
        <v>963</v>
      </c>
      <c r="B370" t="s">
        <v>50</v>
      </c>
      <c r="C370" t="s">
        <v>163</v>
      </c>
      <c r="D370" t="s">
        <v>417</v>
      </c>
      <c r="E370" t="s">
        <v>417</v>
      </c>
      <c r="F370" t="s">
        <v>417</v>
      </c>
      <c r="G370" s="3" t="e">
        <f t="shared" si="5"/>
        <v>#DIV/0!</v>
      </c>
      <c r="I370" s="3">
        <f>D370/(VLOOKUP(B370,'2024 Team'!$B$2:$G$33,3,FALSE))</f>
        <v>0</v>
      </c>
    </row>
    <row r="371" spans="1:9" x14ac:dyDescent="0.25">
      <c r="A371" t="s">
        <v>2174</v>
      </c>
      <c r="B371" t="s">
        <v>62</v>
      </c>
      <c r="C371" t="s">
        <v>857</v>
      </c>
      <c r="D371" t="s">
        <v>417</v>
      </c>
      <c r="E371" t="s">
        <v>417</v>
      </c>
      <c r="F371" t="s">
        <v>417</v>
      </c>
      <c r="G371" s="3" t="e">
        <f t="shared" si="5"/>
        <v>#DIV/0!</v>
      </c>
      <c r="I371" s="3">
        <f>D371/(VLOOKUP(B371,'2024 Team'!$B$2:$G$33,3,FALSE))</f>
        <v>0</v>
      </c>
    </row>
    <row r="372" spans="1:9" x14ac:dyDescent="0.25">
      <c r="A372" t="s">
        <v>789</v>
      </c>
      <c r="B372" t="s">
        <v>24</v>
      </c>
      <c r="C372" t="s">
        <v>163</v>
      </c>
      <c r="D372" t="s">
        <v>417</v>
      </c>
      <c r="E372" t="s">
        <v>417</v>
      </c>
      <c r="F372" t="s">
        <v>417</v>
      </c>
      <c r="G372" s="3" t="e">
        <f t="shared" si="5"/>
        <v>#DIV/0!</v>
      </c>
      <c r="I372" s="3">
        <f>D372/(VLOOKUP(B372,'2024 Team'!$B$2:$G$33,3,FALSE))</f>
        <v>0</v>
      </c>
    </row>
    <row r="373" spans="1:9" x14ac:dyDescent="0.25">
      <c r="A373" t="s">
        <v>988</v>
      </c>
      <c r="B373" t="s">
        <v>58</v>
      </c>
      <c r="C373" t="s">
        <v>163</v>
      </c>
      <c r="D373" t="s">
        <v>417</v>
      </c>
      <c r="E373" t="s">
        <v>417</v>
      </c>
      <c r="F373" t="s">
        <v>417</v>
      </c>
      <c r="G373" s="3" t="e">
        <f t="shared" si="5"/>
        <v>#DIV/0!</v>
      </c>
      <c r="I373" s="3">
        <f>D373/(VLOOKUP(B373,'2024 Team'!$B$2:$G$33,3,FALSE))</f>
        <v>0</v>
      </c>
    </row>
    <row r="374" spans="1:9" x14ac:dyDescent="0.25">
      <c r="A374" t="s">
        <v>907</v>
      </c>
      <c r="B374" t="s">
        <v>38</v>
      </c>
      <c r="C374" t="s">
        <v>163</v>
      </c>
      <c r="D374" t="s">
        <v>417</v>
      </c>
      <c r="E374" t="s">
        <v>417</v>
      </c>
      <c r="F374" t="s">
        <v>417</v>
      </c>
      <c r="G374" s="3" t="e">
        <f t="shared" si="5"/>
        <v>#DIV/0!</v>
      </c>
      <c r="I374" s="3">
        <f>D374/(VLOOKUP(B374,'2024 Team'!$B$2:$G$33,3,FALSE))</f>
        <v>0</v>
      </c>
    </row>
    <row r="375" spans="1:9" x14ac:dyDescent="0.25">
      <c r="A375" t="s">
        <v>1042</v>
      </c>
      <c r="B375" t="s">
        <v>70</v>
      </c>
      <c r="C375" t="s">
        <v>163</v>
      </c>
      <c r="D375" t="s">
        <v>417</v>
      </c>
      <c r="E375" t="s">
        <v>417</v>
      </c>
      <c r="F375" t="s">
        <v>417</v>
      </c>
      <c r="G375" s="3" t="e">
        <f t="shared" si="5"/>
        <v>#DIV/0!</v>
      </c>
      <c r="I375" s="3">
        <f>D375/(VLOOKUP(B375,'2024 Team'!$B$2:$G$33,3,FALSE))</f>
        <v>0</v>
      </c>
    </row>
    <row r="376" spans="1:9" x14ac:dyDescent="0.25">
      <c r="A376" t="s">
        <v>790</v>
      </c>
      <c r="B376" t="s">
        <v>64</v>
      </c>
      <c r="C376" t="s">
        <v>153</v>
      </c>
      <c r="D376" t="s">
        <v>417</v>
      </c>
      <c r="E376" t="s">
        <v>417</v>
      </c>
      <c r="F376" t="s">
        <v>417</v>
      </c>
      <c r="G376" s="3" t="e">
        <f t="shared" si="5"/>
        <v>#DIV/0!</v>
      </c>
      <c r="I376" s="3">
        <f>D376/(VLOOKUP(B376,'2024 Team'!$B$2:$G$33,3,FALSE))</f>
        <v>0</v>
      </c>
    </row>
    <row r="377" spans="1:9" x14ac:dyDescent="0.25">
      <c r="A377" t="s">
        <v>886</v>
      </c>
      <c r="B377" t="s">
        <v>40</v>
      </c>
      <c r="C377" t="s">
        <v>153</v>
      </c>
      <c r="D377" t="s">
        <v>417</v>
      </c>
      <c r="E377" t="s">
        <v>417</v>
      </c>
      <c r="F377" t="s">
        <v>417</v>
      </c>
      <c r="G377" s="3" t="e">
        <f t="shared" ref="G377:G439" si="6">F377/D377</f>
        <v>#DIV/0!</v>
      </c>
      <c r="I377" s="3">
        <f>D377/(VLOOKUP(B377,'2024 Team'!$B$2:$G$33,3,FALSE))</f>
        <v>0</v>
      </c>
    </row>
    <row r="378" spans="1:9" x14ac:dyDescent="0.25">
      <c r="A378" t="s">
        <v>2175</v>
      </c>
      <c r="B378" t="s">
        <v>20</v>
      </c>
      <c r="C378" t="s">
        <v>163</v>
      </c>
      <c r="D378" t="s">
        <v>417</v>
      </c>
      <c r="E378" t="s">
        <v>417</v>
      </c>
      <c r="F378" t="s">
        <v>417</v>
      </c>
      <c r="G378" s="3" t="e">
        <f t="shared" si="6"/>
        <v>#DIV/0!</v>
      </c>
      <c r="I378" s="3">
        <f>D378/(VLOOKUP(B378,'2024 Team'!$B$2:$G$33,3,FALSE))</f>
        <v>0</v>
      </c>
    </row>
    <row r="379" spans="1:9" x14ac:dyDescent="0.25">
      <c r="A379" t="s">
        <v>989</v>
      </c>
      <c r="B379" t="s">
        <v>58</v>
      </c>
      <c r="C379" t="s">
        <v>153</v>
      </c>
      <c r="D379" t="s">
        <v>417</v>
      </c>
      <c r="E379" t="s">
        <v>417</v>
      </c>
      <c r="F379" t="s">
        <v>417</v>
      </c>
      <c r="G379" s="3" t="e">
        <f t="shared" si="6"/>
        <v>#DIV/0!</v>
      </c>
      <c r="I379" s="3">
        <f>D379/(VLOOKUP(B379,'2024 Team'!$B$2:$G$33,3,FALSE))</f>
        <v>0</v>
      </c>
    </row>
    <row r="380" spans="1:9" x14ac:dyDescent="0.25">
      <c r="A380" t="s">
        <v>2176</v>
      </c>
      <c r="B380" t="s">
        <v>38</v>
      </c>
      <c r="C380" t="s">
        <v>998</v>
      </c>
      <c r="D380" t="s">
        <v>417</v>
      </c>
      <c r="E380" t="s">
        <v>417</v>
      </c>
      <c r="F380" t="s">
        <v>417</v>
      </c>
      <c r="G380" s="3" t="e">
        <f t="shared" si="6"/>
        <v>#DIV/0!</v>
      </c>
      <c r="I380" s="3">
        <f>D380/(VLOOKUP(B380,'2024 Team'!$B$2:$G$33,3,FALSE))</f>
        <v>0</v>
      </c>
    </row>
    <row r="381" spans="1:9" x14ac:dyDescent="0.25">
      <c r="A381" t="s">
        <v>1583</v>
      </c>
      <c r="B381" t="s">
        <v>58</v>
      </c>
      <c r="C381" t="s">
        <v>163</v>
      </c>
      <c r="D381" t="s">
        <v>417</v>
      </c>
      <c r="E381" t="s">
        <v>417</v>
      </c>
      <c r="F381" t="s">
        <v>417</v>
      </c>
      <c r="G381" s="3" t="e">
        <f t="shared" si="6"/>
        <v>#DIV/0!</v>
      </c>
      <c r="I381" s="3">
        <f>D381/(VLOOKUP(B381,'2024 Team'!$B$2:$G$33,3,FALSE))</f>
        <v>0</v>
      </c>
    </row>
    <row r="382" spans="1:9" x14ac:dyDescent="0.25">
      <c r="A382" t="s">
        <v>1728</v>
      </c>
      <c r="B382" t="s">
        <v>18</v>
      </c>
      <c r="C382" t="s">
        <v>163</v>
      </c>
      <c r="D382" t="s">
        <v>417</v>
      </c>
      <c r="E382" t="s">
        <v>417</v>
      </c>
      <c r="F382" t="s">
        <v>417</v>
      </c>
      <c r="G382" s="3" t="e">
        <f t="shared" si="6"/>
        <v>#DIV/0!</v>
      </c>
      <c r="I382" s="3">
        <f>D382/(VLOOKUP(B382,'2024 Team'!$B$2:$G$33,3,FALSE))</f>
        <v>0</v>
      </c>
    </row>
    <row r="383" spans="1:9" x14ac:dyDescent="0.25">
      <c r="A383" t="s">
        <v>1781</v>
      </c>
      <c r="B383" t="s">
        <v>42</v>
      </c>
      <c r="C383" t="s">
        <v>163</v>
      </c>
      <c r="D383" t="s">
        <v>417</v>
      </c>
      <c r="E383" t="s">
        <v>417</v>
      </c>
      <c r="F383" t="s">
        <v>417</v>
      </c>
      <c r="G383" s="3" t="e">
        <f t="shared" si="6"/>
        <v>#DIV/0!</v>
      </c>
      <c r="I383" s="3">
        <f>D383/(VLOOKUP(B383,'2024 Team'!$B$2:$G$33,3,FALSE))</f>
        <v>0</v>
      </c>
    </row>
    <row r="384" spans="1:9" x14ac:dyDescent="0.25">
      <c r="A384" t="s">
        <v>1782</v>
      </c>
      <c r="B384" t="s">
        <v>56</v>
      </c>
      <c r="C384" t="s">
        <v>163</v>
      </c>
      <c r="D384" t="s">
        <v>417</v>
      </c>
      <c r="E384" t="s">
        <v>417</v>
      </c>
      <c r="F384" t="s">
        <v>417</v>
      </c>
      <c r="G384" s="3" t="e">
        <f t="shared" si="6"/>
        <v>#DIV/0!</v>
      </c>
      <c r="I384" s="3">
        <f>D384/(VLOOKUP(B384,'2024 Team'!$B$2:$G$33,3,FALSE))</f>
        <v>0</v>
      </c>
    </row>
    <row r="385" spans="1:9" x14ac:dyDescent="0.25">
      <c r="A385" t="s">
        <v>2177</v>
      </c>
      <c r="B385" t="s">
        <v>16</v>
      </c>
      <c r="C385" t="s">
        <v>163</v>
      </c>
      <c r="D385" t="s">
        <v>417</v>
      </c>
      <c r="E385" t="s">
        <v>417</v>
      </c>
      <c r="F385" t="s">
        <v>417</v>
      </c>
      <c r="G385" s="3" t="e">
        <f t="shared" si="6"/>
        <v>#DIV/0!</v>
      </c>
      <c r="I385" s="3">
        <f>D385/(VLOOKUP(B385,'2024 Team'!$B$2:$G$33,3,FALSE))</f>
        <v>0</v>
      </c>
    </row>
    <row r="386" spans="1:9" x14ac:dyDescent="0.25">
      <c r="A386" t="s">
        <v>1043</v>
      </c>
      <c r="B386" t="s">
        <v>46</v>
      </c>
      <c r="C386" t="s">
        <v>163</v>
      </c>
      <c r="D386" t="s">
        <v>417</v>
      </c>
      <c r="E386" t="s">
        <v>417</v>
      </c>
      <c r="F386" t="s">
        <v>417</v>
      </c>
      <c r="G386" s="3" t="e">
        <f t="shared" si="6"/>
        <v>#DIV/0!</v>
      </c>
      <c r="I386" s="3">
        <f>D386/(VLOOKUP(B386,'2024 Team'!$B$2:$G$33,3,FALSE))</f>
        <v>0</v>
      </c>
    </row>
    <row r="387" spans="1:9" x14ac:dyDescent="0.25">
      <c r="A387" t="s">
        <v>830</v>
      </c>
      <c r="B387" t="s">
        <v>16</v>
      </c>
      <c r="C387" t="s">
        <v>163</v>
      </c>
      <c r="D387" t="s">
        <v>417</v>
      </c>
      <c r="E387" t="s">
        <v>417</v>
      </c>
      <c r="F387" t="s">
        <v>417</v>
      </c>
      <c r="G387" s="3" t="e">
        <f t="shared" si="6"/>
        <v>#DIV/0!</v>
      </c>
      <c r="I387" s="3">
        <f>D387/(VLOOKUP(B387,'2024 Team'!$B$2:$G$33,3,FALSE))</f>
        <v>0</v>
      </c>
    </row>
    <row r="388" spans="1:9" x14ac:dyDescent="0.25">
      <c r="A388" t="s">
        <v>725</v>
      </c>
      <c r="B388" t="s">
        <v>32</v>
      </c>
      <c r="C388" t="s">
        <v>163</v>
      </c>
      <c r="D388" t="s">
        <v>417</v>
      </c>
      <c r="E388" t="s">
        <v>417</v>
      </c>
      <c r="F388" t="s">
        <v>417</v>
      </c>
      <c r="G388" s="3" t="e">
        <f t="shared" si="6"/>
        <v>#DIV/0!</v>
      </c>
      <c r="I388" s="3">
        <f>D388/(VLOOKUP(B388,'2024 Team'!$B$2:$G$33,3,FALSE))</f>
        <v>0</v>
      </c>
    </row>
    <row r="389" spans="1:9" x14ac:dyDescent="0.25">
      <c r="A389" t="s">
        <v>1785</v>
      </c>
      <c r="B389" t="s">
        <v>62</v>
      </c>
      <c r="C389" t="s">
        <v>163</v>
      </c>
      <c r="D389" t="s">
        <v>417</v>
      </c>
      <c r="E389" t="s">
        <v>417</v>
      </c>
      <c r="F389" t="s">
        <v>417</v>
      </c>
      <c r="G389" s="3" t="e">
        <f t="shared" si="6"/>
        <v>#DIV/0!</v>
      </c>
      <c r="I389" s="3">
        <f>D389/(VLOOKUP(B389,'2024 Team'!$B$2:$G$33,3,FALSE))</f>
        <v>0</v>
      </c>
    </row>
    <row r="390" spans="1:9" x14ac:dyDescent="0.25">
      <c r="A390" t="s">
        <v>941</v>
      </c>
      <c r="B390" t="s">
        <v>46</v>
      </c>
      <c r="C390" t="s">
        <v>153</v>
      </c>
      <c r="D390" t="s">
        <v>417</v>
      </c>
      <c r="E390" t="s">
        <v>417</v>
      </c>
      <c r="F390" t="s">
        <v>417</v>
      </c>
      <c r="G390" s="3" t="e">
        <f t="shared" si="6"/>
        <v>#DIV/0!</v>
      </c>
      <c r="I390" s="3">
        <f>D390/(VLOOKUP(B390,'2024 Team'!$B$2:$G$33,3,FALSE))</f>
        <v>0</v>
      </c>
    </row>
    <row r="391" spans="1:9" x14ac:dyDescent="0.25">
      <c r="A391" t="s">
        <v>1787</v>
      </c>
      <c r="B391" t="s">
        <v>22</v>
      </c>
      <c r="C391" t="s">
        <v>163</v>
      </c>
      <c r="D391" t="s">
        <v>417</v>
      </c>
      <c r="E391" t="s">
        <v>417</v>
      </c>
      <c r="F391" t="s">
        <v>417</v>
      </c>
      <c r="G391" s="3" t="e">
        <f t="shared" si="6"/>
        <v>#DIV/0!</v>
      </c>
      <c r="I391" s="3">
        <f>D391/(VLOOKUP(B391,'2024 Team'!$B$2:$G$33,3,FALSE))</f>
        <v>0</v>
      </c>
    </row>
    <row r="392" spans="1:9" x14ac:dyDescent="0.25">
      <c r="A392" t="s">
        <v>1787</v>
      </c>
      <c r="B392" t="s">
        <v>14</v>
      </c>
      <c r="C392" t="s">
        <v>163</v>
      </c>
      <c r="D392" t="s">
        <v>417</v>
      </c>
      <c r="E392" t="s">
        <v>417</v>
      </c>
      <c r="F392" t="s">
        <v>417</v>
      </c>
      <c r="G392" s="3" t="e">
        <f t="shared" si="6"/>
        <v>#DIV/0!</v>
      </c>
      <c r="I392" s="3">
        <f>D392/(VLOOKUP(B392,'2024 Team'!$B$2:$G$33,3,FALSE))</f>
        <v>0</v>
      </c>
    </row>
    <row r="393" spans="1:9" x14ac:dyDescent="0.25">
      <c r="A393" t="s">
        <v>991</v>
      </c>
      <c r="B393" t="s">
        <v>58</v>
      </c>
      <c r="C393" t="s">
        <v>163</v>
      </c>
      <c r="D393" t="s">
        <v>417</v>
      </c>
      <c r="E393" t="s">
        <v>417</v>
      </c>
      <c r="F393" t="s">
        <v>417</v>
      </c>
      <c r="G393" s="3" t="e">
        <f t="shared" si="6"/>
        <v>#DIV/0!</v>
      </c>
      <c r="I393" s="3">
        <f>D393/(VLOOKUP(B393,'2024 Team'!$B$2:$G$33,3,FALSE))</f>
        <v>0</v>
      </c>
    </row>
    <row r="394" spans="1:9" x14ac:dyDescent="0.25">
      <c r="A394" t="s">
        <v>1788</v>
      </c>
      <c r="B394" t="s">
        <v>46</v>
      </c>
      <c r="C394" t="s">
        <v>163</v>
      </c>
      <c r="D394" t="s">
        <v>417</v>
      </c>
      <c r="E394" t="s">
        <v>417</v>
      </c>
      <c r="F394" t="s">
        <v>417</v>
      </c>
      <c r="G394" s="3" t="e">
        <f t="shared" si="6"/>
        <v>#DIV/0!</v>
      </c>
      <c r="I394" s="3">
        <f>D394/(VLOOKUP(B394,'2024 Team'!$B$2:$G$33,3,FALSE))</f>
        <v>0</v>
      </c>
    </row>
    <row r="395" spans="1:9" x14ac:dyDescent="0.25">
      <c r="A395" t="s">
        <v>1789</v>
      </c>
      <c r="B395" t="s">
        <v>70</v>
      </c>
      <c r="C395" t="s">
        <v>163</v>
      </c>
      <c r="D395" t="s">
        <v>417</v>
      </c>
      <c r="E395" t="s">
        <v>417</v>
      </c>
      <c r="F395" t="s">
        <v>417</v>
      </c>
      <c r="G395" s="3" t="e">
        <f t="shared" si="6"/>
        <v>#DIV/0!</v>
      </c>
      <c r="I395" s="3">
        <f>D395/(VLOOKUP(B395,'2024 Team'!$B$2:$G$33,3,FALSE))</f>
        <v>0</v>
      </c>
    </row>
    <row r="396" spans="1:9" x14ac:dyDescent="0.25">
      <c r="A396" t="s">
        <v>1022</v>
      </c>
      <c r="B396" t="s">
        <v>66</v>
      </c>
      <c r="C396" t="s">
        <v>153</v>
      </c>
      <c r="D396" t="s">
        <v>417</v>
      </c>
      <c r="E396" t="s">
        <v>417</v>
      </c>
      <c r="F396" t="s">
        <v>417</v>
      </c>
      <c r="G396" s="3" t="e">
        <f t="shared" si="6"/>
        <v>#DIV/0!</v>
      </c>
      <c r="I396" s="3">
        <f>D396/(VLOOKUP(B396,'2024 Team'!$B$2:$G$33,3,FALSE))</f>
        <v>0</v>
      </c>
    </row>
    <row r="397" spans="1:9" x14ac:dyDescent="0.25">
      <c r="A397" t="s">
        <v>2178</v>
      </c>
      <c r="B397" t="s">
        <v>38</v>
      </c>
      <c r="C397" t="s">
        <v>153</v>
      </c>
      <c r="D397" t="s">
        <v>417</v>
      </c>
      <c r="E397" t="s">
        <v>417</v>
      </c>
      <c r="F397" t="s">
        <v>417</v>
      </c>
      <c r="G397" s="3" t="e">
        <f t="shared" si="6"/>
        <v>#DIV/0!</v>
      </c>
      <c r="I397" s="3">
        <f>D397/(VLOOKUP(B397,'2024 Team'!$B$2:$G$33,3,FALSE))</f>
        <v>0</v>
      </c>
    </row>
    <row r="398" spans="1:9" x14ac:dyDescent="0.25">
      <c r="A398" t="s">
        <v>2179</v>
      </c>
      <c r="B398" t="s">
        <v>22</v>
      </c>
      <c r="C398" t="s">
        <v>163</v>
      </c>
      <c r="D398" t="s">
        <v>417</v>
      </c>
      <c r="E398" t="s">
        <v>417</v>
      </c>
      <c r="F398" t="s">
        <v>417</v>
      </c>
      <c r="G398" s="3" t="e">
        <f t="shared" si="6"/>
        <v>#DIV/0!</v>
      </c>
      <c r="I398" s="3">
        <f>D398/(VLOOKUP(B398,'2024 Team'!$B$2:$G$33,3,FALSE))</f>
        <v>0</v>
      </c>
    </row>
    <row r="399" spans="1:9" x14ac:dyDescent="0.25">
      <c r="A399" t="s">
        <v>2180</v>
      </c>
      <c r="B399" t="s">
        <v>14</v>
      </c>
      <c r="C399" t="s">
        <v>153</v>
      </c>
      <c r="D399" t="s">
        <v>417</v>
      </c>
      <c r="E399" t="s">
        <v>417</v>
      </c>
      <c r="F399" t="s">
        <v>417</v>
      </c>
      <c r="G399" s="3" t="e">
        <f t="shared" si="6"/>
        <v>#DIV/0!</v>
      </c>
      <c r="I399" s="3">
        <f>D399/(VLOOKUP(B399,'2024 Team'!$B$2:$G$33,3,FALSE))</f>
        <v>0</v>
      </c>
    </row>
    <row r="400" spans="1:9" x14ac:dyDescent="0.25">
      <c r="A400" t="s">
        <v>821</v>
      </c>
      <c r="B400" t="s">
        <v>36</v>
      </c>
      <c r="C400" t="s">
        <v>163</v>
      </c>
      <c r="D400" t="s">
        <v>417</v>
      </c>
      <c r="E400" t="s">
        <v>417</v>
      </c>
      <c r="F400" t="s">
        <v>417</v>
      </c>
      <c r="G400" s="3" t="e">
        <f t="shared" si="6"/>
        <v>#DIV/0!</v>
      </c>
      <c r="I400" s="3">
        <f>D400/(VLOOKUP(B400,'2024 Team'!$B$2:$G$33,3,FALSE))</f>
        <v>0</v>
      </c>
    </row>
    <row r="401" spans="1:9" x14ac:dyDescent="0.25">
      <c r="A401" t="s">
        <v>2181</v>
      </c>
      <c r="B401" t="s">
        <v>40</v>
      </c>
      <c r="C401" t="s">
        <v>2182</v>
      </c>
      <c r="D401" t="s">
        <v>417</v>
      </c>
      <c r="E401" t="s">
        <v>417</v>
      </c>
      <c r="F401" t="s">
        <v>417</v>
      </c>
      <c r="G401" s="3" t="e">
        <f t="shared" si="6"/>
        <v>#DIV/0!</v>
      </c>
      <c r="I401" s="3">
        <f>D401/(VLOOKUP(B401,'2024 Team'!$B$2:$G$33,3,FALSE))</f>
        <v>0</v>
      </c>
    </row>
    <row r="402" spans="1:9" x14ac:dyDescent="0.25">
      <c r="A402" t="s">
        <v>2183</v>
      </c>
      <c r="B402" t="s">
        <v>28</v>
      </c>
      <c r="C402" t="s">
        <v>2184</v>
      </c>
      <c r="D402" t="s">
        <v>417</v>
      </c>
      <c r="E402" t="s">
        <v>417</v>
      </c>
      <c r="F402" t="s">
        <v>417</v>
      </c>
      <c r="G402" s="3" t="e">
        <f t="shared" si="6"/>
        <v>#DIV/0!</v>
      </c>
      <c r="I402" s="3">
        <f>D402/(VLOOKUP(B402,'2024 Team'!$B$2:$G$33,3,FALSE))</f>
        <v>0</v>
      </c>
    </row>
    <row r="403" spans="1:9" x14ac:dyDescent="0.25">
      <c r="A403" t="s">
        <v>791</v>
      </c>
      <c r="B403" t="s">
        <v>36</v>
      </c>
      <c r="C403" t="s">
        <v>153</v>
      </c>
      <c r="D403" t="s">
        <v>417</v>
      </c>
      <c r="E403" t="s">
        <v>417</v>
      </c>
      <c r="F403" t="s">
        <v>417</v>
      </c>
      <c r="G403" s="3" t="e">
        <f t="shared" si="6"/>
        <v>#DIV/0!</v>
      </c>
      <c r="I403" s="3">
        <f>D403/(VLOOKUP(B403,'2024 Team'!$B$2:$G$33,3,FALSE))</f>
        <v>0</v>
      </c>
    </row>
    <row r="404" spans="1:9" x14ac:dyDescent="0.25">
      <c r="A404" t="s">
        <v>917</v>
      </c>
      <c r="B404" t="s">
        <v>42</v>
      </c>
      <c r="C404" t="s">
        <v>153</v>
      </c>
      <c r="D404" t="s">
        <v>417</v>
      </c>
      <c r="E404" t="s">
        <v>417</v>
      </c>
      <c r="F404" t="s">
        <v>417</v>
      </c>
      <c r="G404" s="3" t="e">
        <f t="shared" si="6"/>
        <v>#DIV/0!</v>
      </c>
      <c r="I404" s="3">
        <f>D404/(VLOOKUP(B404,'2024 Team'!$B$2:$G$33,3,FALSE))</f>
        <v>0</v>
      </c>
    </row>
    <row r="405" spans="1:9" x14ac:dyDescent="0.25">
      <c r="A405" t="s">
        <v>879</v>
      </c>
      <c r="B405" t="s">
        <v>30</v>
      </c>
      <c r="C405" t="s">
        <v>163</v>
      </c>
      <c r="D405" t="s">
        <v>417</v>
      </c>
      <c r="E405" t="s">
        <v>417</v>
      </c>
      <c r="F405" t="s">
        <v>417</v>
      </c>
      <c r="G405" s="3" t="e">
        <f t="shared" si="6"/>
        <v>#DIV/0!</v>
      </c>
      <c r="I405" s="3">
        <f>D405/(VLOOKUP(B405,'2024 Team'!$B$2:$G$33,3,FALSE))</f>
        <v>0</v>
      </c>
    </row>
    <row r="406" spans="1:9" x14ac:dyDescent="0.25">
      <c r="A406" t="s">
        <v>2185</v>
      </c>
      <c r="B406" t="s">
        <v>46</v>
      </c>
      <c r="C406" t="s">
        <v>163</v>
      </c>
      <c r="D406" t="s">
        <v>417</v>
      </c>
      <c r="E406" t="s">
        <v>417</v>
      </c>
      <c r="F406" t="s">
        <v>417</v>
      </c>
      <c r="G406" s="3" t="e">
        <f t="shared" si="6"/>
        <v>#DIV/0!</v>
      </c>
      <c r="I406" s="3">
        <f>D406/(VLOOKUP(B406,'2024 Team'!$B$2:$G$33,3,FALSE))</f>
        <v>0</v>
      </c>
    </row>
    <row r="407" spans="1:9" x14ac:dyDescent="0.25">
      <c r="A407" t="s">
        <v>733</v>
      </c>
      <c r="B407" t="s">
        <v>26</v>
      </c>
      <c r="C407" t="s">
        <v>153</v>
      </c>
      <c r="D407" t="s">
        <v>417</v>
      </c>
      <c r="E407" t="s">
        <v>417</v>
      </c>
      <c r="F407" t="s">
        <v>417</v>
      </c>
      <c r="G407" s="3" t="e">
        <f t="shared" si="6"/>
        <v>#DIV/0!</v>
      </c>
      <c r="I407" s="3">
        <f>D407/(VLOOKUP(B407,'2024 Team'!$B$2:$G$33,3,FALSE))</f>
        <v>0</v>
      </c>
    </row>
    <row r="408" spans="1:9" x14ac:dyDescent="0.25">
      <c r="A408" t="s">
        <v>1023</v>
      </c>
      <c r="B408" t="s">
        <v>66</v>
      </c>
      <c r="C408" t="s">
        <v>153</v>
      </c>
      <c r="D408" t="s">
        <v>417</v>
      </c>
      <c r="E408" t="s">
        <v>417</v>
      </c>
      <c r="F408" t="s">
        <v>417</v>
      </c>
      <c r="G408" s="3" t="e">
        <f t="shared" si="6"/>
        <v>#DIV/0!</v>
      </c>
      <c r="I408" s="3">
        <f>D408/(VLOOKUP(B408,'2024 Team'!$B$2:$G$33,3,FALSE))</f>
        <v>0</v>
      </c>
    </row>
    <row r="409" spans="1:9" x14ac:dyDescent="0.25">
      <c r="A409" t="s">
        <v>870</v>
      </c>
      <c r="B409" t="s">
        <v>10</v>
      </c>
      <c r="C409" t="s">
        <v>153</v>
      </c>
      <c r="D409" t="s">
        <v>417</v>
      </c>
      <c r="E409" t="s">
        <v>417</v>
      </c>
      <c r="F409" t="s">
        <v>417</v>
      </c>
      <c r="G409" s="3" t="e">
        <f t="shared" si="6"/>
        <v>#DIV/0!</v>
      </c>
      <c r="I409" s="3">
        <f>D409/(VLOOKUP(B409,'2024 Team'!$B$2:$G$33,3,FALSE))</f>
        <v>0</v>
      </c>
    </row>
    <row r="410" spans="1:9" x14ac:dyDescent="0.25">
      <c r="A410" t="s">
        <v>781</v>
      </c>
      <c r="B410" t="s">
        <v>36</v>
      </c>
      <c r="C410" t="s">
        <v>153</v>
      </c>
      <c r="D410" t="s">
        <v>417</v>
      </c>
      <c r="E410" t="s">
        <v>417</v>
      </c>
      <c r="F410" t="s">
        <v>417</v>
      </c>
      <c r="G410" s="3" t="e">
        <f t="shared" si="6"/>
        <v>#DIV/0!</v>
      </c>
      <c r="I410" s="3">
        <f>D410/(VLOOKUP(B410,'2024 Team'!$B$2:$G$33,3,FALSE))</f>
        <v>0</v>
      </c>
    </row>
    <row r="411" spans="1:9" x14ac:dyDescent="0.25">
      <c r="A411" t="s">
        <v>1044</v>
      </c>
      <c r="B411" t="s">
        <v>70</v>
      </c>
      <c r="C411" t="s">
        <v>153</v>
      </c>
      <c r="D411" t="s">
        <v>417</v>
      </c>
      <c r="E411" t="s">
        <v>417</v>
      </c>
      <c r="F411" t="s">
        <v>417</v>
      </c>
      <c r="G411" s="3" t="e">
        <f t="shared" si="6"/>
        <v>#DIV/0!</v>
      </c>
      <c r="I411" s="3">
        <f>D411/(VLOOKUP(B411,'2024 Team'!$B$2:$G$33,3,FALSE))</f>
        <v>0</v>
      </c>
    </row>
    <row r="412" spans="1:9" x14ac:dyDescent="0.25">
      <c r="A412" t="s">
        <v>942</v>
      </c>
      <c r="B412" t="s">
        <v>46</v>
      </c>
      <c r="C412" t="s">
        <v>163</v>
      </c>
      <c r="D412" t="s">
        <v>417</v>
      </c>
      <c r="E412" t="s">
        <v>417</v>
      </c>
      <c r="F412" t="s">
        <v>417</v>
      </c>
      <c r="G412" s="3" t="e">
        <f t="shared" si="6"/>
        <v>#DIV/0!</v>
      </c>
      <c r="I412" s="3">
        <f>D412/(VLOOKUP(B412,'2024 Team'!$B$2:$G$33,3,FALSE))</f>
        <v>0</v>
      </c>
    </row>
    <row r="413" spans="1:9" x14ac:dyDescent="0.25">
      <c r="A413" t="s">
        <v>1024</v>
      </c>
      <c r="B413" t="s">
        <v>66</v>
      </c>
      <c r="C413" t="s">
        <v>163</v>
      </c>
      <c r="D413" t="s">
        <v>417</v>
      </c>
      <c r="E413" t="s">
        <v>417</v>
      </c>
      <c r="F413" t="s">
        <v>417</v>
      </c>
      <c r="G413" s="3" t="e">
        <f t="shared" si="6"/>
        <v>#DIV/0!</v>
      </c>
      <c r="I413" s="3">
        <f>D413/(VLOOKUP(B413,'2024 Team'!$B$2:$G$33,3,FALSE))</f>
        <v>0</v>
      </c>
    </row>
    <row r="414" spans="1:9" x14ac:dyDescent="0.25">
      <c r="A414" t="s">
        <v>1729</v>
      </c>
      <c r="B414" t="s">
        <v>18</v>
      </c>
      <c r="C414" t="s">
        <v>153</v>
      </c>
      <c r="D414" t="s">
        <v>417</v>
      </c>
      <c r="E414" t="s">
        <v>417</v>
      </c>
      <c r="F414" t="s">
        <v>417</v>
      </c>
      <c r="G414" s="3" t="e">
        <f t="shared" si="6"/>
        <v>#DIV/0!</v>
      </c>
      <c r="I414" s="3">
        <f>D414/(VLOOKUP(B414,'2024 Team'!$B$2:$G$33,3,FALSE))</f>
        <v>0</v>
      </c>
    </row>
    <row r="415" spans="1:9" x14ac:dyDescent="0.25">
      <c r="A415" t="s">
        <v>1719</v>
      </c>
      <c r="B415" t="s">
        <v>46</v>
      </c>
      <c r="C415" t="s">
        <v>163</v>
      </c>
      <c r="D415" t="s">
        <v>417</v>
      </c>
      <c r="E415" t="s">
        <v>417</v>
      </c>
      <c r="F415" t="s">
        <v>417</v>
      </c>
      <c r="G415" s="3" t="e">
        <f t="shared" si="6"/>
        <v>#DIV/0!</v>
      </c>
      <c r="I415" s="3">
        <f>D415/(VLOOKUP(B415,'2024 Team'!$B$2:$G$33,3,FALSE))</f>
        <v>0</v>
      </c>
    </row>
    <row r="416" spans="1:9" x14ac:dyDescent="0.25">
      <c r="A416" t="s">
        <v>841</v>
      </c>
      <c r="B416" t="s">
        <v>64</v>
      </c>
      <c r="C416" t="s">
        <v>153</v>
      </c>
      <c r="D416" t="s">
        <v>417</v>
      </c>
      <c r="E416" t="s">
        <v>417</v>
      </c>
      <c r="F416" t="s">
        <v>417</v>
      </c>
      <c r="G416" s="3" t="e">
        <f t="shared" si="6"/>
        <v>#DIV/0!</v>
      </c>
      <c r="I416" s="3">
        <f>D416/(VLOOKUP(B416,'2024 Team'!$B$2:$G$33,3,FALSE))</f>
        <v>0</v>
      </c>
    </row>
    <row r="417" spans="1:9" x14ac:dyDescent="0.25">
      <c r="A417" t="s">
        <v>1016</v>
      </c>
      <c r="B417" t="s">
        <v>36</v>
      </c>
      <c r="C417" t="s">
        <v>153</v>
      </c>
      <c r="D417" t="s">
        <v>417</v>
      </c>
      <c r="E417" t="s">
        <v>417</v>
      </c>
      <c r="F417" t="s">
        <v>417</v>
      </c>
      <c r="G417" s="3" t="e">
        <f t="shared" si="6"/>
        <v>#DIV/0!</v>
      </c>
      <c r="I417" s="3">
        <f>D417/(VLOOKUP(B417,'2024 Team'!$B$2:$G$33,3,FALSE))</f>
        <v>0</v>
      </c>
    </row>
    <row r="418" spans="1:9" x14ac:dyDescent="0.25">
      <c r="A418" t="s">
        <v>1796</v>
      </c>
      <c r="B418" t="s">
        <v>42</v>
      </c>
      <c r="C418" t="s">
        <v>163</v>
      </c>
      <c r="D418" t="s">
        <v>417</v>
      </c>
      <c r="E418" t="s">
        <v>417</v>
      </c>
      <c r="F418" t="s">
        <v>417</v>
      </c>
      <c r="G418" s="3" t="e">
        <f t="shared" si="6"/>
        <v>#DIV/0!</v>
      </c>
      <c r="I418" s="3">
        <f>D418/(VLOOKUP(B418,'2024 Team'!$B$2:$G$33,3,FALSE))</f>
        <v>0</v>
      </c>
    </row>
    <row r="419" spans="1:9" x14ac:dyDescent="0.25">
      <c r="A419" t="s">
        <v>784</v>
      </c>
      <c r="B419" t="s">
        <v>24</v>
      </c>
      <c r="C419" t="s">
        <v>153</v>
      </c>
      <c r="D419" t="s">
        <v>417</v>
      </c>
      <c r="E419" t="s">
        <v>417</v>
      </c>
      <c r="F419" t="s">
        <v>417</v>
      </c>
      <c r="G419" s="3" t="e">
        <f t="shared" si="6"/>
        <v>#DIV/0!</v>
      </c>
      <c r="I419" s="3">
        <f>D419/(VLOOKUP(B419,'2024 Team'!$B$2:$G$33,3,FALSE))</f>
        <v>0</v>
      </c>
    </row>
    <row r="420" spans="1:9" x14ac:dyDescent="0.25">
      <c r="A420" t="s">
        <v>918</v>
      </c>
      <c r="B420" t="s">
        <v>42</v>
      </c>
      <c r="C420" t="s">
        <v>153</v>
      </c>
      <c r="D420" t="s">
        <v>417</v>
      </c>
      <c r="E420" t="s">
        <v>417</v>
      </c>
      <c r="F420" t="s">
        <v>417</v>
      </c>
      <c r="G420" s="3" t="e">
        <f t="shared" si="6"/>
        <v>#DIV/0!</v>
      </c>
      <c r="I420" s="3">
        <f>D420/(VLOOKUP(B420,'2024 Team'!$B$2:$G$33,3,FALSE))</f>
        <v>0</v>
      </c>
    </row>
    <row r="421" spans="1:9" x14ac:dyDescent="0.25">
      <c r="A421" t="s">
        <v>880</v>
      </c>
      <c r="B421" t="s">
        <v>30</v>
      </c>
      <c r="C421" t="s">
        <v>153</v>
      </c>
      <c r="D421" t="s">
        <v>417</v>
      </c>
      <c r="E421" t="s">
        <v>417</v>
      </c>
      <c r="F421" t="s">
        <v>417</v>
      </c>
      <c r="G421" s="3" t="e">
        <f t="shared" si="6"/>
        <v>#DIV/0!</v>
      </c>
      <c r="I421" s="3">
        <f>D421/(VLOOKUP(B421,'2024 Team'!$B$2:$G$33,3,FALSE))</f>
        <v>0</v>
      </c>
    </row>
    <row r="422" spans="1:9" x14ac:dyDescent="0.25">
      <c r="A422" t="s">
        <v>671</v>
      </c>
      <c r="B422" t="s">
        <v>24</v>
      </c>
      <c r="C422" t="s">
        <v>163</v>
      </c>
      <c r="D422" t="s">
        <v>417</v>
      </c>
      <c r="E422" t="s">
        <v>417</v>
      </c>
      <c r="F422" t="s">
        <v>417</v>
      </c>
      <c r="G422" s="3" t="e">
        <f t="shared" si="6"/>
        <v>#DIV/0!</v>
      </c>
      <c r="I422" s="3">
        <f>D422/(VLOOKUP(B422,'2024 Team'!$B$2:$G$33,3,FALSE))</f>
        <v>0</v>
      </c>
    </row>
    <row r="423" spans="1:9" x14ac:dyDescent="0.25">
      <c r="A423" t="s">
        <v>2186</v>
      </c>
      <c r="B423" t="s">
        <v>38</v>
      </c>
      <c r="C423" t="s">
        <v>153</v>
      </c>
      <c r="D423" t="s">
        <v>417</v>
      </c>
      <c r="E423" t="s">
        <v>417</v>
      </c>
      <c r="F423" t="s">
        <v>417</v>
      </c>
      <c r="G423" s="3" t="e">
        <f t="shared" si="6"/>
        <v>#DIV/0!</v>
      </c>
      <c r="I423" s="3">
        <f>D423/(VLOOKUP(B423,'2024 Team'!$B$2:$G$33,3,FALSE))</f>
        <v>0</v>
      </c>
    </row>
    <row r="424" spans="1:9" x14ac:dyDescent="0.25">
      <c r="A424" t="s">
        <v>2187</v>
      </c>
      <c r="B424" t="s">
        <v>16</v>
      </c>
      <c r="C424" t="s">
        <v>755</v>
      </c>
      <c r="D424" t="s">
        <v>417</v>
      </c>
      <c r="E424" t="s">
        <v>417</v>
      </c>
      <c r="F424" t="s">
        <v>417</v>
      </c>
      <c r="G424" s="3" t="e">
        <f t="shared" si="6"/>
        <v>#DIV/0!</v>
      </c>
      <c r="I424" s="3">
        <f>D424/(VLOOKUP(B424,'2024 Team'!$B$2:$G$33,3,FALSE))</f>
        <v>0</v>
      </c>
    </row>
    <row r="425" spans="1:9" x14ac:dyDescent="0.25">
      <c r="A425" t="s">
        <v>705</v>
      </c>
      <c r="B425" t="s">
        <v>16</v>
      </c>
      <c r="C425" t="s">
        <v>153</v>
      </c>
      <c r="D425" t="s">
        <v>417</v>
      </c>
      <c r="E425" t="s">
        <v>417</v>
      </c>
      <c r="F425" t="s">
        <v>417</v>
      </c>
      <c r="G425" s="3" t="e">
        <f t="shared" si="6"/>
        <v>#DIV/0!</v>
      </c>
      <c r="I425" s="3">
        <f>D425/(VLOOKUP(B425,'2024 Team'!$B$2:$G$33,3,FALSE))</f>
        <v>0</v>
      </c>
    </row>
    <row r="426" spans="1:9" x14ac:dyDescent="0.25">
      <c r="A426" t="s">
        <v>2188</v>
      </c>
      <c r="B426" t="s">
        <v>60</v>
      </c>
      <c r="C426" t="s">
        <v>857</v>
      </c>
      <c r="D426" t="s">
        <v>417</v>
      </c>
      <c r="E426" t="s">
        <v>417</v>
      </c>
      <c r="F426" t="s">
        <v>417</v>
      </c>
      <c r="G426" s="3" t="e">
        <f t="shared" si="6"/>
        <v>#DIV/0!</v>
      </c>
      <c r="I426" s="3">
        <f>D426/(VLOOKUP(B426,'2024 Team'!$B$2:$G$33,3,FALSE))</f>
        <v>0</v>
      </c>
    </row>
    <row r="427" spans="1:9" x14ac:dyDescent="0.25">
      <c r="A427" t="s">
        <v>1000</v>
      </c>
      <c r="B427" t="s">
        <v>60</v>
      </c>
      <c r="C427" t="s">
        <v>153</v>
      </c>
      <c r="D427" t="s">
        <v>417</v>
      </c>
      <c r="E427" t="s">
        <v>417</v>
      </c>
      <c r="F427" t="s">
        <v>417</v>
      </c>
      <c r="G427" s="3" t="e">
        <f t="shared" si="6"/>
        <v>#DIV/0!</v>
      </c>
      <c r="I427" s="3">
        <f>D427/(VLOOKUP(B427,'2024 Team'!$B$2:$G$33,3,FALSE))</f>
        <v>0</v>
      </c>
    </row>
    <row r="428" spans="1:9" x14ac:dyDescent="0.25">
      <c r="A428" t="s">
        <v>844</v>
      </c>
      <c r="B428" t="s">
        <v>20</v>
      </c>
      <c r="C428" t="s">
        <v>153</v>
      </c>
      <c r="D428" t="s">
        <v>417</v>
      </c>
      <c r="E428" t="s">
        <v>417</v>
      </c>
      <c r="F428" t="s">
        <v>417</v>
      </c>
      <c r="G428" s="3" t="e">
        <f t="shared" si="6"/>
        <v>#DIV/0!</v>
      </c>
      <c r="I428" s="3">
        <f>D428/(VLOOKUP(B428,'2024 Team'!$B$2:$G$33,3,FALSE))</f>
        <v>0</v>
      </c>
    </row>
    <row r="429" spans="1:9" x14ac:dyDescent="0.25">
      <c r="A429" t="s">
        <v>994</v>
      </c>
      <c r="B429" t="s">
        <v>58</v>
      </c>
      <c r="C429" t="s">
        <v>153</v>
      </c>
      <c r="D429" t="s">
        <v>417</v>
      </c>
      <c r="E429" t="s">
        <v>417</v>
      </c>
      <c r="F429" t="s">
        <v>417</v>
      </c>
      <c r="G429" s="3" t="e">
        <f t="shared" si="6"/>
        <v>#DIV/0!</v>
      </c>
      <c r="I429" s="3">
        <f>D429/(VLOOKUP(B429,'2024 Team'!$B$2:$G$33,3,FALSE))</f>
        <v>0</v>
      </c>
    </row>
    <row r="430" spans="1:9" x14ac:dyDescent="0.25">
      <c r="A430" t="s">
        <v>2189</v>
      </c>
      <c r="B430" t="s">
        <v>24</v>
      </c>
      <c r="C430" t="s">
        <v>647</v>
      </c>
      <c r="D430" t="s">
        <v>417</v>
      </c>
      <c r="E430" t="s">
        <v>417</v>
      </c>
      <c r="F430" t="s">
        <v>417</v>
      </c>
      <c r="G430" s="3" t="e">
        <f t="shared" si="6"/>
        <v>#DIV/0!</v>
      </c>
      <c r="I430" s="3">
        <f>D430/(VLOOKUP(B430,'2024 Team'!$B$2:$G$33,3,FALSE))</f>
        <v>0</v>
      </c>
    </row>
    <row r="431" spans="1:9" x14ac:dyDescent="0.25">
      <c r="A431" t="s">
        <v>893</v>
      </c>
      <c r="B431" t="s">
        <v>34</v>
      </c>
      <c r="C431" t="s">
        <v>163</v>
      </c>
      <c r="D431" t="s">
        <v>417</v>
      </c>
      <c r="E431" t="s">
        <v>417</v>
      </c>
      <c r="F431" t="s">
        <v>417</v>
      </c>
      <c r="G431" s="3" t="e">
        <f t="shared" si="6"/>
        <v>#DIV/0!</v>
      </c>
      <c r="I431" s="3">
        <f>D431/(VLOOKUP(B431,'2024 Team'!$B$2:$G$33,3,FALSE))</f>
        <v>0</v>
      </c>
    </row>
    <row r="432" spans="1:9" x14ac:dyDescent="0.25">
      <c r="A432" t="s">
        <v>845</v>
      </c>
      <c r="B432" t="s">
        <v>20</v>
      </c>
      <c r="C432" t="s">
        <v>153</v>
      </c>
      <c r="D432" t="s">
        <v>417</v>
      </c>
      <c r="E432" t="s">
        <v>417</v>
      </c>
      <c r="F432" t="s">
        <v>417</v>
      </c>
      <c r="G432" s="3" t="e">
        <f t="shared" si="6"/>
        <v>#DIV/0!</v>
      </c>
      <c r="I432" s="3">
        <f>D432/(VLOOKUP(B432,'2024 Team'!$B$2:$G$33,3,FALSE))</f>
        <v>0</v>
      </c>
    </row>
    <row r="433" spans="1:9" x14ac:dyDescent="0.25">
      <c r="A433" t="s">
        <v>995</v>
      </c>
      <c r="B433" t="s">
        <v>34</v>
      </c>
      <c r="C433" t="s">
        <v>153</v>
      </c>
      <c r="D433" t="s">
        <v>417</v>
      </c>
      <c r="E433" t="s">
        <v>417</v>
      </c>
      <c r="F433" t="s">
        <v>417</v>
      </c>
      <c r="G433" s="3" t="e">
        <f t="shared" si="6"/>
        <v>#DIV/0!</v>
      </c>
      <c r="I433" s="3">
        <f>D433/(VLOOKUP(B433,'2024 Team'!$B$2:$G$33,3,FALSE))</f>
        <v>0</v>
      </c>
    </row>
    <row r="434" spans="1:9" x14ac:dyDescent="0.25">
      <c r="A434" t="s">
        <v>792</v>
      </c>
      <c r="B434" t="s">
        <v>8</v>
      </c>
      <c r="C434" t="s">
        <v>163</v>
      </c>
      <c r="D434" t="s">
        <v>417</v>
      </c>
      <c r="E434" t="s">
        <v>417</v>
      </c>
      <c r="F434" t="s">
        <v>417</v>
      </c>
      <c r="G434" s="3" t="e">
        <f t="shared" si="6"/>
        <v>#DIV/0!</v>
      </c>
      <c r="I434" s="3">
        <f>D434/(VLOOKUP(B434,'2024 Team'!$B$2:$G$33,3,FALSE))</f>
        <v>0</v>
      </c>
    </row>
    <row r="435" spans="1:9" x14ac:dyDescent="0.25">
      <c r="A435" t="s">
        <v>881</v>
      </c>
      <c r="B435" t="s">
        <v>30</v>
      </c>
      <c r="C435" t="s">
        <v>163</v>
      </c>
      <c r="D435" t="s">
        <v>417</v>
      </c>
      <c r="E435" t="s">
        <v>417</v>
      </c>
      <c r="F435" t="s">
        <v>417</v>
      </c>
      <c r="G435" s="3" t="e">
        <f t="shared" si="6"/>
        <v>#DIV/0!</v>
      </c>
      <c r="I435" s="3">
        <f>D435/(VLOOKUP(B435,'2024 Team'!$B$2:$G$33,3,FALSE))</f>
        <v>0</v>
      </c>
    </row>
    <row r="436" spans="1:9" x14ac:dyDescent="0.25">
      <c r="A436" t="s">
        <v>1748</v>
      </c>
      <c r="B436" t="s">
        <v>38</v>
      </c>
      <c r="C436" t="s">
        <v>153</v>
      </c>
      <c r="D436" t="s">
        <v>417</v>
      </c>
      <c r="E436" t="s">
        <v>417</v>
      </c>
      <c r="F436" t="s">
        <v>417</v>
      </c>
      <c r="G436" s="3" t="e">
        <f t="shared" si="6"/>
        <v>#DIV/0!</v>
      </c>
      <c r="I436" s="3">
        <f>D436/(VLOOKUP(B436,'2024 Team'!$B$2:$G$33,3,FALSE))</f>
        <v>0</v>
      </c>
    </row>
    <row r="437" spans="1:9" x14ac:dyDescent="0.25">
      <c r="A437" t="s">
        <v>966</v>
      </c>
      <c r="B437" t="s">
        <v>50</v>
      </c>
      <c r="C437" t="s">
        <v>153</v>
      </c>
      <c r="D437" t="s">
        <v>417</v>
      </c>
      <c r="E437" t="s">
        <v>417</v>
      </c>
      <c r="F437" t="s">
        <v>417</v>
      </c>
      <c r="G437" s="3" t="e">
        <f t="shared" si="6"/>
        <v>#DIV/0!</v>
      </c>
      <c r="I437" s="3">
        <f>D437/(VLOOKUP(B437,'2024 Team'!$B$2:$G$33,3,FALSE))</f>
        <v>0</v>
      </c>
    </row>
    <row r="438" spans="1:9" x14ac:dyDescent="0.25">
      <c r="A438" t="s">
        <v>556</v>
      </c>
      <c r="B438" t="s">
        <v>60</v>
      </c>
      <c r="C438" t="s">
        <v>153</v>
      </c>
      <c r="D438" t="s">
        <v>417</v>
      </c>
      <c r="E438" t="s">
        <v>417</v>
      </c>
      <c r="F438" t="s">
        <v>417</v>
      </c>
      <c r="G438" s="3" t="e">
        <f t="shared" si="6"/>
        <v>#DIV/0!</v>
      </c>
      <c r="I438" s="3">
        <f>D438/(VLOOKUP(B438,'2024 Team'!$B$2:$G$33,3,FALSE))</f>
        <v>0</v>
      </c>
    </row>
    <row r="439" spans="1:9" x14ac:dyDescent="0.25">
      <c r="A439" t="s">
        <v>927</v>
      </c>
      <c r="B439" t="s">
        <v>44</v>
      </c>
      <c r="C439" t="s">
        <v>153</v>
      </c>
      <c r="D439" t="s">
        <v>417</v>
      </c>
      <c r="E439" t="s">
        <v>417</v>
      </c>
      <c r="F439" t="s">
        <v>417</v>
      </c>
      <c r="G439" s="3" t="e">
        <f t="shared" si="6"/>
        <v>#DIV/0!</v>
      </c>
      <c r="I439" s="3">
        <f>D439/(VLOOKUP(B439,'2024 Team'!$B$2:$G$33,3,FALSE))</f>
        <v>0</v>
      </c>
    </row>
    <row r="440" spans="1:9" x14ac:dyDescent="0.25">
      <c r="A440" t="s">
        <v>793</v>
      </c>
      <c r="B440" t="s">
        <v>8</v>
      </c>
      <c r="C440" t="s">
        <v>153</v>
      </c>
      <c r="D440" t="s">
        <v>417</v>
      </c>
      <c r="E440" t="s">
        <v>417</v>
      </c>
      <c r="F440" t="s">
        <v>417</v>
      </c>
      <c r="G440" s="3" t="e">
        <f t="shared" ref="G440:G502" si="7">F440/D440</f>
        <v>#DIV/0!</v>
      </c>
      <c r="I440" s="3">
        <f>D440/(VLOOKUP(B440,'2024 Team'!$B$2:$G$33,3,FALSE))</f>
        <v>0</v>
      </c>
    </row>
    <row r="441" spans="1:9" x14ac:dyDescent="0.25">
      <c r="A441" t="s">
        <v>846</v>
      </c>
      <c r="B441" t="s">
        <v>20</v>
      </c>
      <c r="C441" t="s">
        <v>163</v>
      </c>
      <c r="D441" t="s">
        <v>417</v>
      </c>
      <c r="E441" t="s">
        <v>417</v>
      </c>
      <c r="F441" t="s">
        <v>417</v>
      </c>
      <c r="G441" s="3" t="e">
        <f t="shared" si="7"/>
        <v>#DIV/0!</v>
      </c>
      <c r="I441" s="3">
        <f>D441/(VLOOKUP(B441,'2024 Team'!$B$2:$G$33,3,FALSE))</f>
        <v>0</v>
      </c>
    </row>
    <row r="442" spans="1:9" x14ac:dyDescent="0.25">
      <c r="A442" t="s">
        <v>943</v>
      </c>
      <c r="B442" t="s">
        <v>46</v>
      </c>
      <c r="C442" t="s">
        <v>153</v>
      </c>
      <c r="D442" t="s">
        <v>417</v>
      </c>
      <c r="E442" t="s">
        <v>417</v>
      </c>
      <c r="F442" t="s">
        <v>417</v>
      </c>
      <c r="G442" s="3" t="e">
        <f t="shared" si="7"/>
        <v>#DIV/0!</v>
      </c>
      <c r="I442" s="3">
        <f>D442/(VLOOKUP(B442,'2024 Team'!$B$2:$G$33,3,FALSE))</f>
        <v>0</v>
      </c>
    </row>
    <row r="443" spans="1:9" x14ac:dyDescent="0.25">
      <c r="A443" t="s">
        <v>737</v>
      </c>
      <c r="B443" t="s">
        <v>48</v>
      </c>
      <c r="C443" t="s">
        <v>153</v>
      </c>
      <c r="D443" t="s">
        <v>417</v>
      </c>
      <c r="E443" t="s">
        <v>417</v>
      </c>
      <c r="F443" t="s">
        <v>417</v>
      </c>
      <c r="G443" s="3" t="e">
        <f t="shared" si="7"/>
        <v>#DIV/0!</v>
      </c>
      <c r="I443" s="3">
        <f>D443/(VLOOKUP(B443,'2024 Team'!$B$2:$G$33,3,FALSE))</f>
        <v>0</v>
      </c>
    </row>
    <row r="444" spans="1:9" x14ac:dyDescent="0.25">
      <c r="A444" t="s">
        <v>802</v>
      </c>
      <c r="B444" t="s">
        <v>10</v>
      </c>
      <c r="C444" t="s">
        <v>163</v>
      </c>
      <c r="D444" t="s">
        <v>417</v>
      </c>
      <c r="E444" t="s">
        <v>417</v>
      </c>
      <c r="F444" t="s">
        <v>417</v>
      </c>
      <c r="G444" s="3" t="e">
        <f t="shared" si="7"/>
        <v>#DIV/0!</v>
      </c>
      <c r="I444" s="3">
        <f>D444/(VLOOKUP(B444,'2024 Team'!$B$2:$G$33,3,FALSE))</f>
        <v>0</v>
      </c>
    </row>
    <row r="445" spans="1:9" x14ac:dyDescent="0.25">
      <c r="A445" t="s">
        <v>971</v>
      </c>
      <c r="B445" t="s">
        <v>54</v>
      </c>
      <c r="C445" t="s">
        <v>163</v>
      </c>
      <c r="D445" t="s">
        <v>417</v>
      </c>
      <c r="E445" t="s">
        <v>417</v>
      </c>
      <c r="F445" t="s">
        <v>417</v>
      </c>
      <c r="G445" s="3" t="e">
        <f t="shared" si="7"/>
        <v>#DIV/0!</v>
      </c>
      <c r="I445" s="3">
        <f>D445/(VLOOKUP(B445,'2024 Team'!$B$2:$G$33,3,FALSE))</f>
        <v>0</v>
      </c>
    </row>
    <row r="446" spans="1:9" x14ac:dyDescent="0.25">
      <c r="A446" t="s">
        <v>2190</v>
      </c>
      <c r="B446" t="s">
        <v>52</v>
      </c>
      <c r="C446" t="s">
        <v>153</v>
      </c>
      <c r="D446" t="s">
        <v>417</v>
      </c>
      <c r="E446" t="s">
        <v>417</v>
      </c>
      <c r="F446" t="s">
        <v>417</v>
      </c>
      <c r="G446" s="3" t="e">
        <f t="shared" si="7"/>
        <v>#DIV/0!</v>
      </c>
      <c r="I446" s="3">
        <f>D446/(VLOOKUP(B446,'2024 Team'!$B$2:$G$33,3,FALSE))</f>
        <v>0</v>
      </c>
    </row>
    <row r="447" spans="1:9" x14ac:dyDescent="0.25">
      <c r="A447" t="s">
        <v>748</v>
      </c>
      <c r="B447" t="s">
        <v>14</v>
      </c>
      <c r="C447" t="s">
        <v>163</v>
      </c>
      <c r="D447" t="s">
        <v>417</v>
      </c>
      <c r="E447" t="s">
        <v>417</v>
      </c>
      <c r="F447" t="s">
        <v>417</v>
      </c>
      <c r="G447" s="3" t="e">
        <f t="shared" si="7"/>
        <v>#DIV/0!</v>
      </c>
      <c r="I447" s="3">
        <f>D447/(VLOOKUP(B447,'2024 Team'!$B$2:$G$33,3,FALSE))</f>
        <v>0</v>
      </c>
    </row>
    <row r="448" spans="1:9" x14ac:dyDescent="0.25">
      <c r="A448" t="s">
        <v>967</v>
      </c>
      <c r="B448" t="s">
        <v>50</v>
      </c>
      <c r="C448" t="s">
        <v>153</v>
      </c>
      <c r="D448" t="s">
        <v>417</v>
      </c>
      <c r="E448" t="s">
        <v>417</v>
      </c>
      <c r="F448" t="s">
        <v>417</v>
      </c>
      <c r="G448" s="3" t="e">
        <f t="shared" si="7"/>
        <v>#DIV/0!</v>
      </c>
      <c r="I448" s="3">
        <f>D448/(VLOOKUP(B448,'2024 Team'!$B$2:$G$33,3,FALSE))</f>
        <v>0</v>
      </c>
    </row>
    <row r="449" spans="1:9" x14ac:dyDescent="0.25">
      <c r="A449" t="s">
        <v>813</v>
      </c>
      <c r="B449" t="s">
        <v>68</v>
      </c>
      <c r="C449" t="s">
        <v>163</v>
      </c>
      <c r="D449" t="s">
        <v>417</v>
      </c>
      <c r="E449" t="s">
        <v>417</v>
      </c>
      <c r="F449" t="s">
        <v>417</v>
      </c>
      <c r="G449" s="3" t="e">
        <f t="shared" si="7"/>
        <v>#DIV/0!</v>
      </c>
      <c r="I449" s="3">
        <f>D449/(VLOOKUP(B449,'2024 Team'!$B$2:$G$33,3,FALSE))</f>
        <v>0</v>
      </c>
    </row>
    <row r="450" spans="1:9" x14ac:dyDescent="0.25">
      <c r="A450" t="s">
        <v>813</v>
      </c>
      <c r="B450" t="s">
        <v>38</v>
      </c>
      <c r="C450" t="s">
        <v>163</v>
      </c>
      <c r="D450" t="s">
        <v>417</v>
      </c>
      <c r="E450" t="s">
        <v>417</v>
      </c>
      <c r="F450" t="s">
        <v>417</v>
      </c>
      <c r="G450" s="3" t="e">
        <f t="shared" si="7"/>
        <v>#DIV/0!</v>
      </c>
      <c r="I450" s="3">
        <f>D450/(VLOOKUP(B450,'2024 Team'!$B$2:$G$33,3,FALSE))</f>
        <v>0</v>
      </c>
    </row>
    <row r="451" spans="1:9" x14ac:dyDescent="0.25">
      <c r="A451" t="s">
        <v>2191</v>
      </c>
      <c r="B451" t="s">
        <v>20</v>
      </c>
      <c r="C451" t="s">
        <v>2192</v>
      </c>
      <c r="D451" t="s">
        <v>417</v>
      </c>
      <c r="E451" t="s">
        <v>417</v>
      </c>
      <c r="F451" t="s">
        <v>417</v>
      </c>
      <c r="G451" s="3" t="e">
        <f t="shared" si="7"/>
        <v>#DIV/0!</v>
      </c>
      <c r="I451" s="3">
        <f>D451/(VLOOKUP(B451,'2024 Team'!$B$2:$G$33,3,FALSE))</f>
        <v>0</v>
      </c>
    </row>
    <row r="452" spans="1:9" x14ac:dyDescent="0.25">
      <c r="A452" t="s">
        <v>867</v>
      </c>
      <c r="B452" t="s">
        <v>26</v>
      </c>
      <c r="C452" t="s">
        <v>163</v>
      </c>
      <c r="D452" t="s">
        <v>417</v>
      </c>
      <c r="E452" t="s">
        <v>417</v>
      </c>
      <c r="F452" t="s">
        <v>417</v>
      </c>
      <c r="G452" s="3" t="e">
        <f t="shared" si="7"/>
        <v>#DIV/0!</v>
      </c>
      <c r="I452" s="3">
        <f>D452/(VLOOKUP(B452,'2024 Team'!$B$2:$G$33,3,FALSE))</f>
        <v>0</v>
      </c>
    </row>
    <row r="453" spans="1:9" x14ac:dyDescent="0.25">
      <c r="A453" t="s">
        <v>1806</v>
      </c>
      <c r="B453" t="s">
        <v>42</v>
      </c>
      <c r="C453" t="s">
        <v>153</v>
      </c>
      <c r="D453" t="s">
        <v>417</v>
      </c>
      <c r="E453" t="s">
        <v>417</v>
      </c>
      <c r="F453" t="s">
        <v>417</v>
      </c>
      <c r="G453" s="3" t="e">
        <f t="shared" si="7"/>
        <v>#DIV/0!</v>
      </c>
      <c r="I453" s="3">
        <f>D453/(VLOOKUP(B453,'2024 Team'!$B$2:$G$33,3,FALSE))</f>
        <v>0</v>
      </c>
    </row>
    <row r="454" spans="1:9" x14ac:dyDescent="0.25">
      <c r="A454" t="s">
        <v>690</v>
      </c>
      <c r="B454" t="s">
        <v>32</v>
      </c>
      <c r="C454" t="s">
        <v>163</v>
      </c>
      <c r="D454" t="s">
        <v>417</v>
      </c>
      <c r="E454" t="s">
        <v>417</v>
      </c>
      <c r="F454" t="s">
        <v>417</v>
      </c>
      <c r="G454" s="3" t="e">
        <f t="shared" si="7"/>
        <v>#DIV/0!</v>
      </c>
      <c r="I454" s="3">
        <f>D454/(VLOOKUP(B454,'2024 Team'!$B$2:$G$33,3,FALSE))</f>
        <v>0</v>
      </c>
    </row>
    <row r="455" spans="1:9" x14ac:dyDescent="0.25">
      <c r="A455" t="s">
        <v>972</v>
      </c>
      <c r="B455" t="s">
        <v>54</v>
      </c>
      <c r="C455" t="s">
        <v>163</v>
      </c>
      <c r="D455" t="s">
        <v>417</v>
      </c>
      <c r="E455" t="s">
        <v>417</v>
      </c>
      <c r="F455" t="s">
        <v>417</v>
      </c>
      <c r="G455" s="3" t="e">
        <f t="shared" si="7"/>
        <v>#DIV/0!</v>
      </c>
      <c r="I455" s="3">
        <f>D455/(VLOOKUP(B455,'2024 Team'!$B$2:$G$33,3,FALSE))</f>
        <v>0</v>
      </c>
    </row>
    <row r="456" spans="1:9" x14ac:dyDescent="0.25">
      <c r="A456" t="s">
        <v>694</v>
      </c>
      <c r="B456" t="s">
        <v>20</v>
      </c>
      <c r="C456" t="s">
        <v>163</v>
      </c>
      <c r="D456" t="s">
        <v>417</v>
      </c>
      <c r="E456" t="s">
        <v>417</v>
      </c>
      <c r="F456" t="s">
        <v>417</v>
      </c>
      <c r="G456" s="3" t="e">
        <f t="shared" si="7"/>
        <v>#DIV/0!</v>
      </c>
      <c r="I456" s="3">
        <f>D456/(VLOOKUP(B456,'2024 Team'!$B$2:$G$33,3,FALSE))</f>
        <v>0</v>
      </c>
    </row>
    <row r="457" spans="1:9" x14ac:dyDescent="0.25">
      <c r="A457" t="s">
        <v>1807</v>
      </c>
      <c r="B457" t="s">
        <v>20</v>
      </c>
      <c r="C457" t="s">
        <v>163</v>
      </c>
      <c r="D457" t="s">
        <v>417</v>
      </c>
      <c r="E457" t="s">
        <v>417</v>
      </c>
      <c r="F457" t="s">
        <v>417</v>
      </c>
      <c r="G457" s="3" t="e">
        <f t="shared" si="7"/>
        <v>#DIV/0!</v>
      </c>
      <c r="I457" s="3">
        <f>D457/(VLOOKUP(B457,'2024 Team'!$B$2:$G$33,3,FALSE))</f>
        <v>0</v>
      </c>
    </row>
    <row r="458" spans="1:9" x14ac:dyDescent="0.25">
      <c r="A458" t="s">
        <v>1750</v>
      </c>
      <c r="B458" t="s">
        <v>66</v>
      </c>
      <c r="C458" t="s">
        <v>163</v>
      </c>
      <c r="D458" t="s">
        <v>417</v>
      </c>
      <c r="E458" t="s">
        <v>417</v>
      </c>
      <c r="F458" t="s">
        <v>417</v>
      </c>
      <c r="G458" s="3" t="e">
        <f t="shared" si="7"/>
        <v>#DIV/0!</v>
      </c>
      <c r="I458" s="3">
        <f>D458/(VLOOKUP(B458,'2024 Team'!$B$2:$G$33,3,FALSE))</f>
        <v>0</v>
      </c>
    </row>
    <row r="459" spans="1:9" x14ac:dyDescent="0.25">
      <c r="A459" t="s">
        <v>1031</v>
      </c>
      <c r="B459" t="s">
        <v>60</v>
      </c>
      <c r="C459" t="s">
        <v>163</v>
      </c>
      <c r="D459" t="s">
        <v>417</v>
      </c>
      <c r="E459" t="s">
        <v>417</v>
      </c>
      <c r="F459" t="s">
        <v>417</v>
      </c>
      <c r="G459" s="3" t="e">
        <f t="shared" si="7"/>
        <v>#DIV/0!</v>
      </c>
      <c r="I459" s="3">
        <f>D459/(VLOOKUP(B459,'2024 Team'!$B$2:$G$33,3,FALSE))</f>
        <v>0</v>
      </c>
    </row>
    <row r="460" spans="1:9" x14ac:dyDescent="0.25">
      <c r="A460" t="s">
        <v>2193</v>
      </c>
      <c r="B460" t="s">
        <v>58</v>
      </c>
      <c r="C460" t="s">
        <v>153</v>
      </c>
      <c r="D460" t="s">
        <v>417</v>
      </c>
      <c r="E460" t="s">
        <v>417</v>
      </c>
      <c r="F460" t="s">
        <v>417</v>
      </c>
      <c r="G460" s="3" t="e">
        <f t="shared" si="7"/>
        <v>#DIV/0!</v>
      </c>
      <c r="I460" s="3">
        <f>D460/(VLOOKUP(B460,'2024 Team'!$B$2:$G$33,3,FALSE))</f>
        <v>0</v>
      </c>
    </row>
    <row r="461" spans="1:9" x14ac:dyDescent="0.25">
      <c r="A461" t="s">
        <v>1017</v>
      </c>
      <c r="B461" t="s">
        <v>62</v>
      </c>
      <c r="C461" t="s">
        <v>163</v>
      </c>
      <c r="D461" t="s">
        <v>417</v>
      </c>
      <c r="E461" t="s">
        <v>417</v>
      </c>
      <c r="F461" t="s">
        <v>417</v>
      </c>
      <c r="G461" s="3" t="e">
        <f t="shared" si="7"/>
        <v>#DIV/0!</v>
      </c>
      <c r="I461" s="3">
        <f>D461/(VLOOKUP(B461,'2024 Team'!$B$2:$G$33,3,FALSE))</f>
        <v>0</v>
      </c>
    </row>
    <row r="462" spans="1:9" x14ac:dyDescent="0.25">
      <c r="A462" t="s">
        <v>762</v>
      </c>
      <c r="B462" t="s">
        <v>22</v>
      </c>
      <c r="C462" t="s">
        <v>163</v>
      </c>
      <c r="D462" t="s">
        <v>417</v>
      </c>
      <c r="E462" t="s">
        <v>417</v>
      </c>
      <c r="F462" t="s">
        <v>417</v>
      </c>
      <c r="G462" s="3" t="e">
        <f t="shared" si="7"/>
        <v>#DIV/0!</v>
      </c>
      <c r="I462" s="3">
        <f>D462/(VLOOKUP(B462,'2024 Team'!$B$2:$G$33,3,FALSE))</f>
        <v>0</v>
      </c>
    </row>
    <row r="463" spans="1:9" x14ac:dyDescent="0.25">
      <c r="A463" t="s">
        <v>1810</v>
      </c>
      <c r="B463" t="s">
        <v>60</v>
      </c>
      <c r="C463" t="s">
        <v>163</v>
      </c>
      <c r="D463" t="s">
        <v>417</v>
      </c>
      <c r="E463" t="s">
        <v>417</v>
      </c>
      <c r="F463" t="s">
        <v>417</v>
      </c>
      <c r="G463" s="3" t="e">
        <f t="shared" si="7"/>
        <v>#DIV/0!</v>
      </c>
      <c r="I463" s="3">
        <f>D463/(VLOOKUP(B463,'2024 Team'!$B$2:$G$33,3,FALSE))</f>
        <v>0</v>
      </c>
    </row>
    <row r="464" spans="1:9" x14ac:dyDescent="0.25">
      <c r="A464" t="s">
        <v>1811</v>
      </c>
      <c r="B464" t="s">
        <v>18</v>
      </c>
      <c r="C464" t="s">
        <v>163</v>
      </c>
      <c r="D464" t="s">
        <v>417</v>
      </c>
      <c r="E464" t="s">
        <v>417</v>
      </c>
      <c r="F464" t="s">
        <v>417</v>
      </c>
      <c r="G464" s="3" t="e">
        <f t="shared" si="7"/>
        <v>#DIV/0!</v>
      </c>
      <c r="I464" s="3">
        <f>D464/(VLOOKUP(B464,'2024 Team'!$B$2:$G$33,3,FALSE))</f>
        <v>0</v>
      </c>
    </row>
    <row r="465" spans="1:9" x14ac:dyDescent="0.25">
      <c r="A465" t="s">
        <v>956</v>
      </c>
      <c r="B465" t="s">
        <v>52</v>
      </c>
      <c r="C465" t="s">
        <v>153</v>
      </c>
      <c r="D465" t="s">
        <v>417</v>
      </c>
      <c r="E465" t="s">
        <v>417</v>
      </c>
      <c r="F465" t="s">
        <v>417</v>
      </c>
      <c r="G465" s="3" t="e">
        <f t="shared" si="7"/>
        <v>#DIV/0!</v>
      </c>
      <c r="I465" s="3">
        <f>D465/(VLOOKUP(B465,'2024 Team'!$B$2:$G$33,3,FALSE))</f>
        <v>0</v>
      </c>
    </row>
    <row r="466" spans="1:9" x14ac:dyDescent="0.25">
      <c r="A466" t="s">
        <v>973</v>
      </c>
      <c r="B466" t="s">
        <v>54</v>
      </c>
      <c r="C466" t="s">
        <v>153</v>
      </c>
      <c r="D466" t="s">
        <v>417</v>
      </c>
      <c r="E466" t="s">
        <v>417</v>
      </c>
      <c r="F466" t="s">
        <v>417</v>
      </c>
      <c r="G466" s="3" t="e">
        <f t="shared" si="7"/>
        <v>#DIV/0!</v>
      </c>
      <c r="I466" s="3">
        <f>D466/(VLOOKUP(B466,'2024 Team'!$B$2:$G$33,3,FALSE))</f>
        <v>0</v>
      </c>
    </row>
    <row r="467" spans="1:9" x14ac:dyDescent="0.25">
      <c r="A467" t="s">
        <v>977</v>
      </c>
      <c r="B467" t="s">
        <v>44</v>
      </c>
      <c r="C467" t="s">
        <v>163</v>
      </c>
      <c r="D467" t="s">
        <v>417</v>
      </c>
      <c r="E467" t="s">
        <v>417</v>
      </c>
      <c r="F467" t="s">
        <v>417</v>
      </c>
      <c r="G467" s="3" t="e">
        <f t="shared" si="7"/>
        <v>#DIV/0!</v>
      </c>
      <c r="I467" s="3">
        <f>D467/(VLOOKUP(B467,'2024 Team'!$B$2:$G$33,3,FALSE))</f>
        <v>0</v>
      </c>
    </row>
    <row r="468" spans="1:9" x14ac:dyDescent="0.25">
      <c r="A468" t="s">
        <v>848</v>
      </c>
      <c r="B468" t="s">
        <v>20</v>
      </c>
      <c r="C468" t="s">
        <v>163</v>
      </c>
      <c r="D468" t="s">
        <v>417</v>
      </c>
      <c r="E468" t="s">
        <v>417</v>
      </c>
      <c r="F468" t="s">
        <v>417</v>
      </c>
      <c r="G468" s="3" t="e">
        <f t="shared" si="7"/>
        <v>#DIV/0!</v>
      </c>
      <c r="I468" s="3">
        <f>D468/(VLOOKUP(B468,'2024 Team'!$B$2:$G$33,3,FALSE))</f>
        <v>0</v>
      </c>
    </row>
    <row r="469" spans="1:9" x14ac:dyDescent="0.25">
      <c r="A469" t="s">
        <v>900</v>
      </c>
      <c r="B469" t="s">
        <v>36</v>
      </c>
      <c r="C469" t="s">
        <v>163</v>
      </c>
      <c r="D469" t="s">
        <v>417</v>
      </c>
      <c r="E469" t="s">
        <v>417</v>
      </c>
      <c r="F469" t="s">
        <v>417</v>
      </c>
      <c r="G469" s="3" t="e">
        <f t="shared" si="7"/>
        <v>#DIV/0!</v>
      </c>
      <c r="I469" s="3">
        <f>D469/(VLOOKUP(B469,'2024 Team'!$B$2:$G$33,3,FALSE))</f>
        <v>0</v>
      </c>
    </row>
    <row r="470" spans="1:9" x14ac:dyDescent="0.25">
      <c r="A470" t="s">
        <v>794</v>
      </c>
      <c r="B470" t="s">
        <v>8</v>
      </c>
      <c r="C470" t="s">
        <v>163</v>
      </c>
      <c r="D470" t="s">
        <v>417</v>
      </c>
      <c r="E470" t="s">
        <v>417</v>
      </c>
      <c r="F470" t="s">
        <v>417</v>
      </c>
      <c r="G470" s="3" t="e">
        <f t="shared" si="7"/>
        <v>#DIV/0!</v>
      </c>
      <c r="I470" s="3">
        <f>D470/(VLOOKUP(B470,'2024 Team'!$B$2:$G$33,3,FALSE))</f>
        <v>0</v>
      </c>
    </row>
    <row r="471" spans="1:9" x14ac:dyDescent="0.25">
      <c r="A471" t="s">
        <v>1816</v>
      </c>
      <c r="B471" t="s">
        <v>32</v>
      </c>
      <c r="C471" t="s">
        <v>153</v>
      </c>
      <c r="D471" t="s">
        <v>417</v>
      </c>
      <c r="E471" t="s">
        <v>417</v>
      </c>
      <c r="F471" t="s">
        <v>417</v>
      </c>
      <c r="G471" s="3" t="e">
        <f t="shared" si="7"/>
        <v>#DIV/0!</v>
      </c>
      <c r="I471" s="3">
        <f>D471/(VLOOKUP(B471,'2024 Team'!$B$2:$G$33,3,FALSE))</f>
        <v>0</v>
      </c>
    </row>
    <row r="472" spans="1:9" x14ac:dyDescent="0.25">
      <c r="A472" t="s">
        <v>872</v>
      </c>
      <c r="B472" t="s">
        <v>28</v>
      </c>
      <c r="C472" t="s">
        <v>163</v>
      </c>
      <c r="D472" t="s">
        <v>417</v>
      </c>
      <c r="E472" t="s">
        <v>417</v>
      </c>
      <c r="F472" t="s">
        <v>417</v>
      </c>
      <c r="G472" s="3" t="e">
        <f t="shared" si="7"/>
        <v>#DIV/0!</v>
      </c>
      <c r="I472" s="3">
        <f>D472/(VLOOKUP(B472,'2024 Team'!$B$2:$G$33,3,FALSE))</f>
        <v>0</v>
      </c>
    </row>
    <row r="473" spans="1:9" x14ac:dyDescent="0.25">
      <c r="A473" t="s">
        <v>2194</v>
      </c>
      <c r="B473" t="s">
        <v>40</v>
      </c>
      <c r="C473" t="s">
        <v>163</v>
      </c>
      <c r="D473" t="s">
        <v>417</v>
      </c>
      <c r="E473" t="s">
        <v>417</v>
      </c>
      <c r="F473" t="s">
        <v>417</v>
      </c>
      <c r="G473" s="3" t="e">
        <f t="shared" si="7"/>
        <v>#DIV/0!</v>
      </c>
      <c r="I473" s="3">
        <f>D473/(VLOOKUP(B473,'2024 Team'!$B$2:$G$33,3,FALSE))</f>
        <v>0</v>
      </c>
    </row>
    <row r="474" spans="1:9" x14ac:dyDescent="0.25">
      <c r="A474" t="s">
        <v>824</v>
      </c>
      <c r="B474" t="s">
        <v>14</v>
      </c>
      <c r="C474" t="s">
        <v>153</v>
      </c>
      <c r="D474" t="s">
        <v>417</v>
      </c>
      <c r="E474" t="s">
        <v>417</v>
      </c>
      <c r="F474" t="s">
        <v>417</v>
      </c>
      <c r="G474" s="3" t="e">
        <f t="shared" si="7"/>
        <v>#DIV/0!</v>
      </c>
      <c r="I474" s="3">
        <f>D474/(VLOOKUP(B474,'2024 Team'!$B$2:$G$33,3,FALSE))</f>
        <v>0</v>
      </c>
    </row>
    <row r="475" spans="1:9" x14ac:dyDescent="0.25">
      <c r="A475" t="s">
        <v>1032</v>
      </c>
      <c r="B475" t="s">
        <v>68</v>
      </c>
      <c r="C475" t="s">
        <v>163</v>
      </c>
      <c r="D475" t="s">
        <v>417</v>
      </c>
      <c r="E475" t="s">
        <v>417</v>
      </c>
      <c r="F475" t="s">
        <v>417</v>
      </c>
      <c r="G475" s="3" t="e">
        <f t="shared" si="7"/>
        <v>#DIV/0!</v>
      </c>
      <c r="I475" s="3">
        <f>D475/(VLOOKUP(B475,'2024 Team'!$B$2:$G$33,3,FALSE))</f>
        <v>0</v>
      </c>
    </row>
    <row r="476" spans="1:9" x14ac:dyDescent="0.25">
      <c r="A476" t="s">
        <v>888</v>
      </c>
      <c r="B476" t="s">
        <v>36</v>
      </c>
      <c r="C476" t="s">
        <v>163</v>
      </c>
      <c r="D476" t="s">
        <v>417</v>
      </c>
      <c r="E476" t="s">
        <v>417</v>
      </c>
      <c r="F476" t="s">
        <v>417</v>
      </c>
      <c r="G476" s="3" t="e">
        <f t="shared" si="7"/>
        <v>#DIV/0!</v>
      </c>
      <c r="I476" s="3">
        <f>D476/(VLOOKUP(B476,'2024 Team'!$B$2:$G$33,3,FALSE))</f>
        <v>0</v>
      </c>
    </row>
    <row r="477" spans="1:9" x14ac:dyDescent="0.25">
      <c r="A477" t="s">
        <v>770</v>
      </c>
      <c r="B477" t="s">
        <v>62</v>
      </c>
      <c r="C477" t="s">
        <v>153</v>
      </c>
      <c r="D477" t="s">
        <v>417</v>
      </c>
      <c r="E477" t="s">
        <v>417</v>
      </c>
      <c r="F477" t="s">
        <v>417</v>
      </c>
      <c r="G477" s="3" t="e">
        <f t="shared" si="7"/>
        <v>#DIV/0!</v>
      </c>
      <c r="I477" s="3">
        <f>D477/(VLOOKUP(B477,'2024 Team'!$B$2:$G$33,3,FALSE))</f>
        <v>0</v>
      </c>
    </row>
    <row r="478" spans="1:9" x14ac:dyDescent="0.25">
      <c r="A478" t="s">
        <v>168</v>
      </c>
      <c r="B478" t="s">
        <v>18</v>
      </c>
      <c r="C478" t="s">
        <v>153</v>
      </c>
      <c r="D478" t="s">
        <v>417</v>
      </c>
      <c r="E478" t="s">
        <v>417</v>
      </c>
      <c r="F478" t="s">
        <v>417</v>
      </c>
      <c r="G478" s="3" t="e">
        <f t="shared" si="7"/>
        <v>#DIV/0!</v>
      </c>
      <c r="I478" s="3">
        <f>D478/(VLOOKUP(B478,'2024 Team'!$B$2:$G$33,3,FALSE))</f>
        <v>0</v>
      </c>
    </row>
    <row r="479" spans="1:9" x14ac:dyDescent="0.25">
      <c r="A479" t="s">
        <v>825</v>
      </c>
      <c r="B479" t="s">
        <v>14</v>
      </c>
      <c r="C479" t="s">
        <v>153</v>
      </c>
      <c r="D479" t="s">
        <v>417</v>
      </c>
      <c r="E479" t="s">
        <v>417</v>
      </c>
      <c r="F479" t="s">
        <v>417</v>
      </c>
      <c r="G479" s="3" t="e">
        <f t="shared" si="7"/>
        <v>#DIV/0!</v>
      </c>
      <c r="I479" s="3">
        <f>D479/(VLOOKUP(B479,'2024 Team'!$B$2:$G$33,3,FALSE))</f>
        <v>0</v>
      </c>
    </row>
    <row r="480" spans="1:9" x14ac:dyDescent="0.25">
      <c r="A480" t="s">
        <v>868</v>
      </c>
      <c r="B480" t="s">
        <v>26</v>
      </c>
      <c r="C480" t="s">
        <v>153</v>
      </c>
      <c r="D480" t="s">
        <v>417</v>
      </c>
      <c r="E480" t="s">
        <v>417</v>
      </c>
      <c r="F480" t="s">
        <v>417</v>
      </c>
      <c r="G480" s="3" t="e">
        <f t="shared" si="7"/>
        <v>#DIV/0!</v>
      </c>
      <c r="I480" s="3">
        <f>D480/(VLOOKUP(B480,'2024 Team'!$B$2:$G$33,3,FALSE))</f>
        <v>0</v>
      </c>
    </row>
    <row r="481" spans="1:9" x14ac:dyDescent="0.25">
      <c r="A481" t="s">
        <v>873</v>
      </c>
      <c r="B481" t="s">
        <v>28</v>
      </c>
      <c r="C481" t="s">
        <v>153</v>
      </c>
      <c r="D481" t="s">
        <v>417</v>
      </c>
      <c r="E481" t="s">
        <v>417</v>
      </c>
      <c r="F481" t="s">
        <v>417</v>
      </c>
      <c r="G481" s="3" t="e">
        <f t="shared" si="7"/>
        <v>#DIV/0!</v>
      </c>
      <c r="I481" s="3">
        <f>D481/(VLOOKUP(B481,'2024 Team'!$B$2:$G$33,3,FALSE))</f>
        <v>0</v>
      </c>
    </row>
    <row r="482" spans="1:9" x14ac:dyDescent="0.25">
      <c r="A482" t="s">
        <v>2195</v>
      </c>
      <c r="B482" t="s">
        <v>68</v>
      </c>
      <c r="C482" t="s">
        <v>2184</v>
      </c>
      <c r="D482" t="s">
        <v>417</v>
      </c>
      <c r="E482" t="s">
        <v>417</v>
      </c>
      <c r="F482" t="s">
        <v>417</v>
      </c>
      <c r="G482" s="3" t="e">
        <f t="shared" si="7"/>
        <v>#DIV/0!</v>
      </c>
      <c r="I482" s="3">
        <f>D482/(VLOOKUP(B482,'2024 Team'!$B$2:$G$33,3,FALSE))</f>
        <v>0</v>
      </c>
    </row>
    <row r="483" spans="1:9" x14ac:dyDescent="0.25">
      <c r="A483" t="s">
        <v>978</v>
      </c>
      <c r="B483" t="s">
        <v>56</v>
      </c>
      <c r="C483" t="s">
        <v>163</v>
      </c>
      <c r="D483" t="s">
        <v>417</v>
      </c>
      <c r="E483" t="s">
        <v>417</v>
      </c>
      <c r="F483" t="s">
        <v>417</v>
      </c>
      <c r="G483" s="3" t="e">
        <f t="shared" si="7"/>
        <v>#DIV/0!</v>
      </c>
      <c r="I483" s="3">
        <f>D483/(VLOOKUP(B483,'2024 Team'!$B$2:$G$33,3,FALSE))</f>
        <v>0</v>
      </c>
    </row>
    <row r="484" spans="1:9" x14ac:dyDescent="0.25">
      <c r="A484" t="s">
        <v>1820</v>
      </c>
      <c r="B484" t="s">
        <v>18</v>
      </c>
      <c r="C484" t="s">
        <v>153</v>
      </c>
      <c r="D484" t="s">
        <v>417</v>
      </c>
      <c r="E484" t="s">
        <v>417</v>
      </c>
      <c r="F484" t="s">
        <v>417</v>
      </c>
      <c r="G484" s="3" t="e">
        <f t="shared" si="7"/>
        <v>#DIV/0!</v>
      </c>
      <c r="I484" s="3">
        <f>D484/(VLOOKUP(B484,'2024 Team'!$B$2:$G$33,3,FALSE))</f>
        <v>0</v>
      </c>
    </row>
    <row r="485" spans="1:9" x14ac:dyDescent="0.25">
      <c r="A485" t="s">
        <v>815</v>
      </c>
      <c r="B485" t="s">
        <v>12</v>
      </c>
      <c r="C485" t="s">
        <v>153</v>
      </c>
      <c r="D485" t="s">
        <v>417</v>
      </c>
      <c r="E485" t="s">
        <v>417</v>
      </c>
      <c r="F485" t="s">
        <v>417</v>
      </c>
      <c r="G485" s="3" t="e">
        <f t="shared" si="7"/>
        <v>#DIV/0!</v>
      </c>
      <c r="I485" s="3">
        <f>D485/(VLOOKUP(B485,'2024 Team'!$B$2:$G$33,3,FALSE))</f>
        <v>0</v>
      </c>
    </row>
    <row r="486" spans="1:9" x14ac:dyDescent="0.25">
      <c r="A486" t="s">
        <v>935</v>
      </c>
      <c r="B486" t="s">
        <v>64</v>
      </c>
      <c r="C486" t="s">
        <v>163</v>
      </c>
      <c r="D486" t="s">
        <v>417</v>
      </c>
      <c r="E486" t="s">
        <v>417</v>
      </c>
      <c r="F486" t="s">
        <v>417</v>
      </c>
      <c r="G486" s="3" t="e">
        <f t="shared" si="7"/>
        <v>#DIV/0!</v>
      </c>
      <c r="I486" s="3">
        <f>D486/(VLOOKUP(B486,'2024 Team'!$B$2:$G$33,3,FALSE))</f>
        <v>0</v>
      </c>
    </row>
    <row r="487" spans="1:9" x14ac:dyDescent="0.25">
      <c r="A487" t="s">
        <v>901</v>
      </c>
      <c r="B487" t="s">
        <v>44</v>
      </c>
      <c r="C487" t="s">
        <v>153</v>
      </c>
      <c r="D487" t="s">
        <v>417</v>
      </c>
      <c r="E487" t="s">
        <v>417</v>
      </c>
      <c r="F487" t="s">
        <v>417</v>
      </c>
      <c r="G487" s="3" t="e">
        <f t="shared" si="7"/>
        <v>#DIV/0!</v>
      </c>
      <c r="I487" s="3">
        <f>D487/(VLOOKUP(B487,'2024 Team'!$B$2:$G$33,3,FALSE))</f>
        <v>0</v>
      </c>
    </row>
    <row r="488" spans="1:9" x14ac:dyDescent="0.25">
      <c r="A488" t="s">
        <v>2196</v>
      </c>
      <c r="B488" t="s">
        <v>50</v>
      </c>
      <c r="C488" t="s">
        <v>2184</v>
      </c>
      <c r="D488" t="s">
        <v>417</v>
      </c>
      <c r="E488" t="s">
        <v>417</v>
      </c>
      <c r="F488" t="s">
        <v>417</v>
      </c>
      <c r="G488" s="3" t="e">
        <f t="shared" si="7"/>
        <v>#DIV/0!</v>
      </c>
      <c r="I488" s="3">
        <f>D488/(VLOOKUP(B488,'2024 Team'!$B$2:$G$33,3,FALSE))</f>
        <v>0</v>
      </c>
    </row>
    <row r="489" spans="1:9" x14ac:dyDescent="0.25">
      <c r="A489" t="s">
        <v>894</v>
      </c>
      <c r="B489" t="s">
        <v>34</v>
      </c>
      <c r="C489" t="s">
        <v>153</v>
      </c>
      <c r="D489" t="s">
        <v>417</v>
      </c>
      <c r="E489" t="s">
        <v>417</v>
      </c>
      <c r="F489" t="s">
        <v>417</v>
      </c>
      <c r="G489" s="3" t="e">
        <f t="shared" si="7"/>
        <v>#DIV/0!</v>
      </c>
      <c r="I489" s="3">
        <f>D489/(VLOOKUP(B489,'2024 Team'!$B$2:$G$33,3,FALSE))</f>
        <v>0</v>
      </c>
    </row>
    <row r="490" spans="1:9" x14ac:dyDescent="0.25">
      <c r="A490" t="s">
        <v>974</v>
      </c>
      <c r="B490" t="s">
        <v>54</v>
      </c>
      <c r="C490" t="s">
        <v>153</v>
      </c>
      <c r="D490" t="s">
        <v>417</v>
      </c>
      <c r="E490" t="s">
        <v>417</v>
      </c>
      <c r="F490" t="s">
        <v>417</v>
      </c>
      <c r="G490" s="3" t="e">
        <f t="shared" si="7"/>
        <v>#DIV/0!</v>
      </c>
      <c r="I490" s="3">
        <f>D490/(VLOOKUP(B490,'2024 Team'!$B$2:$G$33,3,FALSE))</f>
        <v>0</v>
      </c>
    </row>
    <row r="491" spans="1:9" x14ac:dyDescent="0.25">
      <c r="A491" t="s">
        <v>1821</v>
      </c>
      <c r="B491" t="s">
        <v>40</v>
      </c>
      <c r="C491" t="s">
        <v>163</v>
      </c>
      <c r="D491" t="s">
        <v>417</v>
      </c>
      <c r="E491" t="s">
        <v>417</v>
      </c>
      <c r="F491" t="s">
        <v>417</v>
      </c>
      <c r="G491" s="3" t="e">
        <f t="shared" si="7"/>
        <v>#DIV/0!</v>
      </c>
      <c r="I491" s="3">
        <f>D491/(VLOOKUP(B491,'2024 Team'!$B$2:$G$33,3,FALSE))</f>
        <v>0</v>
      </c>
    </row>
    <row r="492" spans="1:9" x14ac:dyDescent="0.25">
      <c r="A492" t="s">
        <v>1046</v>
      </c>
      <c r="B492" t="s">
        <v>68</v>
      </c>
      <c r="C492" t="s">
        <v>163</v>
      </c>
      <c r="D492" t="s">
        <v>417</v>
      </c>
      <c r="E492" t="s">
        <v>417</v>
      </c>
      <c r="F492" t="s">
        <v>417</v>
      </c>
      <c r="G492" s="3" t="e">
        <f t="shared" si="7"/>
        <v>#DIV/0!</v>
      </c>
      <c r="I492" s="3">
        <f>D492/(VLOOKUP(B492,'2024 Team'!$B$2:$G$33,3,FALSE))</f>
        <v>0</v>
      </c>
    </row>
    <row r="493" spans="1:9" x14ac:dyDescent="0.25">
      <c r="A493" t="s">
        <v>1033</v>
      </c>
      <c r="B493" t="s">
        <v>68</v>
      </c>
      <c r="C493" t="s">
        <v>153</v>
      </c>
      <c r="D493" t="s">
        <v>417</v>
      </c>
      <c r="E493" t="s">
        <v>417</v>
      </c>
      <c r="F493" t="s">
        <v>417</v>
      </c>
      <c r="G493" s="3" t="e">
        <f t="shared" si="7"/>
        <v>#DIV/0!</v>
      </c>
      <c r="I493" s="3">
        <f>D493/(VLOOKUP(B493,'2024 Team'!$B$2:$G$33,3,FALSE))</f>
        <v>0</v>
      </c>
    </row>
    <row r="494" spans="1:9" x14ac:dyDescent="0.25">
      <c r="A494" t="s">
        <v>921</v>
      </c>
      <c r="B494" t="s">
        <v>42</v>
      </c>
      <c r="C494" t="s">
        <v>2197</v>
      </c>
      <c r="D494" t="s">
        <v>417</v>
      </c>
      <c r="E494" t="s">
        <v>417</v>
      </c>
      <c r="F494" t="s">
        <v>417</v>
      </c>
      <c r="G494" s="3" t="e">
        <f t="shared" si="7"/>
        <v>#DIV/0!</v>
      </c>
      <c r="I494" s="3">
        <f>D494/(VLOOKUP(B494,'2024 Team'!$B$2:$G$33,3,FALSE))</f>
        <v>0</v>
      </c>
    </row>
    <row r="495" spans="1:9" x14ac:dyDescent="0.25">
      <c r="A495" t="s">
        <v>2198</v>
      </c>
      <c r="B495" t="s">
        <v>16</v>
      </c>
      <c r="C495" t="s">
        <v>153</v>
      </c>
      <c r="D495" t="s">
        <v>417</v>
      </c>
      <c r="E495" t="s">
        <v>417</v>
      </c>
      <c r="F495" t="s">
        <v>417</v>
      </c>
      <c r="G495" s="3" t="e">
        <f t="shared" si="7"/>
        <v>#DIV/0!</v>
      </c>
      <c r="I495" s="3">
        <f>D495/(VLOOKUP(B495,'2024 Team'!$B$2:$G$33,3,FALSE))</f>
        <v>0</v>
      </c>
    </row>
    <row r="496" spans="1:9" x14ac:dyDescent="0.25">
      <c r="A496" t="s">
        <v>936</v>
      </c>
      <c r="B496" t="s">
        <v>40</v>
      </c>
      <c r="C496" t="s">
        <v>153</v>
      </c>
      <c r="D496" t="s">
        <v>417</v>
      </c>
      <c r="E496" t="s">
        <v>417</v>
      </c>
      <c r="F496" t="s">
        <v>417</v>
      </c>
      <c r="G496" s="3" t="e">
        <f t="shared" si="7"/>
        <v>#DIV/0!</v>
      </c>
      <c r="I496" s="3">
        <f>D496/(VLOOKUP(B496,'2024 Team'!$B$2:$G$33,3,FALSE))</f>
        <v>0</v>
      </c>
    </row>
    <row r="497" spans="1:9" x14ac:dyDescent="0.25">
      <c r="A497" t="s">
        <v>1047</v>
      </c>
      <c r="B497" t="s">
        <v>70</v>
      </c>
      <c r="C497" t="s">
        <v>163</v>
      </c>
      <c r="D497" t="s">
        <v>417</v>
      </c>
      <c r="E497" t="s">
        <v>417</v>
      </c>
      <c r="F497" t="s">
        <v>417</v>
      </c>
      <c r="G497" s="3" t="e">
        <f t="shared" si="7"/>
        <v>#DIV/0!</v>
      </c>
      <c r="I497" s="3">
        <f>D497/(VLOOKUP(B497,'2024 Team'!$B$2:$G$33,3,FALSE))</f>
        <v>0</v>
      </c>
    </row>
    <row r="498" spans="1:9" x14ac:dyDescent="0.25">
      <c r="A498" t="s">
        <v>922</v>
      </c>
      <c r="B498" t="s">
        <v>42</v>
      </c>
      <c r="C498" t="s">
        <v>163</v>
      </c>
      <c r="D498" t="s">
        <v>417</v>
      </c>
      <c r="E498" t="s">
        <v>417</v>
      </c>
      <c r="F498" t="s">
        <v>417</v>
      </c>
      <c r="G498" s="3" t="e">
        <f t="shared" si="7"/>
        <v>#DIV/0!</v>
      </c>
      <c r="I498" s="3">
        <f>D498/(VLOOKUP(B498,'2024 Team'!$B$2:$G$33,3,FALSE))</f>
        <v>0</v>
      </c>
    </row>
    <row r="499" spans="1:9" x14ac:dyDescent="0.25">
      <c r="A499" t="s">
        <v>2199</v>
      </c>
      <c r="B499" t="s">
        <v>52</v>
      </c>
      <c r="C499" t="s">
        <v>163</v>
      </c>
      <c r="D499" t="s">
        <v>417</v>
      </c>
      <c r="E499" t="s">
        <v>417</v>
      </c>
      <c r="F499" t="s">
        <v>417</v>
      </c>
      <c r="G499" s="3" t="e">
        <f t="shared" si="7"/>
        <v>#DIV/0!</v>
      </c>
      <c r="I499" s="3">
        <f>D499/(VLOOKUP(B499,'2024 Team'!$B$2:$G$33,3,FALSE))</f>
        <v>0</v>
      </c>
    </row>
    <row r="500" spans="1:9" x14ac:dyDescent="0.25">
      <c r="A500" t="s">
        <v>707</v>
      </c>
      <c r="B500" t="s">
        <v>64</v>
      </c>
      <c r="C500" t="s">
        <v>163</v>
      </c>
      <c r="D500" t="s">
        <v>417</v>
      </c>
      <c r="E500" t="s">
        <v>417</v>
      </c>
      <c r="F500" t="s">
        <v>417</v>
      </c>
      <c r="G500" s="3" t="e">
        <f t="shared" si="7"/>
        <v>#DIV/0!</v>
      </c>
      <c r="I500" s="3">
        <f>D500/(VLOOKUP(B500,'2024 Team'!$B$2:$G$33,3,FALSE))</f>
        <v>0</v>
      </c>
    </row>
    <row r="501" spans="1:9" x14ac:dyDescent="0.25">
      <c r="A501" t="s">
        <v>677</v>
      </c>
      <c r="B501" t="s">
        <v>32</v>
      </c>
      <c r="C501" t="s">
        <v>163</v>
      </c>
      <c r="D501" t="s">
        <v>417</v>
      </c>
      <c r="E501" t="s">
        <v>417</v>
      </c>
      <c r="F501" t="s">
        <v>417</v>
      </c>
      <c r="G501" s="3" t="e">
        <f t="shared" si="7"/>
        <v>#DIV/0!</v>
      </c>
      <c r="I501" s="3">
        <f>D501/(VLOOKUP(B501,'2024 Team'!$B$2:$G$33,3,FALSE))</f>
        <v>0</v>
      </c>
    </row>
    <row r="502" spans="1:9" x14ac:dyDescent="0.25">
      <c r="A502" t="s">
        <v>2200</v>
      </c>
      <c r="B502" t="s">
        <v>12</v>
      </c>
      <c r="C502" t="s">
        <v>163</v>
      </c>
      <c r="D502" t="s">
        <v>417</v>
      </c>
      <c r="E502" t="s">
        <v>417</v>
      </c>
      <c r="F502" t="s">
        <v>417</v>
      </c>
      <c r="G502" s="3" t="e">
        <f t="shared" si="7"/>
        <v>#DIV/0!</v>
      </c>
      <c r="I502" s="3">
        <f>D502/(VLOOKUP(B502,'2024 Team'!$B$2:$G$33,3,FALSE))</f>
        <v>0</v>
      </c>
    </row>
    <row r="503" spans="1:9" x14ac:dyDescent="0.25">
      <c r="A503" t="s">
        <v>1026</v>
      </c>
      <c r="B503" t="s">
        <v>66</v>
      </c>
      <c r="C503" t="s">
        <v>163</v>
      </c>
      <c r="D503" t="s">
        <v>417</v>
      </c>
      <c r="E503" t="s">
        <v>417</v>
      </c>
      <c r="F503" t="s">
        <v>417</v>
      </c>
      <c r="G503" s="3" t="e">
        <f t="shared" ref="G503:G565" si="8">F503/D503</f>
        <v>#DIV/0!</v>
      </c>
      <c r="I503" s="3">
        <f>D503/(VLOOKUP(B503,'2024 Team'!$B$2:$G$33,3,FALSE))</f>
        <v>0</v>
      </c>
    </row>
    <row r="504" spans="1:9" x14ac:dyDescent="0.25">
      <c r="A504" t="s">
        <v>1001</v>
      </c>
      <c r="B504" t="s">
        <v>60</v>
      </c>
      <c r="C504" t="s">
        <v>163</v>
      </c>
      <c r="D504" t="s">
        <v>417</v>
      </c>
      <c r="E504" t="s">
        <v>417</v>
      </c>
      <c r="F504" t="s">
        <v>417</v>
      </c>
      <c r="G504" s="3" t="e">
        <f t="shared" si="8"/>
        <v>#DIV/0!</v>
      </c>
      <c r="I504" s="3">
        <f>D504/(VLOOKUP(B504,'2024 Team'!$B$2:$G$33,3,FALSE))</f>
        <v>0</v>
      </c>
    </row>
    <row r="505" spans="1:9" x14ac:dyDescent="0.25">
      <c r="A505" t="s">
        <v>807</v>
      </c>
      <c r="B505" t="s">
        <v>10</v>
      </c>
      <c r="C505" t="s">
        <v>163</v>
      </c>
      <c r="D505" t="s">
        <v>417</v>
      </c>
      <c r="E505" t="s">
        <v>417</v>
      </c>
      <c r="F505" t="s">
        <v>417</v>
      </c>
      <c r="G505" s="3" t="e">
        <f t="shared" si="8"/>
        <v>#DIV/0!</v>
      </c>
      <c r="I505" s="3">
        <f>D505/(VLOOKUP(B505,'2024 Team'!$B$2:$G$33,3,FALSE))</f>
        <v>0</v>
      </c>
    </row>
    <row r="506" spans="1:9" x14ac:dyDescent="0.25">
      <c r="A506" t="s">
        <v>720</v>
      </c>
      <c r="B506" t="s">
        <v>38</v>
      </c>
      <c r="C506" t="s">
        <v>163</v>
      </c>
      <c r="D506" t="s">
        <v>417</v>
      </c>
      <c r="E506" t="s">
        <v>417</v>
      </c>
      <c r="F506" t="s">
        <v>417</v>
      </c>
      <c r="G506" s="3" t="e">
        <f t="shared" si="8"/>
        <v>#DIV/0!</v>
      </c>
      <c r="I506" s="3">
        <f>D506/(VLOOKUP(B506,'2024 Team'!$B$2:$G$33,3,FALSE))</f>
        <v>0</v>
      </c>
    </row>
    <row r="507" spans="1:9" x14ac:dyDescent="0.25">
      <c r="A507" t="s">
        <v>958</v>
      </c>
      <c r="B507" t="s">
        <v>52</v>
      </c>
      <c r="C507" t="s">
        <v>153</v>
      </c>
      <c r="D507" t="s">
        <v>417</v>
      </c>
      <c r="E507" t="s">
        <v>417</v>
      </c>
      <c r="F507" t="s">
        <v>417</v>
      </c>
      <c r="G507" s="3" t="e">
        <f t="shared" si="8"/>
        <v>#DIV/0!</v>
      </c>
      <c r="I507" s="3">
        <f>D507/(VLOOKUP(B507,'2024 Team'!$B$2:$G$33,3,FALSE))</f>
        <v>0</v>
      </c>
    </row>
    <row r="508" spans="1:9" x14ac:dyDescent="0.25">
      <c r="A508" t="s">
        <v>902</v>
      </c>
      <c r="B508" t="s">
        <v>14</v>
      </c>
      <c r="C508" t="s">
        <v>153</v>
      </c>
      <c r="D508" t="s">
        <v>417</v>
      </c>
      <c r="E508" t="s">
        <v>417</v>
      </c>
      <c r="F508" t="s">
        <v>417</v>
      </c>
      <c r="G508" s="3" t="e">
        <f t="shared" si="8"/>
        <v>#DIV/0!</v>
      </c>
      <c r="I508" s="3">
        <f>D508/(VLOOKUP(B508,'2024 Team'!$B$2:$G$33,3,FALSE))</f>
        <v>0</v>
      </c>
    </row>
    <row r="509" spans="1:9" x14ac:dyDescent="0.25">
      <c r="A509" t="s">
        <v>2201</v>
      </c>
      <c r="B509" t="s">
        <v>38</v>
      </c>
      <c r="C509" t="s">
        <v>2184</v>
      </c>
      <c r="D509" t="s">
        <v>417</v>
      </c>
      <c r="E509" t="s">
        <v>417</v>
      </c>
      <c r="F509" t="s">
        <v>417</v>
      </c>
      <c r="G509" s="3" t="e">
        <f t="shared" si="8"/>
        <v>#DIV/0!</v>
      </c>
      <c r="I509" s="3">
        <f>D509/(VLOOKUP(B509,'2024 Team'!$B$2:$G$33,3,FALSE))</f>
        <v>0</v>
      </c>
    </row>
    <row r="510" spans="1:9" x14ac:dyDescent="0.25">
      <c r="A510" t="s">
        <v>903</v>
      </c>
      <c r="B510" t="s">
        <v>48</v>
      </c>
      <c r="C510" t="s">
        <v>153</v>
      </c>
      <c r="D510" t="s">
        <v>417</v>
      </c>
      <c r="E510" t="s">
        <v>417</v>
      </c>
      <c r="F510" t="s">
        <v>417</v>
      </c>
      <c r="G510" s="3" t="e">
        <f t="shared" si="8"/>
        <v>#DIV/0!</v>
      </c>
      <c r="I510" s="3">
        <f>D510/(VLOOKUP(B510,'2024 Team'!$B$2:$G$33,3,FALSE))</f>
        <v>0</v>
      </c>
    </row>
    <row r="511" spans="1:9" x14ac:dyDescent="0.25">
      <c r="A511" t="s">
        <v>883</v>
      </c>
      <c r="B511" t="s">
        <v>30</v>
      </c>
      <c r="C511" t="s">
        <v>153</v>
      </c>
      <c r="D511" t="s">
        <v>417</v>
      </c>
      <c r="E511" t="s">
        <v>417</v>
      </c>
      <c r="F511" t="s">
        <v>417</v>
      </c>
      <c r="G511" s="3" t="e">
        <f t="shared" si="8"/>
        <v>#DIV/0!</v>
      </c>
      <c r="I511" s="3">
        <f>D511/(VLOOKUP(B511,'2024 Team'!$B$2:$G$33,3,FALSE))</f>
        <v>0</v>
      </c>
    </row>
    <row r="512" spans="1:9" x14ac:dyDescent="0.25">
      <c r="A512" t="s">
        <v>852</v>
      </c>
      <c r="B512" t="s">
        <v>22</v>
      </c>
      <c r="C512" t="s">
        <v>153</v>
      </c>
      <c r="D512" t="s">
        <v>417</v>
      </c>
      <c r="E512" t="s">
        <v>417</v>
      </c>
      <c r="F512" t="s">
        <v>417</v>
      </c>
      <c r="G512" s="3" t="e">
        <f t="shared" si="8"/>
        <v>#DIV/0!</v>
      </c>
      <c r="I512" s="3">
        <f>D512/(VLOOKUP(B512,'2024 Team'!$B$2:$G$33,3,FALSE))</f>
        <v>0</v>
      </c>
    </row>
    <row r="513" spans="1:9" x14ac:dyDescent="0.25">
      <c r="A513" t="s">
        <v>895</v>
      </c>
      <c r="B513" t="s">
        <v>34</v>
      </c>
      <c r="C513" t="s">
        <v>153</v>
      </c>
      <c r="D513" t="s">
        <v>417</v>
      </c>
      <c r="E513" t="s">
        <v>417</v>
      </c>
      <c r="F513" t="s">
        <v>417</v>
      </c>
      <c r="G513" s="3" t="e">
        <f t="shared" si="8"/>
        <v>#DIV/0!</v>
      </c>
      <c r="I513" s="3">
        <f>D513/(VLOOKUP(B513,'2024 Team'!$B$2:$G$33,3,FALSE))</f>
        <v>0</v>
      </c>
    </row>
    <row r="514" spans="1:9" x14ac:dyDescent="0.25">
      <c r="A514" t="s">
        <v>1035</v>
      </c>
      <c r="B514" t="s">
        <v>68</v>
      </c>
      <c r="C514" t="s">
        <v>163</v>
      </c>
      <c r="D514" t="s">
        <v>417</v>
      </c>
      <c r="E514" t="s">
        <v>417</v>
      </c>
      <c r="F514" t="s">
        <v>417</v>
      </c>
      <c r="G514" s="3" t="e">
        <f t="shared" si="8"/>
        <v>#DIV/0!</v>
      </c>
      <c r="I514" s="3">
        <f>D514/(VLOOKUP(B514,'2024 Team'!$B$2:$G$33,3,FALSE))</f>
        <v>0</v>
      </c>
    </row>
    <row r="515" spans="1:9" x14ac:dyDescent="0.25">
      <c r="A515" t="s">
        <v>950</v>
      </c>
      <c r="B515" t="s">
        <v>48</v>
      </c>
      <c r="C515" t="s">
        <v>153</v>
      </c>
      <c r="D515" t="s">
        <v>417</v>
      </c>
      <c r="E515" t="s">
        <v>417</v>
      </c>
      <c r="F515" t="s">
        <v>417</v>
      </c>
      <c r="G515" s="3" t="e">
        <f t="shared" si="8"/>
        <v>#DIV/0!</v>
      </c>
      <c r="I515" s="3">
        <f>D515/(VLOOKUP(B515,'2024 Team'!$B$2:$G$33,3,FALSE))</f>
        <v>0</v>
      </c>
    </row>
    <row r="516" spans="1:9" x14ac:dyDescent="0.25">
      <c r="A516" t="s">
        <v>1827</v>
      </c>
      <c r="B516" t="s">
        <v>50</v>
      </c>
      <c r="C516" t="s">
        <v>163</v>
      </c>
      <c r="D516" t="s">
        <v>417</v>
      </c>
      <c r="E516" t="s">
        <v>417</v>
      </c>
      <c r="F516" t="s">
        <v>417</v>
      </c>
      <c r="G516" s="3" t="e">
        <f t="shared" si="8"/>
        <v>#DIV/0!</v>
      </c>
      <c r="I516" s="3">
        <f>D516/(VLOOKUP(B516,'2024 Team'!$B$2:$G$33,3,FALSE))</f>
        <v>0</v>
      </c>
    </row>
    <row r="517" spans="1:9" x14ac:dyDescent="0.25">
      <c r="A517" t="s">
        <v>827</v>
      </c>
      <c r="B517" t="s">
        <v>42</v>
      </c>
      <c r="C517" t="s">
        <v>163</v>
      </c>
      <c r="D517" t="s">
        <v>417</v>
      </c>
      <c r="E517" t="s">
        <v>417</v>
      </c>
      <c r="F517" t="s">
        <v>417</v>
      </c>
      <c r="G517" s="3" t="e">
        <f t="shared" si="8"/>
        <v>#DIV/0!</v>
      </c>
      <c r="I517" s="3">
        <f>D517/(VLOOKUP(B517,'2024 Team'!$B$2:$G$33,3,FALSE))</f>
        <v>0</v>
      </c>
    </row>
    <row r="518" spans="1:9" x14ac:dyDescent="0.25">
      <c r="A518" t="s">
        <v>1734</v>
      </c>
      <c r="B518" t="s">
        <v>66</v>
      </c>
      <c r="C518" t="s">
        <v>163</v>
      </c>
      <c r="D518" t="s">
        <v>417</v>
      </c>
      <c r="E518" t="s">
        <v>417</v>
      </c>
      <c r="F518" t="s">
        <v>417</v>
      </c>
      <c r="G518" s="3" t="e">
        <f t="shared" si="8"/>
        <v>#DIV/0!</v>
      </c>
      <c r="I518" s="3">
        <f>D518/(VLOOKUP(B518,'2024 Team'!$B$2:$G$33,3,FALSE))</f>
        <v>0</v>
      </c>
    </row>
    <row r="519" spans="1:9" x14ac:dyDescent="0.25">
      <c r="A519" t="s">
        <v>929</v>
      </c>
      <c r="B519" t="s">
        <v>44</v>
      </c>
      <c r="C519" t="s">
        <v>153</v>
      </c>
      <c r="D519" t="s">
        <v>417</v>
      </c>
      <c r="E519" t="s">
        <v>417</v>
      </c>
      <c r="F519" t="s">
        <v>417</v>
      </c>
      <c r="G519" s="3" t="e">
        <f t="shared" si="8"/>
        <v>#DIV/0!</v>
      </c>
      <c r="I519" s="3">
        <f>D519/(VLOOKUP(B519,'2024 Team'!$B$2:$G$33,3,FALSE))</f>
        <v>0</v>
      </c>
    </row>
    <row r="520" spans="1:9" x14ac:dyDescent="0.25">
      <c r="A520" t="s">
        <v>904</v>
      </c>
      <c r="B520" t="s">
        <v>28</v>
      </c>
      <c r="C520" t="s">
        <v>163</v>
      </c>
      <c r="D520" t="s">
        <v>417</v>
      </c>
      <c r="E520" t="s">
        <v>417</v>
      </c>
      <c r="F520" t="s">
        <v>417</v>
      </c>
      <c r="G520" s="3" t="e">
        <f t="shared" si="8"/>
        <v>#DIV/0!</v>
      </c>
      <c r="I520" s="3">
        <f>D520/(VLOOKUP(B520,'2024 Team'!$B$2:$G$33,3,FALSE))</f>
        <v>0</v>
      </c>
    </row>
    <row r="521" spans="1:9" x14ac:dyDescent="0.25">
      <c r="A521" t="s">
        <v>959</v>
      </c>
      <c r="B521" t="s">
        <v>52</v>
      </c>
      <c r="C521" t="s">
        <v>163</v>
      </c>
      <c r="D521" t="s">
        <v>417</v>
      </c>
      <c r="E521" t="s">
        <v>417</v>
      </c>
      <c r="F521" t="s">
        <v>417</v>
      </c>
      <c r="G521" s="3" t="e">
        <f t="shared" si="8"/>
        <v>#DIV/0!</v>
      </c>
      <c r="I521" s="3">
        <f>D521/(VLOOKUP(B521,'2024 Team'!$B$2:$G$33,3,FALSE))</f>
        <v>0</v>
      </c>
    </row>
    <row r="522" spans="1:9" x14ac:dyDescent="0.25">
      <c r="A522" t="s">
        <v>897</v>
      </c>
      <c r="B522" t="s">
        <v>34</v>
      </c>
      <c r="C522" t="s">
        <v>163</v>
      </c>
      <c r="D522" t="s">
        <v>417</v>
      </c>
      <c r="E522" t="s">
        <v>417</v>
      </c>
      <c r="F522" t="s">
        <v>417</v>
      </c>
      <c r="G522" s="3" t="e">
        <f t="shared" si="8"/>
        <v>#DIV/0!</v>
      </c>
      <c r="I522" s="3">
        <f>D522/(VLOOKUP(B522,'2024 Team'!$B$2:$G$33,3,FALSE))</f>
        <v>0</v>
      </c>
    </row>
    <row r="523" spans="1:9" x14ac:dyDescent="0.25">
      <c r="A523" t="s">
        <v>2202</v>
      </c>
      <c r="B523" t="s">
        <v>60</v>
      </c>
      <c r="C523" t="s">
        <v>647</v>
      </c>
      <c r="D523" t="s">
        <v>417</v>
      </c>
      <c r="E523" t="s">
        <v>417</v>
      </c>
      <c r="F523" t="s">
        <v>417</v>
      </c>
      <c r="G523" s="3" t="e">
        <f t="shared" si="8"/>
        <v>#DIV/0!</v>
      </c>
      <c r="I523" s="3">
        <f>D523/(VLOOKUP(B523,'2024 Team'!$B$2:$G$33,3,FALSE))</f>
        <v>0</v>
      </c>
    </row>
    <row r="524" spans="1:9" x14ac:dyDescent="0.25">
      <c r="A524" t="s">
        <v>898</v>
      </c>
      <c r="B524" t="s">
        <v>34</v>
      </c>
      <c r="C524" t="s">
        <v>163</v>
      </c>
      <c r="D524" t="s">
        <v>417</v>
      </c>
      <c r="E524" t="s">
        <v>417</v>
      </c>
      <c r="F524" t="s">
        <v>417</v>
      </c>
      <c r="G524" s="3" t="e">
        <f t="shared" si="8"/>
        <v>#DIV/0!</v>
      </c>
      <c r="I524" s="3">
        <f>D524/(VLOOKUP(B524,'2024 Team'!$B$2:$G$33,3,FALSE))</f>
        <v>0</v>
      </c>
    </row>
    <row r="525" spans="1:9" x14ac:dyDescent="0.25">
      <c r="A525" t="s">
        <v>808</v>
      </c>
      <c r="B525" t="s">
        <v>10</v>
      </c>
      <c r="C525" t="s">
        <v>153</v>
      </c>
      <c r="D525" t="s">
        <v>417</v>
      </c>
      <c r="E525" t="s">
        <v>417</v>
      </c>
      <c r="F525" t="s">
        <v>417</v>
      </c>
      <c r="G525" s="3" t="e">
        <f t="shared" si="8"/>
        <v>#DIV/0!</v>
      </c>
      <c r="I525" s="3">
        <f>D525/(VLOOKUP(B525,'2024 Team'!$B$2:$G$33,3,FALSE))</f>
        <v>0</v>
      </c>
    </row>
    <row r="526" spans="1:9" x14ac:dyDescent="0.25">
      <c r="A526" t="s">
        <v>1720</v>
      </c>
      <c r="B526" t="s">
        <v>48</v>
      </c>
      <c r="C526" t="s">
        <v>163</v>
      </c>
      <c r="D526" t="s">
        <v>417</v>
      </c>
      <c r="E526" t="s">
        <v>417</v>
      </c>
      <c r="F526" t="s">
        <v>417</v>
      </c>
      <c r="G526" s="3" t="e">
        <f t="shared" si="8"/>
        <v>#DIV/0!</v>
      </c>
      <c r="I526" s="3">
        <f>D526/(VLOOKUP(B526,'2024 Team'!$B$2:$G$33,3,FALSE))</f>
        <v>0</v>
      </c>
    </row>
    <row r="527" spans="1:9" x14ac:dyDescent="0.25">
      <c r="A527" t="s">
        <v>612</v>
      </c>
      <c r="B527" t="s">
        <v>52</v>
      </c>
      <c r="C527" t="s">
        <v>613</v>
      </c>
      <c r="D527" t="s">
        <v>417</v>
      </c>
      <c r="E527" t="s">
        <v>417</v>
      </c>
      <c r="F527" t="s">
        <v>417</v>
      </c>
      <c r="G527" s="3" t="e">
        <f t="shared" si="8"/>
        <v>#DIV/0!</v>
      </c>
      <c r="I527" s="3">
        <f>D527/(VLOOKUP(B527,'2024 Team'!$B$2:$G$33,3,FALSE))</f>
        <v>0</v>
      </c>
    </row>
    <row r="528" spans="1:9" x14ac:dyDescent="0.25">
      <c r="A528" t="s">
        <v>1036</v>
      </c>
      <c r="B528" t="s">
        <v>22</v>
      </c>
      <c r="C528" t="s">
        <v>163</v>
      </c>
      <c r="D528" t="s">
        <v>417</v>
      </c>
      <c r="E528" t="s">
        <v>417</v>
      </c>
      <c r="F528" t="s">
        <v>417</v>
      </c>
      <c r="G528" s="3" t="e">
        <f t="shared" si="8"/>
        <v>#DIV/0!</v>
      </c>
      <c r="I528" s="3">
        <f>D528/(VLOOKUP(B528,'2024 Team'!$B$2:$G$33,3,FALSE))</f>
        <v>0</v>
      </c>
    </row>
    <row r="529" spans="1:9" x14ac:dyDescent="0.25">
      <c r="A529" t="s">
        <v>1835</v>
      </c>
      <c r="B529" t="s">
        <v>60</v>
      </c>
      <c r="C529" t="s">
        <v>153</v>
      </c>
      <c r="D529" t="s">
        <v>417</v>
      </c>
      <c r="E529" t="s">
        <v>417</v>
      </c>
      <c r="F529" t="s">
        <v>417</v>
      </c>
      <c r="G529" s="3" t="e">
        <f t="shared" si="8"/>
        <v>#DIV/0!</v>
      </c>
      <c r="I529" s="3">
        <f>D529/(VLOOKUP(B529,'2024 Team'!$B$2:$G$33,3,FALSE))</f>
        <v>0</v>
      </c>
    </row>
    <row r="530" spans="1:9" x14ac:dyDescent="0.25">
      <c r="A530" t="s">
        <v>2203</v>
      </c>
      <c r="B530" t="s">
        <v>20</v>
      </c>
      <c r="C530" t="s">
        <v>163</v>
      </c>
      <c r="D530" t="s">
        <v>417</v>
      </c>
      <c r="E530" t="s">
        <v>417</v>
      </c>
      <c r="F530" t="s">
        <v>417</v>
      </c>
      <c r="G530" s="3" t="e">
        <f t="shared" si="8"/>
        <v>#DIV/0!</v>
      </c>
      <c r="I530" s="3">
        <f>D530/(VLOOKUP(B530,'2024 Team'!$B$2:$G$33,3,FALSE))</f>
        <v>0</v>
      </c>
    </row>
    <row r="531" spans="1:9" x14ac:dyDescent="0.25">
      <c r="A531" t="s">
        <v>2204</v>
      </c>
      <c r="B531" t="s">
        <v>62</v>
      </c>
      <c r="C531" t="s">
        <v>2205</v>
      </c>
      <c r="D531" t="s">
        <v>417</v>
      </c>
      <c r="E531" t="s">
        <v>417</v>
      </c>
      <c r="F531" t="s">
        <v>417</v>
      </c>
      <c r="G531" s="3" t="e">
        <f t="shared" si="8"/>
        <v>#DIV/0!</v>
      </c>
      <c r="I531" s="3">
        <f>D531/(VLOOKUP(B531,'2024 Team'!$B$2:$G$33,3,FALSE))</f>
        <v>0</v>
      </c>
    </row>
    <row r="532" spans="1:9" x14ac:dyDescent="0.25">
      <c r="A532" t="s">
        <v>796</v>
      </c>
      <c r="B532" t="s">
        <v>8</v>
      </c>
      <c r="C532" t="s">
        <v>153</v>
      </c>
      <c r="D532" t="s">
        <v>417</v>
      </c>
      <c r="E532" t="s">
        <v>417</v>
      </c>
      <c r="F532" t="s">
        <v>417</v>
      </c>
      <c r="G532" s="3" t="e">
        <f t="shared" si="8"/>
        <v>#DIV/0!</v>
      </c>
      <c r="I532" s="3">
        <f>D532/(VLOOKUP(B532,'2024 Team'!$B$2:$G$33,3,FALSE))</f>
        <v>0</v>
      </c>
    </row>
    <row r="533" spans="1:9" x14ac:dyDescent="0.25">
      <c r="A533" t="s">
        <v>778</v>
      </c>
      <c r="B533" t="s">
        <v>38</v>
      </c>
      <c r="C533" t="s">
        <v>163</v>
      </c>
      <c r="D533" t="s">
        <v>417</v>
      </c>
      <c r="E533" t="s">
        <v>417</v>
      </c>
      <c r="F533" t="s">
        <v>417</v>
      </c>
      <c r="G533" s="3" t="e">
        <f t="shared" si="8"/>
        <v>#DIV/0!</v>
      </c>
      <c r="I533" s="3">
        <f>D533/(VLOOKUP(B533,'2024 Team'!$B$2:$G$33,3,FALSE))</f>
        <v>0</v>
      </c>
    </row>
    <row r="534" spans="1:9" x14ac:dyDescent="0.25">
      <c r="A534" t="s">
        <v>981</v>
      </c>
      <c r="B534" t="s">
        <v>26</v>
      </c>
      <c r="C534" t="s">
        <v>163</v>
      </c>
      <c r="D534" t="s">
        <v>417</v>
      </c>
      <c r="E534" t="s">
        <v>417</v>
      </c>
      <c r="F534" t="s">
        <v>417</v>
      </c>
      <c r="G534" s="3" t="e">
        <f t="shared" si="8"/>
        <v>#DIV/0!</v>
      </c>
      <c r="I534" s="3">
        <f>D534/(VLOOKUP(B534,'2024 Team'!$B$2:$G$33,3,FALSE))</f>
        <v>0</v>
      </c>
    </row>
    <row r="535" spans="1:9" x14ac:dyDescent="0.25">
      <c r="A535" t="s">
        <v>981</v>
      </c>
      <c r="B535" t="s">
        <v>36</v>
      </c>
      <c r="C535" t="s">
        <v>163</v>
      </c>
      <c r="D535" t="s">
        <v>417</v>
      </c>
      <c r="E535" t="s">
        <v>417</v>
      </c>
      <c r="F535" t="s">
        <v>417</v>
      </c>
      <c r="G535" s="3" t="e">
        <f t="shared" si="8"/>
        <v>#DIV/0!</v>
      </c>
      <c r="I535" s="3">
        <f>D535/(VLOOKUP(B535,'2024 Team'!$B$2:$G$33,3,FALSE))</f>
        <v>0</v>
      </c>
    </row>
    <row r="536" spans="1:9" x14ac:dyDescent="0.25">
      <c r="A536" t="s">
        <v>729</v>
      </c>
      <c r="B536" t="s">
        <v>12</v>
      </c>
      <c r="C536" t="s">
        <v>613</v>
      </c>
      <c r="D536" t="s">
        <v>417</v>
      </c>
      <c r="E536" t="s">
        <v>417</v>
      </c>
      <c r="F536" t="s">
        <v>417</v>
      </c>
      <c r="G536" s="3" t="e">
        <f t="shared" si="8"/>
        <v>#DIV/0!</v>
      </c>
      <c r="I536" s="3">
        <f>D536/(VLOOKUP(B536,'2024 Team'!$B$2:$G$33,3,FALSE))</f>
        <v>0</v>
      </c>
    </row>
    <row r="537" spans="1:9" x14ac:dyDescent="0.25">
      <c r="A537" t="s">
        <v>1838</v>
      </c>
      <c r="B537" t="s">
        <v>28</v>
      </c>
      <c r="C537" t="s">
        <v>163</v>
      </c>
      <c r="D537" t="s">
        <v>417</v>
      </c>
      <c r="E537" t="s">
        <v>417</v>
      </c>
      <c r="F537" t="s">
        <v>417</v>
      </c>
      <c r="G537" s="3" t="e">
        <f t="shared" si="8"/>
        <v>#DIV/0!</v>
      </c>
      <c r="I537" s="3">
        <f>D537/(VLOOKUP(B537,'2024 Team'!$B$2:$G$33,3,FALSE))</f>
        <v>0</v>
      </c>
    </row>
    <row r="538" spans="1:9" x14ac:dyDescent="0.25">
      <c r="A538" t="s">
        <v>773</v>
      </c>
      <c r="B538" t="s">
        <v>44</v>
      </c>
      <c r="C538" t="s">
        <v>163</v>
      </c>
      <c r="D538" t="s">
        <v>417</v>
      </c>
      <c r="E538" t="s">
        <v>417</v>
      </c>
      <c r="F538" t="s">
        <v>417</v>
      </c>
      <c r="G538" s="3" t="e">
        <f t="shared" si="8"/>
        <v>#DIV/0!</v>
      </c>
      <c r="I538" s="3">
        <f>D538/(VLOOKUP(B538,'2024 Team'!$B$2:$G$33,3,FALSE))</f>
        <v>0</v>
      </c>
    </row>
    <row r="539" spans="1:9" x14ac:dyDescent="0.25">
      <c r="A539" t="s">
        <v>2206</v>
      </c>
      <c r="B539" t="s">
        <v>58</v>
      </c>
      <c r="C539" t="s">
        <v>163</v>
      </c>
      <c r="D539" t="s">
        <v>417</v>
      </c>
      <c r="E539" t="s">
        <v>417</v>
      </c>
      <c r="F539" t="s">
        <v>417</v>
      </c>
      <c r="G539" s="3" t="e">
        <f t="shared" si="8"/>
        <v>#DIV/0!</v>
      </c>
      <c r="I539" s="3">
        <f>D539/(VLOOKUP(B539,'2024 Team'!$B$2:$G$33,3,FALSE))</f>
        <v>0</v>
      </c>
    </row>
    <row r="540" spans="1:9" x14ac:dyDescent="0.25">
      <c r="A540" t="s">
        <v>1841</v>
      </c>
      <c r="B540" t="s">
        <v>38</v>
      </c>
      <c r="C540" t="s">
        <v>163</v>
      </c>
      <c r="D540" t="s">
        <v>417</v>
      </c>
      <c r="E540" t="s">
        <v>417</v>
      </c>
      <c r="F540" t="s">
        <v>417</v>
      </c>
      <c r="G540" s="3" t="e">
        <f t="shared" si="8"/>
        <v>#DIV/0!</v>
      </c>
      <c r="I540" s="3">
        <f>D540/(VLOOKUP(B540,'2024 Team'!$B$2:$G$33,3,FALSE))</f>
        <v>0</v>
      </c>
    </row>
    <row r="541" spans="1:9" x14ac:dyDescent="0.25">
      <c r="A541" t="s">
        <v>982</v>
      </c>
      <c r="B541" t="s">
        <v>56</v>
      </c>
      <c r="C541" t="s">
        <v>153</v>
      </c>
      <c r="D541" t="s">
        <v>417</v>
      </c>
      <c r="E541" t="s">
        <v>417</v>
      </c>
      <c r="F541" t="s">
        <v>417</v>
      </c>
      <c r="G541" s="3" t="e">
        <f t="shared" si="8"/>
        <v>#DIV/0!</v>
      </c>
      <c r="I541" s="3">
        <f>D541/(VLOOKUP(B541,'2024 Team'!$B$2:$G$33,3,FALSE))</f>
        <v>0</v>
      </c>
    </row>
    <row r="542" spans="1:9" x14ac:dyDescent="0.25">
      <c r="A542" t="s">
        <v>834</v>
      </c>
      <c r="B542" t="s">
        <v>16</v>
      </c>
      <c r="C542" t="s">
        <v>153</v>
      </c>
      <c r="D542" t="s">
        <v>417</v>
      </c>
      <c r="E542" t="s">
        <v>417</v>
      </c>
      <c r="F542" t="s">
        <v>417</v>
      </c>
      <c r="G542" s="3" t="e">
        <f t="shared" si="8"/>
        <v>#DIV/0!</v>
      </c>
      <c r="I542" s="3">
        <f>D542/(VLOOKUP(B542,'2024 Team'!$B$2:$G$33,3,FALSE))</f>
        <v>0</v>
      </c>
    </row>
    <row r="543" spans="1:9" x14ac:dyDescent="0.25">
      <c r="A543" t="s">
        <v>1011</v>
      </c>
      <c r="B543" t="s">
        <v>62</v>
      </c>
      <c r="C543" t="s">
        <v>153</v>
      </c>
      <c r="D543" t="s">
        <v>417</v>
      </c>
      <c r="E543" t="s">
        <v>417</v>
      </c>
      <c r="F543" t="s">
        <v>417</v>
      </c>
      <c r="G543" s="3" t="e">
        <f t="shared" si="8"/>
        <v>#DIV/0!</v>
      </c>
      <c r="I543" s="3">
        <f>D543/(VLOOKUP(B543,'2024 Team'!$B$2:$G$33,3,FALSE))</f>
        <v>0</v>
      </c>
    </row>
    <row r="544" spans="1:9" x14ac:dyDescent="0.25">
      <c r="A544" t="s">
        <v>860</v>
      </c>
      <c r="B544" t="s">
        <v>24</v>
      </c>
      <c r="C544" t="s">
        <v>153</v>
      </c>
      <c r="D544" t="s">
        <v>417</v>
      </c>
      <c r="E544" t="s">
        <v>417</v>
      </c>
      <c r="F544" t="s">
        <v>417</v>
      </c>
      <c r="G544" s="3" t="e">
        <f t="shared" si="8"/>
        <v>#DIV/0!</v>
      </c>
      <c r="I544" s="3">
        <f>D544/(VLOOKUP(B544,'2024 Team'!$B$2:$G$33,3,FALSE))</f>
        <v>0</v>
      </c>
    </row>
    <row r="545" spans="1:9" x14ac:dyDescent="0.25">
      <c r="A545" t="s">
        <v>889</v>
      </c>
      <c r="B545" t="s">
        <v>32</v>
      </c>
      <c r="C545" t="s">
        <v>153</v>
      </c>
      <c r="D545" t="s">
        <v>417</v>
      </c>
      <c r="E545" t="s">
        <v>417</v>
      </c>
      <c r="F545" t="s">
        <v>417</v>
      </c>
      <c r="G545" s="3" t="e">
        <f t="shared" si="8"/>
        <v>#DIV/0!</v>
      </c>
      <c r="I545" s="3">
        <f>D545/(VLOOKUP(B545,'2024 Team'!$B$2:$G$33,3,FALSE))</f>
        <v>0</v>
      </c>
    </row>
    <row r="546" spans="1:9" x14ac:dyDescent="0.25">
      <c r="A546" t="s">
        <v>2207</v>
      </c>
      <c r="B546" t="s">
        <v>70</v>
      </c>
      <c r="C546" t="s">
        <v>805</v>
      </c>
      <c r="D546" t="s">
        <v>417</v>
      </c>
      <c r="E546" t="s">
        <v>417</v>
      </c>
      <c r="F546" t="s">
        <v>417</v>
      </c>
      <c r="G546" s="3" t="e">
        <f t="shared" si="8"/>
        <v>#DIV/0!</v>
      </c>
      <c r="I546" s="3">
        <f>D546/(VLOOKUP(B546,'2024 Team'!$B$2:$G$33,3,FALSE))</f>
        <v>0</v>
      </c>
    </row>
    <row r="547" spans="1:9" x14ac:dyDescent="0.25">
      <c r="A547" t="s">
        <v>1715</v>
      </c>
      <c r="B547" t="s">
        <v>18</v>
      </c>
      <c r="C547" t="s">
        <v>163</v>
      </c>
      <c r="D547" t="s">
        <v>417</v>
      </c>
      <c r="E547" t="s">
        <v>417</v>
      </c>
      <c r="F547" t="s">
        <v>417</v>
      </c>
      <c r="G547" s="3" t="e">
        <f t="shared" si="8"/>
        <v>#DIV/0!</v>
      </c>
      <c r="I547" s="3">
        <f>D547/(VLOOKUP(B547,'2024 Team'!$B$2:$G$33,3,FALSE))</f>
        <v>0</v>
      </c>
    </row>
    <row r="548" spans="1:9" x14ac:dyDescent="0.25">
      <c r="A548" t="s">
        <v>829</v>
      </c>
      <c r="B548" t="s">
        <v>14</v>
      </c>
      <c r="C548" t="s">
        <v>163</v>
      </c>
      <c r="D548" t="s">
        <v>417</v>
      </c>
      <c r="E548" t="s">
        <v>417</v>
      </c>
      <c r="F548" t="s">
        <v>417</v>
      </c>
      <c r="G548" s="3" t="e">
        <f t="shared" si="8"/>
        <v>#DIV/0!</v>
      </c>
      <c r="I548" s="3">
        <f>D548/(VLOOKUP(B548,'2024 Team'!$B$2:$G$33,3,FALSE))</f>
        <v>0</v>
      </c>
    </row>
    <row r="549" spans="1:9" x14ac:dyDescent="0.25">
      <c r="A549" t="s">
        <v>2208</v>
      </c>
      <c r="B549" t="s">
        <v>40</v>
      </c>
      <c r="C549" t="s">
        <v>153</v>
      </c>
      <c r="D549" t="s">
        <v>417</v>
      </c>
      <c r="E549" t="s">
        <v>417</v>
      </c>
      <c r="F549" t="s">
        <v>417</v>
      </c>
      <c r="G549" s="3" t="e">
        <f t="shared" si="8"/>
        <v>#DIV/0!</v>
      </c>
      <c r="I549" s="3">
        <f>D549/(VLOOKUP(B549,'2024 Team'!$B$2:$G$33,3,FALSE))</f>
        <v>0</v>
      </c>
    </row>
    <row r="550" spans="1:9" x14ac:dyDescent="0.25">
      <c r="A550" t="s">
        <v>797</v>
      </c>
      <c r="B550" t="s">
        <v>48</v>
      </c>
      <c r="C550" t="s">
        <v>163</v>
      </c>
      <c r="D550" t="s">
        <v>417</v>
      </c>
      <c r="E550" t="s">
        <v>417</v>
      </c>
      <c r="F550" t="s">
        <v>417</v>
      </c>
      <c r="G550" s="3" t="e">
        <f t="shared" si="8"/>
        <v>#DIV/0!</v>
      </c>
      <c r="I550" s="3">
        <f>D550/(VLOOKUP(B550,'2024 Team'!$B$2:$G$33,3,FALSE))</f>
        <v>0</v>
      </c>
    </row>
    <row r="551" spans="1:9" x14ac:dyDescent="0.25">
      <c r="A551" t="s">
        <v>951</v>
      </c>
      <c r="B551" t="s">
        <v>30</v>
      </c>
      <c r="C551" t="s">
        <v>153</v>
      </c>
      <c r="D551" t="s">
        <v>417</v>
      </c>
      <c r="E551" t="s">
        <v>417</v>
      </c>
      <c r="F551" t="s">
        <v>417</v>
      </c>
      <c r="G551" s="3" t="e">
        <f t="shared" si="8"/>
        <v>#DIV/0!</v>
      </c>
      <c r="I551" s="3">
        <f>D551/(VLOOKUP(B551,'2024 Team'!$B$2:$G$33,3,FALSE))</f>
        <v>0</v>
      </c>
    </row>
    <row r="552" spans="1:9" x14ac:dyDescent="0.25">
      <c r="A552" t="s">
        <v>1049</v>
      </c>
      <c r="B552" t="s">
        <v>70</v>
      </c>
      <c r="C552" t="s">
        <v>153</v>
      </c>
      <c r="D552" t="s">
        <v>417</v>
      </c>
      <c r="E552" t="s">
        <v>417</v>
      </c>
      <c r="F552" t="s">
        <v>417</v>
      </c>
      <c r="G552" s="3" t="e">
        <f t="shared" si="8"/>
        <v>#DIV/0!</v>
      </c>
      <c r="I552" s="3">
        <f>D552/(VLOOKUP(B552,'2024 Team'!$B$2:$G$33,3,FALSE))</f>
        <v>0</v>
      </c>
    </row>
    <row r="553" spans="1:9" x14ac:dyDescent="0.25">
      <c r="A553" t="s">
        <v>1842</v>
      </c>
      <c r="B553" t="s">
        <v>28</v>
      </c>
      <c r="C553" t="s">
        <v>805</v>
      </c>
      <c r="D553" t="s">
        <v>417</v>
      </c>
      <c r="E553" t="s">
        <v>417</v>
      </c>
      <c r="F553" t="s">
        <v>417</v>
      </c>
      <c r="G553" s="3" t="e">
        <f t="shared" si="8"/>
        <v>#DIV/0!</v>
      </c>
      <c r="I553" s="3">
        <f>D553/(VLOOKUP(B553,'2024 Team'!$B$2:$G$33,3,FALSE))</f>
        <v>0</v>
      </c>
    </row>
    <row r="554" spans="1:9" x14ac:dyDescent="0.25">
      <c r="A554" t="s">
        <v>1002</v>
      </c>
      <c r="B554" t="s">
        <v>60</v>
      </c>
      <c r="C554" t="s">
        <v>163</v>
      </c>
      <c r="D554" t="s">
        <v>417</v>
      </c>
      <c r="E554" t="s">
        <v>417</v>
      </c>
      <c r="F554" t="s">
        <v>417</v>
      </c>
      <c r="G554" s="3" t="e">
        <f t="shared" si="8"/>
        <v>#DIV/0!</v>
      </c>
      <c r="I554" s="3">
        <f>D554/(VLOOKUP(B554,'2024 Team'!$B$2:$G$33,3,FALSE))</f>
        <v>0</v>
      </c>
    </row>
    <row r="555" spans="1:9" x14ac:dyDescent="0.25">
      <c r="A555" t="s">
        <v>984</v>
      </c>
      <c r="B555" t="s">
        <v>42</v>
      </c>
      <c r="C555" t="s">
        <v>153</v>
      </c>
      <c r="D555" t="s">
        <v>417</v>
      </c>
      <c r="E555" t="s">
        <v>417</v>
      </c>
      <c r="F555" t="s">
        <v>417</v>
      </c>
      <c r="G555" s="3" t="e">
        <f t="shared" si="8"/>
        <v>#DIV/0!</v>
      </c>
      <c r="I555" s="3">
        <f>D555/(VLOOKUP(B555,'2024 Team'!$B$2:$G$33,3,FALSE))</f>
        <v>0</v>
      </c>
    </row>
    <row r="556" spans="1:9" x14ac:dyDescent="0.25">
      <c r="A556" t="s">
        <v>2209</v>
      </c>
      <c r="B556" t="s">
        <v>24</v>
      </c>
      <c r="C556" t="s">
        <v>2210</v>
      </c>
      <c r="D556" t="s">
        <v>417</v>
      </c>
      <c r="E556" t="s">
        <v>417</v>
      </c>
      <c r="F556" t="s">
        <v>417</v>
      </c>
      <c r="G556" s="3" t="e">
        <f t="shared" si="8"/>
        <v>#DIV/0!</v>
      </c>
      <c r="I556" s="3">
        <f>D556/(VLOOKUP(B556,'2024 Team'!$B$2:$G$33,3,FALSE))</f>
        <v>0</v>
      </c>
    </row>
    <row r="557" spans="1:9" x14ac:dyDescent="0.25">
      <c r="A557" t="s">
        <v>912</v>
      </c>
      <c r="B557" t="s">
        <v>38</v>
      </c>
      <c r="C557" t="s">
        <v>163</v>
      </c>
      <c r="D557" t="s">
        <v>417</v>
      </c>
      <c r="E557" t="s">
        <v>417</v>
      </c>
      <c r="F557" t="s">
        <v>417</v>
      </c>
      <c r="G557" s="3" t="e">
        <f t="shared" si="8"/>
        <v>#DIV/0!</v>
      </c>
      <c r="I557" s="3">
        <f>D557/(VLOOKUP(B557,'2024 Team'!$B$2:$G$33,3,FALSE))</f>
        <v>0</v>
      </c>
    </row>
    <row r="558" spans="1:9" x14ac:dyDescent="0.25">
      <c r="A558" t="s">
        <v>839</v>
      </c>
      <c r="B558" t="s">
        <v>46</v>
      </c>
      <c r="C558" t="s">
        <v>153</v>
      </c>
      <c r="D558" t="s">
        <v>417</v>
      </c>
      <c r="E558" t="s">
        <v>417</v>
      </c>
      <c r="F558" t="s">
        <v>417</v>
      </c>
      <c r="G558" s="3" t="e">
        <f t="shared" si="8"/>
        <v>#DIV/0!</v>
      </c>
      <c r="I558" s="3">
        <f>D558/(VLOOKUP(B558,'2024 Team'!$B$2:$G$33,3,FALSE))</f>
        <v>0</v>
      </c>
    </row>
    <row r="559" spans="1:9" x14ac:dyDescent="0.25">
      <c r="A559" t="s">
        <v>861</v>
      </c>
      <c r="B559" t="s">
        <v>24</v>
      </c>
      <c r="C559" t="s">
        <v>153</v>
      </c>
      <c r="D559" t="s">
        <v>417</v>
      </c>
      <c r="E559" t="s">
        <v>417</v>
      </c>
      <c r="F559" t="s">
        <v>417</v>
      </c>
      <c r="G559" s="3" t="e">
        <f t="shared" si="8"/>
        <v>#DIV/0!</v>
      </c>
      <c r="I559" s="3">
        <f>D559/(VLOOKUP(B559,'2024 Team'!$B$2:$G$33,3,FALSE))</f>
        <v>0</v>
      </c>
    </row>
    <row r="560" spans="1:9" x14ac:dyDescent="0.25">
      <c r="A560" t="s">
        <v>960</v>
      </c>
      <c r="B560" t="s">
        <v>58</v>
      </c>
      <c r="C560" t="s">
        <v>153</v>
      </c>
      <c r="D560" t="s">
        <v>417</v>
      </c>
      <c r="E560" t="s">
        <v>417</v>
      </c>
      <c r="F560" t="s">
        <v>417</v>
      </c>
      <c r="G560" s="3" t="e">
        <f t="shared" si="8"/>
        <v>#DIV/0!</v>
      </c>
      <c r="I560" s="3">
        <f>D560/(VLOOKUP(B560,'2024 Team'!$B$2:$G$33,3,FALSE))</f>
        <v>0</v>
      </c>
    </row>
    <row r="561" spans="1:9" x14ac:dyDescent="0.25">
      <c r="A561" t="s">
        <v>668</v>
      </c>
      <c r="B561" t="s">
        <v>32</v>
      </c>
      <c r="C561" t="s">
        <v>153</v>
      </c>
      <c r="D561" t="s">
        <v>417</v>
      </c>
      <c r="E561" t="s">
        <v>417</v>
      </c>
      <c r="F561" t="s">
        <v>417</v>
      </c>
      <c r="G561" s="3" t="e">
        <f t="shared" si="8"/>
        <v>#DIV/0!</v>
      </c>
      <c r="I561" s="3">
        <f>D561/(VLOOKUP(B561,'2024 Team'!$B$2:$G$33,3,FALSE))</f>
        <v>0</v>
      </c>
    </row>
    <row r="562" spans="1:9" x14ac:dyDescent="0.25">
      <c r="A562" t="s">
        <v>905</v>
      </c>
      <c r="B562" t="s">
        <v>36</v>
      </c>
      <c r="C562" t="s">
        <v>153</v>
      </c>
      <c r="D562" t="s">
        <v>417</v>
      </c>
      <c r="E562" t="s">
        <v>417</v>
      </c>
      <c r="F562" t="s">
        <v>417</v>
      </c>
      <c r="G562" s="3" t="e">
        <f t="shared" si="8"/>
        <v>#DIV/0!</v>
      </c>
      <c r="I562" s="3">
        <f>D562/(VLOOKUP(B562,'2024 Team'!$B$2:$G$33,3,FALSE))</f>
        <v>0</v>
      </c>
    </row>
    <row r="563" spans="1:9" x14ac:dyDescent="0.25">
      <c r="A563" t="s">
        <v>1850</v>
      </c>
      <c r="B563" t="s">
        <v>16</v>
      </c>
      <c r="C563" t="s">
        <v>153</v>
      </c>
      <c r="D563" t="s">
        <v>417</v>
      </c>
      <c r="E563" t="s">
        <v>417</v>
      </c>
      <c r="F563" t="s">
        <v>417</v>
      </c>
      <c r="G563" s="3" t="e">
        <f t="shared" si="8"/>
        <v>#DIV/0!</v>
      </c>
      <c r="I563" s="3">
        <f>D563/(VLOOKUP(B563,'2024 Team'!$B$2:$G$33,3,FALSE))</f>
        <v>0</v>
      </c>
    </row>
    <row r="564" spans="1:9" x14ac:dyDescent="0.25">
      <c r="A564" t="s">
        <v>184</v>
      </c>
      <c r="B564" t="s">
        <v>26</v>
      </c>
      <c r="C564" t="s">
        <v>163</v>
      </c>
      <c r="D564" t="s">
        <v>417</v>
      </c>
      <c r="E564" t="s">
        <v>417</v>
      </c>
      <c r="F564" t="s">
        <v>417</v>
      </c>
      <c r="G564" s="3" t="e">
        <f t="shared" si="8"/>
        <v>#DIV/0!</v>
      </c>
      <c r="I564" s="3">
        <f>D564/(VLOOKUP(B564,'2024 Team'!$B$2:$G$33,3,FALSE))</f>
        <v>0</v>
      </c>
    </row>
    <row r="565" spans="1:9" x14ac:dyDescent="0.25">
      <c r="A565" t="s">
        <v>1851</v>
      </c>
      <c r="B565" t="s">
        <v>22</v>
      </c>
      <c r="C565" t="s">
        <v>153</v>
      </c>
      <c r="D565" t="s">
        <v>417</v>
      </c>
      <c r="E565" t="s">
        <v>417</v>
      </c>
      <c r="F565" t="s">
        <v>417</v>
      </c>
      <c r="G565" s="3" t="e">
        <f t="shared" si="8"/>
        <v>#DIV/0!</v>
      </c>
      <c r="I565" s="3">
        <f>D565/(VLOOKUP(B565,'2024 Team'!$B$2:$G$33,3,FALSE))</f>
        <v>0</v>
      </c>
    </row>
    <row r="566" spans="1:9" x14ac:dyDescent="0.25">
      <c r="A566" t="s">
        <v>1762</v>
      </c>
      <c r="B566" t="s">
        <v>62</v>
      </c>
      <c r="C566" t="s">
        <v>163</v>
      </c>
      <c r="D566" t="s">
        <v>417</v>
      </c>
      <c r="E566" t="s">
        <v>417</v>
      </c>
      <c r="F566" t="s">
        <v>417</v>
      </c>
      <c r="G566" s="3" t="e">
        <f t="shared" ref="G566:G610" si="9">F566/D566</f>
        <v>#DIV/0!</v>
      </c>
      <c r="I566" s="3">
        <f>D566/(VLOOKUP(B566,'2024 Team'!$B$2:$G$33,3,FALSE))</f>
        <v>0</v>
      </c>
    </row>
    <row r="567" spans="1:9" x14ac:dyDescent="0.25">
      <c r="A567" t="s">
        <v>952</v>
      </c>
      <c r="B567" t="s">
        <v>16</v>
      </c>
      <c r="C567" t="s">
        <v>163</v>
      </c>
      <c r="D567" t="s">
        <v>417</v>
      </c>
      <c r="E567" t="s">
        <v>417</v>
      </c>
      <c r="F567" t="s">
        <v>417</v>
      </c>
      <c r="G567" s="3" t="e">
        <f t="shared" si="9"/>
        <v>#DIV/0!</v>
      </c>
      <c r="I567" s="3">
        <f>D567/(VLOOKUP(B567,'2024 Team'!$B$2:$G$33,3,FALSE))</f>
        <v>0</v>
      </c>
    </row>
    <row r="568" spans="1:9" x14ac:dyDescent="0.25">
      <c r="A568" t="s">
        <v>939</v>
      </c>
      <c r="B568" t="s">
        <v>16</v>
      </c>
      <c r="C568" t="s">
        <v>153</v>
      </c>
      <c r="D568" t="s">
        <v>417</v>
      </c>
      <c r="E568" t="s">
        <v>417</v>
      </c>
      <c r="F568" t="s">
        <v>417</v>
      </c>
      <c r="G568" s="3" t="e">
        <f t="shared" si="9"/>
        <v>#DIV/0!</v>
      </c>
      <c r="I568" s="3">
        <f>D568/(VLOOKUP(B568,'2024 Team'!$B$2:$G$33,3,FALSE))</f>
        <v>0</v>
      </c>
    </row>
    <row r="569" spans="1:9" x14ac:dyDescent="0.25">
      <c r="A569" t="s">
        <v>2211</v>
      </c>
      <c r="B569" t="s">
        <v>24</v>
      </c>
      <c r="C569" t="s">
        <v>755</v>
      </c>
      <c r="D569" t="s">
        <v>417</v>
      </c>
      <c r="E569" t="s">
        <v>417</v>
      </c>
      <c r="F569" t="s">
        <v>417</v>
      </c>
      <c r="G569" s="3" t="e">
        <f t="shared" si="9"/>
        <v>#DIV/0!</v>
      </c>
      <c r="I569" s="3">
        <f>D569/(VLOOKUP(B569,'2024 Team'!$B$2:$G$33,3,FALSE))</f>
        <v>0</v>
      </c>
    </row>
    <row r="570" spans="1:9" x14ac:dyDescent="0.25">
      <c r="A570" t="s">
        <v>913</v>
      </c>
      <c r="B570" t="s">
        <v>50</v>
      </c>
      <c r="C570" t="s">
        <v>163</v>
      </c>
      <c r="D570" t="s">
        <v>417</v>
      </c>
      <c r="E570" t="s">
        <v>417</v>
      </c>
      <c r="F570" t="s">
        <v>417</v>
      </c>
      <c r="G570" s="3" t="e">
        <f t="shared" si="9"/>
        <v>#DIV/0!</v>
      </c>
      <c r="I570" s="3">
        <f>D570/(VLOOKUP(B570,'2024 Team'!$B$2:$G$33,3,FALSE))</f>
        <v>0</v>
      </c>
    </row>
    <row r="571" spans="1:9" x14ac:dyDescent="0.25">
      <c r="A571" t="s">
        <v>853</v>
      </c>
      <c r="B571" t="s">
        <v>22</v>
      </c>
      <c r="C571" t="s">
        <v>163</v>
      </c>
      <c r="D571" t="s">
        <v>417</v>
      </c>
      <c r="E571" t="s">
        <v>417</v>
      </c>
      <c r="F571" t="s">
        <v>417</v>
      </c>
      <c r="G571" s="3" t="e">
        <f t="shared" si="9"/>
        <v>#DIV/0!</v>
      </c>
      <c r="I571" s="3">
        <f>D571/(VLOOKUP(B571,'2024 Team'!$B$2:$G$33,3,FALSE))</f>
        <v>0</v>
      </c>
    </row>
    <row r="572" spans="1:9" x14ac:dyDescent="0.25">
      <c r="A572" t="s">
        <v>670</v>
      </c>
      <c r="B572" t="s">
        <v>52</v>
      </c>
      <c r="C572" t="s">
        <v>163</v>
      </c>
      <c r="D572" t="s">
        <v>417</v>
      </c>
      <c r="E572" t="s">
        <v>417</v>
      </c>
      <c r="F572" t="s">
        <v>417</v>
      </c>
      <c r="G572" s="3" t="e">
        <f t="shared" si="9"/>
        <v>#DIV/0!</v>
      </c>
      <c r="I572" s="3">
        <f>D572/(VLOOKUP(B572,'2024 Team'!$B$2:$G$33,3,FALSE))</f>
        <v>0</v>
      </c>
    </row>
    <row r="573" spans="1:9" x14ac:dyDescent="0.25">
      <c r="A573" t="s">
        <v>862</v>
      </c>
      <c r="B573" t="s">
        <v>24</v>
      </c>
      <c r="C573" t="s">
        <v>163</v>
      </c>
      <c r="D573" t="s">
        <v>417</v>
      </c>
      <c r="E573" t="s">
        <v>417</v>
      </c>
      <c r="F573" t="s">
        <v>417</v>
      </c>
      <c r="G573" s="3" t="e">
        <f t="shared" si="9"/>
        <v>#DIV/0!</v>
      </c>
      <c r="I573" s="3">
        <f>D573/(VLOOKUP(B573,'2024 Team'!$B$2:$G$33,3,FALSE))</f>
        <v>0</v>
      </c>
    </row>
    <row r="574" spans="1:9" x14ac:dyDescent="0.25">
      <c r="A574" t="s">
        <v>2212</v>
      </c>
      <c r="B574" t="s">
        <v>42</v>
      </c>
      <c r="C574" t="s">
        <v>153</v>
      </c>
      <c r="D574" t="s">
        <v>417</v>
      </c>
      <c r="E574" t="s">
        <v>417</v>
      </c>
      <c r="F574" t="s">
        <v>417</v>
      </c>
      <c r="G574" s="3" t="e">
        <f t="shared" si="9"/>
        <v>#DIV/0!</v>
      </c>
      <c r="I574" s="3">
        <f>D574/(VLOOKUP(B574,'2024 Team'!$B$2:$G$33,3,FALSE))</f>
        <v>0</v>
      </c>
    </row>
    <row r="575" spans="1:9" x14ac:dyDescent="0.25">
      <c r="A575" t="s">
        <v>906</v>
      </c>
      <c r="B575" t="s">
        <v>36</v>
      </c>
      <c r="C575" t="s">
        <v>163</v>
      </c>
      <c r="D575" t="s">
        <v>417</v>
      </c>
      <c r="E575" t="s">
        <v>417</v>
      </c>
      <c r="F575" t="s">
        <v>417</v>
      </c>
      <c r="G575" s="3" t="e">
        <f t="shared" si="9"/>
        <v>#DIV/0!</v>
      </c>
      <c r="I575" s="3">
        <f>D575/(VLOOKUP(B575,'2024 Team'!$B$2:$G$33,3,FALSE))</f>
        <v>0</v>
      </c>
    </row>
    <row r="576" spans="1:9" x14ac:dyDescent="0.25">
      <c r="A576" t="s">
        <v>869</v>
      </c>
      <c r="B576" t="s">
        <v>26</v>
      </c>
      <c r="C576" t="s">
        <v>153</v>
      </c>
      <c r="D576" t="s">
        <v>417</v>
      </c>
      <c r="E576" t="s">
        <v>417</v>
      </c>
      <c r="F576" t="s">
        <v>417</v>
      </c>
      <c r="G576" s="3" t="e">
        <f t="shared" si="9"/>
        <v>#DIV/0!</v>
      </c>
      <c r="I576" s="3">
        <f>D576/(VLOOKUP(B576,'2024 Team'!$B$2:$G$33,3,FALSE))</f>
        <v>0</v>
      </c>
    </row>
    <row r="577" spans="1:9" x14ac:dyDescent="0.25">
      <c r="A577" t="s">
        <v>835</v>
      </c>
      <c r="B577" t="s">
        <v>70</v>
      </c>
      <c r="C577" t="s">
        <v>163</v>
      </c>
      <c r="D577" t="s">
        <v>417</v>
      </c>
      <c r="E577" t="s">
        <v>417</v>
      </c>
      <c r="F577" t="s">
        <v>417</v>
      </c>
      <c r="G577" s="3" t="e">
        <f t="shared" si="9"/>
        <v>#DIV/0!</v>
      </c>
      <c r="I577" s="3">
        <f>D577/(VLOOKUP(B577,'2024 Team'!$B$2:$G$33,3,FALSE))</f>
        <v>0</v>
      </c>
    </row>
    <row r="578" spans="1:9" x14ac:dyDescent="0.25">
      <c r="A578" t="s">
        <v>836</v>
      </c>
      <c r="B578" t="s">
        <v>16</v>
      </c>
      <c r="C578" t="s">
        <v>153</v>
      </c>
      <c r="D578" t="s">
        <v>417</v>
      </c>
      <c r="E578" t="s">
        <v>417</v>
      </c>
      <c r="F578" t="s">
        <v>417</v>
      </c>
      <c r="G578" s="3" t="e">
        <f t="shared" si="9"/>
        <v>#DIV/0!</v>
      </c>
      <c r="I578" s="3">
        <f>D578/(VLOOKUP(B578,'2024 Team'!$B$2:$G$33,3,FALSE))</f>
        <v>0</v>
      </c>
    </row>
    <row r="579" spans="1:9" x14ac:dyDescent="0.25">
      <c r="A579" t="s">
        <v>1859</v>
      </c>
      <c r="B579" t="s">
        <v>68</v>
      </c>
      <c r="C579" t="s">
        <v>153</v>
      </c>
      <c r="D579" t="s">
        <v>417</v>
      </c>
      <c r="E579" t="s">
        <v>417</v>
      </c>
      <c r="F579" t="s">
        <v>417</v>
      </c>
      <c r="G579" s="3" t="e">
        <f t="shared" si="9"/>
        <v>#DIV/0!</v>
      </c>
      <c r="I579" s="3">
        <f>D579/(VLOOKUP(B579,'2024 Team'!$B$2:$G$33,3,FALSE))</f>
        <v>0</v>
      </c>
    </row>
    <row r="580" spans="1:9" x14ac:dyDescent="0.25">
      <c r="A580" t="s">
        <v>2213</v>
      </c>
      <c r="B580" t="s">
        <v>58</v>
      </c>
      <c r="C580" t="s">
        <v>186</v>
      </c>
      <c r="D580" t="s">
        <v>417</v>
      </c>
      <c r="E580" t="s">
        <v>417</v>
      </c>
      <c r="F580" t="s">
        <v>417</v>
      </c>
      <c r="G580" s="3" t="e">
        <f t="shared" si="9"/>
        <v>#DIV/0!</v>
      </c>
      <c r="I580" s="3">
        <f>D580/(VLOOKUP(B580,'2024 Team'!$B$2:$G$33,3,FALSE))</f>
        <v>0</v>
      </c>
    </row>
    <row r="581" spans="1:9" x14ac:dyDescent="0.25">
      <c r="A581" t="s">
        <v>962</v>
      </c>
      <c r="B581" t="s">
        <v>26</v>
      </c>
      <c r="C581" t="s">
        <v>163</v>
      </c>
      <c r="D581" t="s">
        <v>417</v>
      </c>
      <c r="E581" t="s">
        <v>417</v>
      </c>
      <c r="F581" t="s">
        <v>417</v>
      </c>
      <c r="G581" s="3" t="e">
        <f t="shared" si="9"/>
        <v>#DIV/0!</v>
      </c>
      <c r="I581" s="3">
        <f>D581/(VLOOKUP(B581,'2024 Team'!$B$2:$G$33,3,FALSE))</f>
        <v>0</v>
      </c>
    </row>
    <row r="582" spans="1:9" x14ac:dyDescent="0.25">
      <c r="A582" t="s">
        <v>817</v>
      </c>
      <c r="B582" t="s">
        <v>12</v>
      </c>
      <c r="C582" t="s">
        <v>163</v>
      </c>
      <c r="D582" t="s">
        <v>417</v>
      </c>
      <c r="E582" t="s">
        <v>417</v>
      </c>
      <c r="F582" t="s">
        <v>417</v>
      </c>
      <c r="G582" s="3" t="e">
        <f t="shared" si="9"/>
        <v>#DIV/0!</v>
      </c>
      <c r="I582" s="3">
        <f>D582/(VLOOKUP(B582,'2024 Team'!$B$2:$G$33,3,FALSE))</f>
        <v>0</v>
      </c>
    </row>
    <row r="583" spans="1:9" x14ac:dyDescent="0.25">
      <c r="A583" t="s">
        <v>818</v>
      </c>
      <c r="B583" t="s">
        <v>12</v>
      </c>
      <c r="C583" t="s">
        <v>163</v>
      </c>
      <c r="D583" t="s">
        <v>417</v>
      </c>
      <c r="E583" t="s">
        <v>417</v>
      </c>
      <c r="F583" t="s">
        <v>417</v>
      </c>
      <c r="G583" s="3" t="e">
        <f t="shared" si="9"/>
        <v>#DIV/0!</v>
      </c>
      <c r="I583" s="3">
        <f>D583/(VLOOKUP(B583,'2024 Team'!$B$2:$G$33,3,FALSE))</f>
        <v>0</v>
      </c>
    </row>
    <row r="584" spans="1:9" x14ac:dyDescent="0.25">
      <c r="A584" t="s">
        <v>810</v>
      </c>
      <c r="B584" t="s">
        <v>10</v>
      </c>
      <c r="C584" t="s">
        <v>163</v>
      </c>
      <c r="D584" t="s">
        <v>417</v>
      </c>
      <c r="E584" t="s">
        <v>417</v>
      </c>
      <c r="F584" t="s">
        <v>417</v>
      </c>
      <c r="G584" s="3" t="e">
        <f t="shared" si="9"/>
        <v>#DIV/0!</v>
      </c>
      <c r="I584" s="3">
        <f>D584/(VLOOKUP(B584,'2024 Team'!$B$2:$G$33,3,FALSE))</f>
        <v>0</v>
      </c>
    </row>
    <row r="585" spans="1:9" x14ac:dyDescent="0.25">
      <c r="A585" t="s">
        <v>1004</v>
      </c>
      <c r="B585" t="s">
        <v>60</v>
      </c>
      <c r="C585" t="s">
        <v>153</v>
      </c>
      <c r="D585" t="s">
        <v>417</v>
      </c>
      <c r="E585" t="s">
        <v>417</v>
      </c>
      <c r="F585" t="s">
        <v>417</v>
      </c>
      <c r="G585" s="3" t="e">
        <f t="shared" si="9"/>
        <v>#DIV/0!</v>
      </c>
      <c r="I585" s="3">
        <f>D585/(VLOOKUP(B585,'2024 Team'!$B$2:$G$33,3,FALSE))</f>
        <v>0</v>
      </c>
    </row>
    <row r="586" spans="1:9" x14ac:dyDescent="0.25">
      <c r="A586" t="s">
        <v>633</v>
      </c>
      <c r="B586" t="s">
        <v>36</v>
      </c>
      <c r="C586" t="s">
        <v>163</v>
      </c>
      <c r="D586" t="s">
        <v>417</v>
      </c>
      <c r="E586" t="s">
        <v>417</v>
      </c>
      <c r="F586" t="s">
        <v>417</v>
      </c>
      <c r="G586" s="3" t="e">
        <f t="shared" si="9"/>
        <v>#DIV/0!</v>
      </c>
      <c r="I586" s="3">
        <f>D586/(VLOOKUP(B586,'2024 Team'!$B$2:$G$33,3,FALSE))</f>
        <v>0</v>
      </c>
    </row>
    <row r="587" spans="1:9" x14ac:dyDescent="0.25">
      <c r="A587" t="s">
        <v>890</v>
      </c>
      <c r="B587" t="s">
        <v>38</v>
      </c>
      <c r="C587" t="s">
        <v>163</v>
      </c>
      <c r="D587" t="s">
        <v>417</v>
      </c>
      <c r="E587" t="s">
        <v>417</v>
      </c>
      <c r="F587" t="s">
        <v>417</v>
      </c>
      <c r="G587" s="3" t="e">
        <f t="shared" si="9"/>
        <v>#DIV/0!</v>
      </c>
      <c r="I587" s="3">
        <f>D587/(VLOOKUP(B587,'2024 Team'!$B$2:$G$33,3,FALSE))</f>
        <v>0</v>
      </c>
    </row>
    <row r="588" spans="1:9" x14ac:dyDescent="0.25">
      <c r="A588" t="s">
        <v>799</v>
      </c>
      <c r="B588" t="s">
        <v>8</v>
      </c>
      <c r="C588" t="s">
        <v>163</v>
      </c>
      <c r="D588" t="s">
        <v>417</v>
      </c>
      <c r="E588" t="s">
        <v>417</v>
      </c>
      <c r="F588" t="s">
        <v>417</v>
      </c>
      <c r="G588" s="3" t="e">
        <f t="shared" si="9"/>
        <v>#DIV/0!</v>
      </c>
      <c r="I588" s="3">
        <f>D588/(VLOOKUP(B588,'2024 Team'!$B$2:$G$33,3,FALSE))</f>
        <v>0</v>
      </c>
    </row>
    <row r="589" spans="1:9" x14ac:dyDescent="0.25">
      <c r="A589" t="s">
        <v>947</v>
      </c>
      <c r="B589" t="s">
        <v>68</v>
      </c>
      <c r="C589" t="s">
        <v>163</v>
      </c>
      <c r="D589" t="s">
        <v>417</v>
      </c>
      <c r="E589" t="s">
        <v>417</v>
      </c>
      <c r="F589" t="s">
        <v>417</v>
      </c>
      <c r="G589" s="3" t="e">
        <f t="shared" si="9"/>
        <v>#DIV/0!</v>
      </c>
      <c r="I589" s="3">
        <f>D589/(VLOOKUP(B589,'2024 Team'!$B$2:$G$33,3,FALSE))</f>
        <v>0</v>
      </c>
    </row>
    <row r="590" spans="1:9" x14ac:dyDescent="0.25">
      <c r="A590" t="s">
        <v>1012</v>
      </c>
      <c r="B590" t="s">
        <v>64</v>
      </c>
      <c r="C590" t="s">
        <v>163</v>
      </c>
      <c r="D590" t="s">
        <v>417</v>
      </c>
      <c r="E590" t="s">
        <v>417</v>
      </c>
      <c r="F590" t="s">
        <v>417</v>
      </c>
      <c r="G590" s="3" t="e">
        <f t="shared" si="9"/>
        <v>#DIV/0!</v>
      </c>
      <c r="I590" s="3">
        <f>D590/(VLOOKUP(B590,'2024 Team'!$B$2:$G$33,3,FALSE))</f>
        <v>0</v>
      </c>
    </row>
    <row r="591" spans="1:9" x14ac:dyDescent="0.25">
      <c r="A591" t="s">
        <v>855</v>
      </c>
      <c r="B591" t="s">
        <v>22</v>
      </c>
      <c r="C591" t="s">
        <v>153</v>
      </c>
      <c r="D591" t="s">
        <v>417</v>
      </c>
      <c r="E591" t="s">
        <v>417</v>
      </c>
      <c r="F591" t="s">
        <v>417</v>
      </c>
      <c r="G591" s="3" t="e">
        <f t="shared" si="9"/>
        <v>#DIV/0!</v>
      </c>
      <c r="I591" s="3">
        <f>D591/(VLOOKUP(B591,'2024 Team'!$B$2:$G$33,3,FALSE))</f>
        <v>0</v>
      </c>
    </row>
    <row r="592" spans="1:9" x14ac:dyDescent="0.25">
      <c r="A592" t="s">
        <v>884</v>
      </c>
      <c r="B592" t="s">
        <v>68</v>
      </c>
      <c r="C592" t="s">
        <v>153</v>
      </c>
      <c r="D592" t="s">
        <v>417</v>
      </c>
      <c r="E592" t="s">
        <v>417</v>
      </c>
      <c r="F592" t="s">
        <v>417</v>
      </c>
      <c r="G592" s="3" t="e">
        <f t="shared" si="9"/>
        <v>#DIV/0!</v>
      </c>
      <c r="I592" s="3">
        <f>D592/(VLOOKUP(B592,'2024 Team'!$B$2:$G$33,3,FALSE))</f>
        <v>0</v>
      </c>
    </row>
    <row r="593" spans="1:9" x14ac:dyDescent="0.25">
      <c r="A593" t="s">
        <v>740</v>
      </c>
      <c r="B593" t="s">
        <v>30</v>
      </c>
      <c r="C593" t="s">
        <v>163</v>
      </c>
      <c r="D593" t="s">
        <v>417</v>
      </c>
      <c r="E593" t="s">
        <v>417</v>
      </c>
      <c r="F593" t="s">
        <v>417</v>
      </c>
      <c r="G593" s="3" t="e">
        <f t="shared" si="9"/>
        <v>#DIV/0!</v>
      </c>
      <c r="I593" s="3">
        <f>D593/(VLOOKUP(B593,'2024 Team'!$B$2:$G$33,3,FALSE))</f>
        <v>0</v>
      </c>
    </row>
    <row r="594" spans="1:9" x14ac:dyDescent="0.25">
      <c r="A594" t="s">
        <v>915</v>
      </c>
      <c r="B594" t="s">
        <v>38</v>
      </c>
      <c r="C594" t="s">
        <v>153</v>
      </c>
      <c r="D594" t="s">
        <v>417</v>
      </c>
      <c r="E594" t="s">
        <v>417</v>
      </c>
      <c r="F594" t="s">
        <v>417</v>
      </c>
      <c r="G594" s="3" t="e">
        <f t="shared" si="9"/>
        <v>#DIV/0!</v>
      </c>
      <c r="I594" s="3">
        <f>D594/(VLOOKUP(B594,'2024 Team'!$B$2:$G$33,3,FALSE))</f>
        <v>0</v>
      </c>
    </row>
    <row r="595" spans="1:9" x14ac:dyDescent="0.25">
      <c r="A595" t="s">
        <v>2214</v>
      </c>
      <c r="B595" t="s">
        <v>40</v>
      </c>
      <c r="C595" t="s">
        <v>163</v>
      </c>
      <c r="D595" t="s">
        <v>417</v>
      </c>
      <c r="E595" t="s">
        <v>417</v>
      </c>
      <c r="F595" t="s">
        <v>417</v>
      </c>
      <c r="G595" s="3" t="e">
        <f t="shared" si="9"/>
        <v>#DIV/0!</v>
      </c>
      <c r="I595" s="3">
        <f>D595/(VLOOKUP(B595,'2024 Team'!$B$2:$G$33,3,FALSE))</f>
        <v>0</v>
      </c>
    </row>
    <row r="596" spans="1:9" x14ac:dyDescent="0.25">
      <c r="A596" t="s">
        <v>180</v>
      </c>
      <c r="B596" t="s">
        <v>28</v>
      </c>
      <c r="C596" t="s">
        <v>163</v>
      </c>
      <c r="D596" t="s">
        <v>417</v>
      </c>
      <c r="E596" t="s">
        <v>417</v>
      </c>
      <c r="F596" t="s">
        <v>417</v>
      </c>
      <c r="G596" s="3" t="e">
        <f t="shared" si="9"/>
        <v>#DIV/0!</v>
      </c>
      <c r="I596" s="3">
        <f>D596/(VLOOKUP(B596,'2024 Team'!$B$2:$G$33,3,FALSE))</f>
        <v>0</v>
      </c>
    </row>
    <row r="597" spans="1:9" x14ac:dyDescent="0.25">
      <c r="A597" t="s">
        <v>1767</v>
      </c>
      <c r="B597" t="s">
        <v>56</v>
      </c>
      <c r="C597" t="s">
        <v>163</v>
      </c>
      <c r="D597" t="s">
        <v>417</v>
      </c>
      <c r="E597" t="s">
        <v>417</v>
      </c>
      <c r="F597" t="s">
        <v>417</v>
      </c>
      <c r="G597" s="3" t="e">
        <f t="shared" si="9"/>
        <v>#DIV/0!</v>
      </c>
      <c r="I597" s="3">
        <f>D597/(VLOOKUP(B597,'2024 Team'!$B$2:$G$33,3,FALSE))</f>
        <v>0</v>
      </c>
    </row>
    <row r="598" spans="1:9" x14ac:dyDescent="0.25">
      <c r="A598" t="s">
        <v>1767</v>
      </c>
      <c r="B598" t="s">
        <v>60</v>
      </c>
      <c r="C598" t="s">
        <v>163</v>
      </c>
      <c r="D598" t="s">
        <v>417</v>
      </c>
      <c r="E598" t="s">
        <v>417</v>
      </c>
      <c r="F598" t="s">
        <v>417</v>
      </c>
      <c r="G598" s="3" t="e">
        <f t="shared" si="9"/>
        <v>#DIV/0!</v>
      </c>
      <c r="I598" s="3">
        <f>D598/(VLOOKUP(B598,'2024 Team'!$B$2:$G$33,3,FALSE))</f>
        <v>0</v>
      </c>
    </row>
    <row r="599" spans="1:9" x14ac:dyDescent="0.25">
      <c r="A599" t="s">
        <v>1021</v>
      </c>
      <c r="B599" t="s">
        <v>62</v>
      </c>
      <c r="C599" t="s">
        <v>153</v>
      </c>
      <c r="D599" t="s">
        <v>417</v>
      </c>
      <c r="E599" t="s">
        <v>417</v>
      </c>
      <c r="F599" t="s">
        <v>417</v>
      </c>
      <c r="G599" s="3" t="e">
        <f t="shared" si="9"/>
        <v>#DIV/0!</v>
      </c>
      <c r="I599" s="3">
        <f>D599/(VLOOKUP(B599,'2024 Team'!$B$2:$G$33,3,FALSE))</f>
        <v>0</v>
      </c>
    </row>
    <row r="600" spans="1:9" x14ac:dyDescent="0.25">
      <c r="A600" t="s">
        <v>948</v>
      </c>
      <c r="B600" t="s">
        <v>52</v>
      </c>
      <c r="C600" t="s">
        <v>163</v>
      </c>
      <c r="D600" t="s">
        <v>417</v>
      </c>
      <c r="E600" t="s">
        <v>417</v>
      </c>
      <c r="F600" t="s">
        <v>417</v>
      </c>
      <c r="G600" s="3" t="e">
        <f t="shared" si="9"/>
        <v>#DIV/0!</v>
      </c>
      <c r="I600" s="3">
        <f>D600/(VLOOKUP(B600,'2024 Team'!$B$2:$G$33,3,FALSE))</f>
        <v>0</v>
      </c>
    </row>
    <row r="601" spans="1:9" x14ac:dyDescent="0.25">
      <c r="A601" t="s">
        <v>2215</v>
      </c>
      <c r="B601" t="s">
        <v>58</v>
      </c>
      <c r="C601" t="s">
        <v>163</v>
      </c>
      <c r="D601" t="s">
        <v>417</v>
      </c>
      <c r="E601" t="s">
        <v>417</v>
      </c>
      <c r="F601" t="s">
        <v>417</v>
      </c>
      <c r="G601" s="3" t="e">
        <f t="shared" si="9"/>
        <v>#DIV/0!</v>
      </c>
      <c r="I601" s="3">
        <f>D601/(VLOOKUP(B601,'2024 Team'!$B$2:$G$33,3,FALSE))</f>
        <v>0</v>
      </c>
    </row>
    <row r="602" spans="1:9" x14ac:dyDescent="0.25">
      <c r="A602" t="s">
        <v>1028</v>
      </c>
      <c r="B602" t="s">
        <v>66</v>
      </c>
      <c r="C602" t="s">
        <v>2184</v>
      </c>
      <c r="D602" t="s">
        <v>417</v>
      </c>
      <c r="E602" t="s">
        <v>417</v>
      </c>
      <c r="F602" t="s">
        <v>417</v>
      </c>
      <c r="G602" s="3" t="e">
        <f t="shared" si="9"/>
        <v>#DIV/0!</v>
      </c>
      <c r="I602" s="3">
        <f>D602/(VLOOKUP(B602,'2024 Team'!$B$2:$G$33,3,FALSE))</f>
        <v>0</v>
      </c>
    </row>
    <row r="603" spans="1:9" x14ac:dyDescent="0.25">
      <c r="A603" t="s">
        <v>811</v>
      </c>
      <c r="B603" t="s">
        <v>10</v>
      </c>
      <c r="C603" t="s">
        <v>153</v>
      </c>
      <c r="D603" t="s">
        <v>417</v>
      </c>
      <c r="E603" t="s">
        <v>417</v>
      </c>
      <c r="F603" t="s">
        <v>417</v>
      </c>
      <c r="G603" s="3" t="e">
        <f t="shared" si="9"/>
        <v>#DIV/0!</v>
      </c>
      <c r="I603" s="3">
        <f>D603/(VLOOKUP(B603,'2024 Team'!$B$2:$G$33,3,FALSE))</f>
        <v>0</v>
      </c>
    </row>
    <row r="604" spans="1:9" x14ac:dyDescent="0.25">
      <c r="A604" t="s">
        <v>2216</v>
      </c>
      <c r="B604" t="s">
        <v>22</v>
      </c>
      <c r="C604" t="s">
        <v>163</v>
      </c>
      <c r="D604" t="s">
        <v>417</v>
      </c>
      <c r="E604" t="s">
        <v>417</v>
      </c>
      <c r="F604" t="s">
        <v>417</v>
      </c>
      <c r="G604" t="e">
        <f t="shared" si="9"/>
        <v>#DIV/0!</v>
      </c>
      <c r="I604">
        <f>D604/(VLOOKUP(B604,'2024 Team'!$B$2:$G$33,3,FALSE))</f>
        <v>0</v>
      </c>
    </row>
    <row r="605" spans="1:9" x14ac:dyDescent="0.25">
      <c r="A605" t="s">
        <v>1768</v>
      </c>
      <c r="B605" t="s">
        <v>32</v>
      </c>
      <c r="C605" t="s">
        <v>163</v>
      </c>
      <c r="D605" t="s">
        <v>417</v>
      </c>
      <c r="E605" t="s">
        <v>417</v>
      </c>
      <c r="F605" t="s">
        <v>417</v>
      </c>
      <c r="G605" t="e">
        <f t="shared" si="9"/>
        <v>#DIV/0!</v>
      </c>
      <c r="I605">
        <f>D605/(VLOOKUP(B605,'2024 Team'!$B$2:$G$33,3,FALSE))</f>
        <v>0</v>
      </c>
    </row>
    <row r="606" spans="1:9" x14ac:dyDescent="0.25">
      <c r="A606" t="s">
        <v>876</v>
      </c>
      <c r="B606" t="s">
        <v>28</v>
      </c>
      <c r="C606" t="s">
        <v>153</v>
      </c>
      <c r="D606" t="s">
        <v>417</v>
      </c>
      <c r="E606" t="s">
        <v>417</v>
      </c>
      <c r="F606" t="s">
        <v>417</v>
      </c>
      <c r="G606" t="e">
        <f t="shared" si="9"/>
        <v>#DIV/0!</v>
      </c>
      <c r="I606">
        <f>D606/(VLOOKUP(B606,'2024 Team'!$B$2:$G$33,3,FALSE))</f>
        <v>0</v>
      </c>
    </row>
    <row r="607" spans="1:9" x14ac:dyDescent="0.25">
      <c r="A607" t="s">
        <v>1866</v>
      </c>
      <c r="B607" t="s">
        <v>56</v>
      </c>
      <c r="C607" t="s">
        <v>153</v>
      </c>
      <c r="D607" t="s">
        <v>417</v>
      </c>
      <c r="E607" t="s">
        <v>417</v>
      </c>
      <c r="F607" t="s">
        <v>417</v>
      </c>
      <c r="G607" t="e">
        <f t="shared" si="9"/>
        <v>#DIV/0!</v>
      </c>
      <c r="I607">
        <f>D607/(VLOOKUP(B607,'2024 Team'!$B$2:$G$33,3,FALSE))</f>
        <v>0</v>
      </c>
    </row>
    <row r="608" spans="1:9" x14ac:dyDescent="0.25">
      <c r="A608" t="s">
        <v>1013</v>
      </c>
      <c r="B608" t="s">
        <v>64</v>
      </c>
      <c r="C608" t="s">
        <v>163</v>
      </c>
      <c r="D608" t="s">
        <v>417</v>
      </c>
      <c r="E608" t="s">
        <v>417</v>
      </c>
      <c r="F608" t="s">
        <v>417</v>
      </c>
      <c r="G608" t="e">
        <f t="shared" si="9"/>
        <v>#DIV/0!</v>
      </c>
      <c r="I608">
        <f>D608/(VLOOKUP(B608,'2024 Team'!$B$2:$G$33,3,FALSE))</f>
        <v>0</v>
      </c>
    </row>
    <row r="609" spans="1:9" x14ac:dyDescent="0.25">
      <c r="A609" t="s">
        <v>877</v>
      </c>
      <c r="B609" t="s">
        <v>28</v>
      </c>
      <c r="C609" t="s">
        <v>153</v>
      </c>
      <c r="D609" t="s">
        <v>417</v>
      </c>
      <c r="E609" t="s">
        <v>417</v>
      </c>
      <c r="F609" t="s">
        <v>417</v>
      </c>
      <c r="G609" t="e">
        <f t="shared" si="9"/>
        <v>#DIV/0!</v>
      </c>
      <c r="I609">
        <f>D609/(VLOOKUP(B609,'2024 Team'!$B$2:$G$33,3,FALSE))</f>
        <v>0</v>
      </c>
    </row>
    <row r="610" spans="1:9" x14ac:dyDescent="0.25">
      <c r="A610" t="s">
        <v>1588</v>
      </c>
      <c r="G610" t="e">
        <f t="shared" si="9"/>
        <v>#DIV/0!</v>
      </c>
      <c r="H610" t="s">
        <v>230</v>
      </c>
      <c r="I610" t="e">
        <f>D610/(VLOOKUP(B610,'2024 Team'!$B$2:$G$33,3,FALSE))</f>
        <v>#N/A</v>
      </c>
    </row>
  </sheetData>
  <autoFilter ref="A1:I610" xr:uid="{14E9B533-C057-4341-9E36-A8CCA01D392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5"/>
  <sheetViews>
    <sheetView workbookViewId="0">
      <selection activeCell="E625" sqref="E625"/>
    </sheetView>
  </sheetViews>
  <sheetFormatPr defaultRowHeight="15" x14ac:dyDescent="0.25"/>
  <cols>
    <col min="1" max="1" width="24.28515625" customWidth="1"/>
    <col min="2" max="6" width="9.140625" customWidth="1"/>
    <col min="7" max="7" width="9.140625" style="2" customWidth="1"/>
    <col min="8" max="8" width="9.140625" customWidth="1"/>
    <col min="9" max="9" width="15.85546875" style="3" customWidth="1"/>
  </cols>
  <sheetData>
    <row r="1" spans="1:9" x14ac:dyDescent="0.25">
      <c r="A1" t="s">
        <v>71</v>
      </c>
      <c r="B1" t="s">
        <v>0</v>
      </c>
      <c r="C1" t="s">
        <v>72</v>
      </c>
      <c r="D1" t="s">
        <v>74</v>
      </c>
      <c r="E1" t="s">
        <v>76</v>
      </c>
      <c r="F1" t="s">
        <v>188</v>
      </c>
      <c r="G1" s="2" t="s">
        <v>189</v>
      </c>
      <c r="H1" t="s">
        <v>79</v>
      </c>
      <c r="I1" s="3" t="s">
        <v>190</v>
      </c>
    </row>
    <row r="2" spans="1:9" x14ac:dyDescent="0.25">
      <c r="A2" t="s">
        <v>166</v>
      </c>
      <c r="B2" t="s">
        <v>68</v>
      </c>
      <c r="C2" t="s">
        <v>159</v>
      </c>
      <c r="D2" t="s">
        <v>205</v>
      </c>
      <c r="E2" t="s">
        <v>1589</v>
      </c>
      <c r="F2" t="s">
        <v>198</v>
      </c>
      <c r="G2" s="3">
        <f t="shared" ref="G2:G64" si="0">F2/D2</f>
        <v>4.2857142857142858E-2</v>
      </c>
      <c r="H2" t="s">
        <v>293</v>
      </c>
      <c r="I2" s="3">
        <f>D2/(VLOOKUP(B2,'2023 Team'!$B$2:$G$33,3,FALSE))</f>
        <v>0.63063063063063063</v>
      </c>
    </row>
    <row r="3" spans="1:9" x14ac:dyDescent="0.25">
      <c r="A3" t="s">
        <v>182</v>
      </c>
      <c r="B3" t="s">
        <v>62</v>
      </c>
      <c r="C3" t="s">
        <v>159</v>
      </c>
      <c r="D3" t="s">
        <v>1590</v>
      </c>
      <c r="E3" t="s">
        <v>1591</v>
      </c>
      <c r="F3" t="s">
        <v>344</v>
      </c>
      <c r="G3" s="3">
        <f t="shared" si="0"/>
        <v>5.1470588235294115E-2</v>
      </c>
      <c r="H3" t="s">
        <v>394</v>
      </c>
      <c r="I3" s="3">
        <f>D3/(VLOOKUP(B3,'2023 Team'!$B$2:$G$33,3,FALSE))</f>
        <v>0.54509018036072143</v>
      </c>
    </row>
    <row r="4" spans="1:9" x14ac:dyDescent="0.25">
      <c r="A4" t="s">
        <v>341</v>
      </c>
      <c r="B4" t="s">
        <v>66</v>
      </c>
      <c r="C4" t="s">
        <v>159</v>
      </c>
      <c r="D4" t="s">
        <v>1590</v>
      </c>
      <c r="E4" t="s">
        <v>1592</v>
      </c>
      <c r="F4" t="s">
        <v>247</v>
      </c>
      <c r="G4" s="3">
        <f t="shared" si="0"/>
        <v>2.2058823529411766E-2</v>
      </c>
      <c r="H4" t="s">
        <v>262</v>
      </c>
      <c r="I4" s="3">
        <f>D4/(VLOOKUP(B4,'2023 Team'!$B$2:$G$33,3,FALSE))</f>
        <v>0.61958997722095677</v>
      </c>
    </row>
    <row r="5" spans="1:9" x14ac:dyDescent="0.25">
      <c r="A5" t="s">
        <v>236</v>
      </c>
      <c r="B5" t="s">
        <v>36</v>
      </c>
      <c r="C5" t="s">
        <v>159</v>
      </c>
      <c r="D5" t="s">
        <v>1410</v>
      </c>
      <c r="E5" t="s">
        <v>1099</v>
      </c>
      <c r="F5" t="s">
        <v>266</v>
      </c>
      <c r="G5" s="3">
        <f t="shared" si="0"/>
        <v>4.1198501872659173E-2</v>
      </c>
      <c r="H5" t="s">
        <v>323</v>
      </c>
      <c r="I5" s="3">
        <f>D5/(VLOOKUP(B5,'2023 Team'!$B$2:$G$33,3,FALSE))</f>
        <v>0.58940397350993379</v>
      </c>
    </row>
    <row r="6" spans="1:9" x14ac:dyDescent="0.25">
      <c r="A6" t="s">
        <v>1593</v>
      </c>
      <c r="B6" t="s">
        <v>20</v>
      </c>
      <c r="C6" t="s">
        <v>159</v>
      </c>
      <c r="D6" t="s">
        <v>1594</v>
      </c>
      <c r="E6" t="s">
        <v>1595</v>
      </c>
      <c r="F6" t="s">
        <v>270</v>
      </c>
      <c r="G6" s="3">
        <f t="shared" si="0"/>
        <v>3.5019455252918288E-2</v>
      </c>
      <c r="H6" t="s">
        <v>235</v>
      </c>
      <c r="I6" s="3">
        <f>D6/(VLOOKUP(B6,'2023 Team'!$B$2:$G$33,3,FALSE))</f>
        <v>0.67101827676240211</v>
      </c>
    </row>
    <row r="7" spans="1:9" x14ac:dyDescent="0.25">
      <c r="A7" t="s">
        <v>560</v>
      </c>
      <c r="B7" t="s">
        <v>60</v>
      </c>
      <c r="C7" t="s">
        <v>159</v>
      </c>
      <c r="D7" t="s">
        <v>1596</v>
      </c>
      <c r="E7" t="s">
        <v>1597</v>
      </c>
      <c r="F7" t="s">
        <v>225</v>
      </c>
      <c r="G7" s="3">
        <f t="shared" si="0"/>
        <v>3.1372549019607843E-2</v>
      </c>
      <c r="H7" t="s">
        <v>208</v>
      </c>
      <c r="I7" s="3">
        <f>D7/(VLOOKUP(B7,'2023 Team'!$B$2:$G$33,3,FALSE))</f>
        <v>0.52361396303901442</v>
      </c>
    </row>
    <row r="8" spans="1:9" x14ac:dyDescent="0.25">
      <c r="A8" t="s">
        <v>252</v>
      </c>
      <c r="B8" t="s">
        <v>24</v>
      </c>
      <c r="C8" t="s">
        <v>159</v>
      </c>
      <c r="D8" t="s">
        <v>264</v>
      </c>
      <c r="E8" t="s">
        <v>1598</v>
      </c>
      <c r="F8" t="s">
        <v>247</v>
      </c>
      <c r="G8" s="3">
        <f t="shared" si="0"/>
        <v>2.3809523809523808E-2</v>
      </c>
      <c r="H8" t="s">
        <v>235</v>
      </c>
      <c r="I8" s="3">
        <f>D8/(VLOOKUP(B8,'2023 Team'!$B$2:$G$33,3,FALSE))</f>
        <v>0.53846153846153844</v>
      </c>
    </row>
    <row r="9" spans="1:9" x14ac:dyDescent="0.25">
      <c r="A9" t="s">
        <v>204</v>
      </c>
      <c r="B9" t="s">
        <v>54</v>
      </c>
      <c r="C9" t="s">
        <v>159</v>
      </c>
      <c r="D9" t="s">
        <v>1599</v>
      </c>
      <c r="E9" t="s">
        <v>1600</v>
      </c>
      <c r="F9" t="s">
        <v>247</v>
      </c>
      <c r="G9" s="3">
        <f t="shared" si="0"/>
        <v>2.4291497975708502E-2</v>
      </c>
      <c r="H9" t="s">
        <v>212</v>
      </c>
      <c r="I9" s="3">
        <f>D9/(VLOOKUP(B9,'2023 Team'!$B$2:$G$33,3,FALSE))</f>
        <v>0.54405286343612336</v>
      </c>
    </row>
    <row r="10" spans="1:9" x14ac:dyDescent="0.25">
      <c r="A10" t="s">
        <v>320</v>
      </c>
      <c r="B10" t="s">
        <v>16</v>
      </c>
      <c r="C10" t="s">
        <v>159</v>
      </c>
      <c r="D10" t="s">
        <v>223</v>
      </c>
      <c r="E10" t="s">
        <v>1601</v>
      </c>
      <c r="F10" t="s">
        <v>220</v>
      </c>
      <c r="G10" s="3">
        <f t="shared" si="0"/>
        <v>2.100840336134454E-2</v>
      </c>
      <c r="H10" t="s">
        <v>323</v>
      </c>
      <c r="I10" s="3">
        <f>D10/(VLOOKUP(B10,'2023 Team'!$B$2:$G$33,3,FALSE))</f>
        <v>0.53483146067415732</v>
      </c>
    </row>
    <row r="11" spans="1:9" x14ac:dyDescent="0.25">
      <c r="A11" t="s">
        <v>195</v>
      </c>
      <c r="B11" t="s">
        <v>14</v>
      </c>
      <c r="C11" t="s">
        <v>159</v>
      </c>
      <c r="D11" t="s">
        <v>1602</v>
      </c>
      <c r="E11" t="s">
        <v>1603</v>
      </c>
      <c r="F11" t="s">
        <v>289</v>
      </c>
      <c r="G11" s="3">
        <f t="shared" si="0"/>
        <v>8.4388185654008432E-3</v>
      </c>
      <c r="H11" t="s">
        <v>362</v>
      </c>
      <c r="I11" s="3">
        <f>D11/(VLOOKUP(B11,'2023 Team'!$B$2:$G$33,3,FALSE))</f>
        <v>0.462890625</v>
      </c>
    </row>
    <row r="12" spans="1:9" x14ac:dyDescent="0.25">
      <c r="A12" t="s">
        <v>231</v>
      </c>
      <c r="B12" t="s">
        <v>40</v>
      </c>
      <c r="C12" t="s">
        <v>159</v>
      </c>
      <c r="D12" t="s">
        <v>1604</v>
      </c>
      <c r="E12" t="s">
        <v>279</v>
      </c>
      <c r="F12" t="s">
        <v>247</v>
      </c>
      <c r="G12" s="3">
        <f t="shared" si="0"/>
        <v>2.575107296137339E-2</v>
      </c>
      <c r="H12" t="s">
        <v>555</v>
      </c>
      <c r="I12" s="3">
        <f>D12/(VLOOKUP(B12,'2023 Team'!$B$2:$G$33,3,FALSE))</f>
        <v>0.56416464891041163</v>
      </c>
    </row>
    <row r="13" spans="1:9" x14ac:dyDescent="0.25">
      <c r="A13" t="s">
        <v>267</v>
      </c>
      <c r="B13" t="s">
        <v>58</v>
      </c>
      <c r="C13" t="s">
        <v>159</v>
      </c>
      <c r="D13" t="s">
        <v>1605</v>
      </c>
      <c r="E13" t="s">
        <v>1606</v>
      </c>
      <c r="F13" t="s">
        <v>220</v>
      </c>
      <c r="G13" s="3">
        <f t="shared" si="0"/>
        <v>2.1834061135371178E-2</v>
      </c>
      <c r="H13" t="s">
        <v>243</v>
      </c>
      <c r="I13" s="3">
        <f>D13/(VLOOKUP(B13,'2023 Team'!$B$2:$G$33,3,FALSE))</f>
        <v>0.44901960784313727</v>
      </c>
    </row>
    <row r="14" spans="1:9" x14ac:dyDescent="0.25">
      <c r="A14" t="s">
        <v>248</v>
      </c>
      <c r="B14" t="s">
        <v>44</v>
      </c>
      <c r="C14" t="s">
        <v>159</v>
      </c>
      <c r="D14" t="s">
        <v>1607</v>
      </c>
      <c r="E14" t="s">
        <v>1608</v>
      </c>
      <c r="F14" t="s">
        <v>198</v>
      </c>
      <c r="G14" s="3">
        <f t="shared" si="0"/>
        <v>5.2631578947368418E-2</v>
      </c>
      <c r="H14" t="s">
        <v>258</v>
      </c>
      <c r="I14" s="3">
        <f>D14/(VLOOKUP(B14,'2023 Team'!$B$2:$G$33,3,FALSE))</f>
        <v>0.4779874213836478</v>
      </c>
    </row>
    <row r="15" spans="1:9" x14ac:dyDescent="0.25">
      <c r="A15" t="s">
        <v>178</v>
      </c>
      <c r="B15" t="s">
        <v>56</v>
      </c>
      <c r="C15" t="s">
        <v>159</v>
      </c>
      <c r="D15" t="s">
        <v>268</v>
      </c>
      <c r="E15" t="s">
        <v>1609</v>
      </c>
      <c r="F15" t="s">
        <v>220</v>
      </c>
      <c r="G15" s="3">
        <f t="shared" si="0"/>
        <v>2.2421524663677129E-2</v>
      </c>
      <c r="H15" t="s">
        <v>255</v>
      </c>
      <c r="I15" s="3">
        <f>D15/(VLOOKUP(B15,'2023 Team'!$B$2:$G$33,3,FALSE))</f>
        <v>0.57474226804123707</v>
      </c>
    </row>
    <row r="16" spans="1:9" x14ac:dyDescent="0.25">
      <c r="A16" t="s">
        <v>158</v>
      </c>
      <c r="B16" t="s">
        <v>28</v>
      </c>
      <c r="C16" t="s">
        <v>159</v>
      </c>
      <c r="D16" t="s">
        <v>1610</v>
      </c>
      <c r="E16" t="s">
        <v>1611</v>
      </c>
      <c r="F16" t="s">
        <v>234</v>
      </c>
      <c r="G16" s="3">
        <f t="shared" si="0"/>
        <v>5.9360730593607303E-2</v>
      </c>
      <c r="H16" t="s">
        <v>243</v>
      </c>
      <c r="I16" s="3">
        <f>D16/(VLOOKUP(B16,'2023 Team'!$B$2:$G$33,3,FALSE))</f>
        <v>0.438</v>
      </c>
    </row>
    <row r="17" spans="1:9" x14ac:dyDescent="0.25">
      <c r="A17" t="s">
        <v>240</v>
      </c>
      <c r="B17" t="s">
        <v>64</v>
      </c>
      <c r="C17" t="s">
        <v>159</v>
      </c>
      <c r="D17" t="s">
        <v>1610</v>
      </c>
      <c r="E17" t="s">
        <v>1612</v>
      </c>
      <c r="F17" t="s">
        <v>225</v>
      </c>
      <c r="G17" s="3">
        <f t="shared" si="0"/>
        <v>3.6529680365296802E-2</v>
      </c>
      <c r="H17" t="s">
        <v>208</v>
      </c>
      <c r="I17" s="3">
        <f>D17/(VLOOKUP(B17,'2023 Team'!$B$2:$G$33,3,FALSE))</f>
        <v>0.57329842931937169</v>
      </c>
    </row>
    <row r="18" spans="1:9" x14ac:dyDescent="0.25">
      <c r="A18" t="s">
        <v>263</v>
      </c>
      <c r="B18" t="s">
        <v>26</v>
      </c>
      <c r="C18" t="s">
        <v>159</v>
      </c>
      <c r="D18" t="s">
        <v>1613</v>
      </c>
      <c r="E18" t="s">
        <v>1614</v>
      </c>
      <c r="F18" t="s">
        <v>314</v>
      </c>
      <c r="G18" s="3">
        <f t="shared" si="0"/>
        <v>1.3824884792626729E-2</v>
      </c>
      <c r="H18" t="s">
        <v>262</v>
      </c>
      <c r="I18" s="3">
        <f>D18/(VLOOKUP(B18,'2023 Team'!$B$2:$G$33,3,FALSE))</f>
        <v>0.48115299334811529</v>
      </c>
    </row>
    <row r="19" spans="1:9" x14ac:dyDescent="0.25">
      <c r="A19" t="s">
        <v>345</v>
      </c>
      <c r="B19" t="s">
        <v>32</v>
      </c>
      <c r="C19" t="s">
        <v>159</v>
      </c>
      <c r="D19" t="s">
        <v>430</v>
      </c>
      <c r="E19" t="s">
        <v>1615</v>
      </c>
      <c r="F19" t="s">
        <v>229</v>
      </c>
      <c r="G19" s="3">
        <f t="shared" si="0"/>
        <v>1.8518518518518517E-2</v>
      </c>
      <c r="H19" t="s">
        <v>293</v>
      </c>
      <c r="I19" s="3">
        <f>D19/(VLOOKUP(B19,'2023 Team'!$B$2:$G$33,3,FALSE))</f>
        <v>0.48648648648648651</v>
      </c>
    </row>
    <row r="20" spans="1:9" x14ac:dyDescent="0.25">
      <c r="A20" t="s">
        <v>213</v>
      </c>
      <c r="B20" t="s">
        <v>10</v>
      </c>
      <c r="C20" t="s">
        <v>159</v>
      </c>
      <c r="D20" t="s">
        <v>1616</v>
      </c>
      <c r="E20" t="s">
        <v>1617</v>
      </c>
      <c r="F20" t="s">
        <v>229</v>
      </c>
      <c r="G20" s="3">
        <f t="shared" si="0"/>
        <v>1.8691588785046728E-2</v>
      </c>
      <c r="H20" t="s">
        <v>243</v>
      </c>
      <c r="I20" s="3">
        <f>D20/(VLOOKUP(B20,'2023 Team'!$B$2:$G$33,3,FALSE))</f>
        <v>0.40996168582375481</v>
      </c>
    </row>
    <row r="21" spans="1:9" x14ac:dyDescent="0.25">
      <c r="A21" t="s">
        <v>520</v>
      </c>
      <c r="B21" t="s">
        <v>46</v>
      </c>
      <c r="C21" t="s">
        <v>159</v>
      </c>
      <c r="D21" t="s">
        <v>451</v>
      </c>
      <c r="E21" t="s">
        <v>1618</v>
      </c>
      <c r="F21" t="s">
        <v>202</v>
      </c>
      <c r="G21" s="3">
        <f t="shared" si="0"/>
        <v>8.6124401913875603E-2</v>
      </c>
      <c r="H21" t="s">
        <v>251</v>
      </c>
      <c r="I21" s="3">
        <f>D21/(VLOOKUP(B21,'2023 Team'!$B$2:$G$33,3,FALSE))</f>
        <v>0.45833333333333331</v>
      </c>
    </row>
    <row r="22" spans="1:9" x14ac:dyDescent="0.25">
      <c r="A22" t="s">
        <v>501</v>
      </c>
      <c r="B22" t="s">
        <v>8</v>
      </c>
      <c r="C22" t="s">
        <v>159</v>
      </c>
      <c r="D22" t="s">
        <v>1431</v>
      </c>
      <c r="E22" t="s">
        <v>1619</v>
      </c>
      <c r="F22" t="s">
        <v>207</v>
      </c>
      <c r="G22" s="3">
        <f t="shared" si="0"/>
        <v>3.3653846153846152E-2</v>
      </c>
      <c r="H22" t="s">
        <v>258</v>
      </c>
      <c r="I22" s="3">
        <f>D22/(VLOOKUP(B22,'2023 Team'!$B$2:$G$33,3,FALSE))</f>
        <v>0.44161358811040341</v>
      </c>
    </row>
    <row r="23" spans="1:9" x14ac:dyDescent="0.25">
      <c r="A23" t="s">
        <v>365</v>
      </c>
      <c r="B23" t="s">
        <v>38</v>
      </c>
      <c r="C23" t="s">
        <v>159</v>
      </c>
      <c r="D23" t="s">
        <v>1620</v>
      </c>
      <c r="E23" t="s">
        <v>1621</v>
      </c>
      <c r="F23" t="s">
        <v>207</v>
      </c>
      <c r="G23" s="3">
        <f t="shared" si="0"/>
        <v>3.4146341463414637E-2</v>
      </c>
      <c r="H23" t="s">
        <v>243</v>
      </c>
      <c r="I23" s="3">
        <f>D23/(VLOOKUP(B23,'2023 Team'!$B$2:$G$33,3,FALSE))</f>
        <v>0.49160671462829736</v>
      </c>
    </row>
    <row r="24" spans="1:9" x14ac:dyDescent="0.25">
      <c r="A24" t="s">
        <v>519</v>
      </c>
      <c r="B24" t="s">
        <v>22</v>
      </c>
      <c r="C24" t="s">
        <v>159</v>
      </c>
      <c r="D24" t="s">
        <v>1622</v>
      </c>
      <c r="E24" t="s">
        <v>1623</v>
      </c>
      <c r="F24" t="s">
        <v>229</v>
      </c>
      <c r="G24" s="3">
        <f t="shared" si="0"/>
        <v>1.9607843137254902E-2</v>
      </c>
      <c r="H24" t="s">
        <v>235</v>
      </c>
      <c r="I24" s="3">
        <f>D24/(VLOOKUP(B24,'2023 Team'!$B$2:$G$33,3,FALSE))</f>
        <v>0.39382239382239381</v>
      </c>
    </row>
    <row r="25" spans="1:9" x14ac:dyDescent="0.25">
      <c r="A25" t="s">
        <v>1624</v>
      </c>
      <c r="B25" t="s">
        <v>12</v>
      </c>
      <c r="C25" t="s">
        <v>159</v>
      </c>
      <c r="D25" t="s">
        <v>460</v>
      </c>
      <c r="E25" t="s">
        <v>1625</v>
      </c>
      <c r="F25" t="s">
        <v>234</v>
      </c>
      <c r="G25" s="3">
        <f t="shared" si="0"/>
        <v>6.5656565656565663E-2</v>
      </c>
      <c r="H25" t="s">
        <v>208</v>
      </c>
      <c r="I25" s="3">
        <f>D25/(VLOOKUP(B25,'2023 Team'!$B$2:$G$33,3,FALSE))</f>
        <v>0.36598890942698709</v>
      </c>
    </row>
    <row r="26" spans="1:9" x14ac:dyDescent="0.25">
      <c r="A26" t="s">
        <v>317</v>
      </c>
      <c r="B26" t="s">
        <v>10</v>
      </c>
      <c r="C26" t="s">
        <v>159</v>
      </c>
      <c r="D26" t="s">
        <v>463</v>
      </c>
      <c r="E26" t="s">
        <v>1626</v>
      </c>
      <c r="F26" t="s">
        <v>229</v>
      </c>
      <c r="G26" s="3">
        <f t="shared" si="0"/>
        <v>2.1505376344086023E-2</v>
      </c>
      <c r="H26" t="s">
        <v>221</v>
      </c>
      <c r="I26" s="3">
        <f>D26/(VLOOKUP(B26,'2023 Team'!$B$2:$G$33,3,FALSE))</f>
        <v>0.35632183908045978</v>
      </c>
    </row>
    <row r="27" spans="1:9" x14ac:dyDescent="0.25">
      <c r="A27" t="s">
        <v>1627</v>
      </c>
      <c r="B27" t="s">
        <v>50</v>
      </c>
      <c r="C27" t="s">
        <v>159</v>
      </c>
      <c r="D27" t="s">
        <v>275</v>
      </c>
      <c r="E27" t="s">
        <v>1628</v>
      </c>
      <c r="F27" t="s">
        <v>314</v>
      </c>
      <c r="G27" s="3">
        <f t="shared" si="0"/>
        <v>1.6304347826086956E-2</v>
      </c>
      <c r="H27" t="s">
        <v>555</v>
      </c>
      <c r="I27" s="3">
        <f>D27/(VLOOKUP(B27,'2023 Team'!$B$2:$G$33,3,FALSE))</f>
        <v>0.44337349397590359</v>
      </c>
    </row>
    <row r="28" spans="1:9" x14ac:dyDescent="0.25">
      <c r="A28" t="s">
        <v>1629</v>
      </c>
      <c r="B28" t="s">
        <v>34</v>
      </c>
      <c r="C28" t="s">
        <v>159</v>
      </c>
      <c r="D28" t="s">
        <v>1513</v>
      </c>
      <c r="E28" t="s">
        <v>1630</v>
      </c>
      <c r="F28" t="s">
        <v>220</v>
      </c>
      <c r="G28" s="3">
        <f t="shared" si="0"/>
        <v>2.7322404371584699E-2</v>
      </c>
      <c r="H28" t="s">
        <v>239</v>
      </c>
      <c r="I28" s="3">
        <f>D28/(VLOOKUP(B28,'2023 Team'!$B$2:$G$33,3,FALSE))</f>
        <v>0.38204592901878914</v>
      </c>
    </row>
    <row r="29" spans="1:9" x14ac:dyDescent="0.25">
      <c r="A29" t="s">
        <v>256</v>
      </c>
      <c r="B29" t="s">
        <v>28</v>
      </c>
      <c r="C29" t="s">
        <v>159</v>
      </c>
      <c r="D29" t="s">
        <v>1631</v>
      </c>
      <c r="E29" t="s">
        <v>1632</v>
      </c>
      <c r="F29" t="s">
        <v>211</v>
      </c>
      <c r="G29" s="3">
        <f t="shared" si="0"/>
        <v>5.4945054945054944E-2</v>
      </c>
      <c r="H29" t="s">
        <v>194</v>
      </c>
      <c r="I29" s="3">
        <f>D29/(VLOOKUP(B29,'2023 Team'!$B$2:$G$33,3,FALSE))</f>
        <v>0.36399999999999999</v>
      </c>
    </row>
    <row r="30" spans="1:9" x14ac:dyDescent="0.25">
      <c r="A30" t="s">
        <v>348</v>
      </c>
      <c r="B30" t="s">
        <v>52</v>
      </c>
      <c r="C30" t="s">
        <v>159</v>
      </c>
      <c r="D30" t="s">
        <v>284</v>
      </c>
      <c r="E30" t="s">
        <v>1633</v>
      </c>
      <c r="F30" t="s">
        <v>220</v>
      </c>
      <c r="G30" s="3">
        <f t="shared" si="0"/>
        <v>2.7777777777777776E-2</v>
      </c>
      <c r="H30" t="s">
        <v>212</v>
      </c>
      <c r="I30" s="3">
        <f>D30/(VLOOKUP(B30,'2023 Team'!$B$2:$G$33,3,FALSE))</f>
        <v>0.375</v>
      </c>
    </row>
    <row r="31" spans="1:9" x14ac:dyDescent="0.25">
      <c r="A31" t="s">
        <v>1634</v>
      </c>
      <c r="B31" t="s">
        <v>48</v>
      </c>
      <c r="C31" t="s">
        <v>159</v>
      </c>
      <c r="D31" t="s">
        <v>284</v>
      </c>
      <c r="E31" t="s">
        <v>1635</v>
      </c>
      <c r="F31" t="s">
        <v>417</v>
      </c>
      <c r="G31" s="3">
        <f t="shared" si="0"/>
        <v>0</v>
      </c>
      <c r="H31" t="s">
        <v>212</v>
      </c>
      <c r="I31" s="3">
        <f>D31/(VLOOKUP(B31,'2023 Team'!$B$2:$G$33,3,FALSE))</f>
        <v>0.4580152671755725</v>
      </c>
    </row>
    <row r="32" spans="1:9" x14ac:dyDescent="0.25">
      <c r="A32" t="s">
        <v>549</v>
      </c>
      <c r="B32" t="s">
        <v>42</v>
      </c>
      <c r="C32" t="s">
        <v>159</v>
      </c>
      <c r="D32" t="s">
        <v>1443</v>
      </c>
      <c r="E32" t="s">
        <v>1277</v>
      </c>
      <c r="F32" t="s">
        <v>220</v>
      </c>
      <c r="G32" s="3">
        <f t="shared" si="0"/>
        <v>2.7932960893854747E-2</v>
      </c>
      <c r="H32" t="s">
        <v>555</v>
      </c>
      <c r="I32" s="3">
        <f>D32/(VLOOKUP(B32,'2023 Team'!$B$2:$G$33,3,FALSE))</f>
        <v>0.41531322505800466</v>
      </c>
    </row>
    <row r="33" spans="1:9" x14ac:dyDescent="0.25">
      <c r="A33" t="s">
        <v>570</v>
      </c>
      <c r="B33" t="s">
        <v>30</v>
      </c>
      <c r="C33" t="s">
        <v>159</v>
      </c>
      <c r="D33" t="s">
        <v>1425</v>
      </c>
      <c r="E33" t="s">
        <v>1636</v>
      </c>
      <c r="F33" t="s">
        <v>289</v>
      </c>
      <c r="G33" s="3">
        <f t="shared" si="0"/>
        <v>1.1235955056179775E-2</v>
      </c>
      <c r="H33" t="s">
        <v>301</v>
      </c>
      <c r="I33" s="3">
        <f>D33/(VLOOKUP(B33,'2023 Team'!$B$2:$G$33,3,FALSE))</f>
        <v>0.40362811791383219</v>
      </c>
    </row>
    <row r="34" spans="1:9" x14ac:dyDescent="0.25">
      <c r="A34" t="s">
        <v>373</v>
      </c>
      <c r="B34" t="s">
        <v>70</v>
      </c>
      <c r="C34" t="s">
        <v>159</v>
      </c>
      <c r="D34" t="s">
        <v>1425</v>
      </c>
      <c r="E34" t="s">
        <v>1637</v>
      </c>
      <c r="F34" t="s">
        <v>220</v>
      </c>
      <c r="G34" s="3">
        <f t="shared" si="0"/>
        <v>2.8089887640449437E-2</v>
      </c>
      <c r="H34" t="s">
        <v>208</v>
      </c>
      <c r="I34" s="3">
        <f>D34/(VLOOKUP(B34,'2023 Team'!$B$2:$G$33,3,FALSE))</f>
        <v>0.49582172701949861</v>
      </c>
    </row>
    <row r="35" spans="1:9" x14ac:dyDescent="0.25">
      <c r="A35" t="s">
        <v>199</v>
      </c>
      <c r="B35" t="s">
        <v>34</v>
      </c>
      <c r="C35" t="s">
        <v>159</v>
      </c>
      <c r="D35" t="s">
        <v>303</v>
      </c>
      <c r="E35" t="s">
        <v>1638</v>
      </c>
      <c r="F35" t="s">
        <v>207</v>
      </c>
      <c r="G35" s="3">
        <f t="shared" si="0"/>
        <v>4.142011834319527E-2</v>
      </c>
      <c r="H35" t="s">
        <v>230</v>
      </c>
      <c r="I35" s="3">
        <f>D35/(VLOOKUP(B35,'2023 Team'!$B$2:$G$33,3,FALSE))</f>
        <v>0.35281837160751567</v>
      </c>
    </row>
    <row r="36" spans="1:9" x14ac:dyDescent="0.25">
      <c r="A36" t="s">
        <v>98</v>
      </c>
      <c r="B36" t="s">
        <v>58</v>
      </c>
      <c r="C36" t="s">
        <v>82</v>
      </c>
      <c r="D36" t="s">
        <v>1639</v>
      </c>
      <c r="E36" t="s">
        <v>1640</v>
      </c>
      <c r="F36" t="s">
        <v>557</v>
      </c>
      <c r="G36" s="3">
        <f t="shared" si="0"/>
        <v>9.5541401273885357E-2</v>
      </c>
      <c r="H36" t="s">
        <v>212</v>
      </c>
      <c r="I36" s="3">
        <f>D36/(VLOOKUP(B36,'2023 Team'!$B$2:$G$33,3,FALSE))</f>
        <v>0.30784313725490198</v>
      </c>
    </row>
    <row r="37" spans="1:9" x14ac:dyDescent="0.25">
      <c r="A37" t="s">
        <v>324</v>
      </c>
      <c r="B37" t="s">
        <v>50</v>
      </c>
      <c r="C37" t="s">
        <v>159</v>
      </c>
      <c r="D37" t="s">
        <v>1080</v>
      </c>
      <c r="E37" t="s">
        <v>1641</v>
      </c>
      <c r="F37" t="s">
        <v>229</v>
      </c>
      <c r="G37" s="3">
        <f t="shared" si="0"/>
        <v>2.564102564102564E-2</v>
      </c>
      <c r="H37" t="s">
        <v>235</v>
      </c>
      <c r="I37" s="3">
        <f>D37/(VLOOKUP(B37,'2023 Team'!$B$2:$G$33,3,FALSE))</f>
        <v>0.37590361445783133</v>
      </c>
    </row>
    <row r="38" spans="1:9" x14ac:dyDescent="0.25">
      <c r="A38" t="s">
        <v>271</v>
      </c>
      <c r="B38" t="s">
        <v>60</v>
      </c>
      <c r="C38" t="s">
        <v>159</v>
      </c>
      <c r="D38" t="s">
        <v>1642</v>
      </c>
      <c r="E38" t="s">
        <v>1136</v>
      </c>
      <c r="F38" t="s">
        <v>229</v>
      </c>
      <c r="G38" s="3">
        <f t="shared" si="0"/>
        <v>2.6845637583892617E-2</v>
      </c>
      <c r="H38" t="s">
        <v>492</v>
      </c>
      <c r="I38" s="3">
        <f>D38/(VLOOKUP(B38,'2023 Team'!$B$2:$G$33,3,FALSE))</f>
        <v>0.3059548254620123</v>
      </c>
    </row>
    <row r="39" spans="1:9" x14ac:dyDescent="0.25">
      <c r="A39" t="s">
        <v>106</v>
      </c>
      <c r="B39" t="s">
        <v>12</v>
      </c>
      <c r="C39" t="s">
        <v>82</v>
      </c>
      <c r="D39" t="s">
        <v>1643</v>
      </c>
      <c r="E39" t="s">
        <v>1644</v>
      </c>
      <c r="F39" t="s">
        <v>220</v>
      </c>
      <c r="G39" s="3">
        <f t="shared" si="0"/>
        <v>3.3783783783783786E-2</v>
      </c>
      <c r="H39" t="s">
        <v>445</v>
      </c>
      <c r="I39" s="3">
        <f>D39/(VLOOKUP(B39,'2023 Team'!$B$2:$G$33,3,FALSE))</f>
        <v>0.2735674676524954</v>
      </c>
    </row>
    <row r="40" spans="1:9" x14ac:dyDescent="0.25">
      <c r="A40" t="s">
        <v>602</v>
      </c>
      <c r="B40" t="s">
        <v>32</v>
      </c>
      <c r="C40" t="s">
        <v>159</v>
      </c>
      <c r="D40" t="s">
        <v>334</v>
      </c>
      <c r="E40" t="s">
        <v>1645</v>
      </c>
      <c r="F40" t="s">
        <v>289</v>
      </c>
      <c r="G40" s="3">
        <f t="shared" si="0"/>
        <v>1.3793103448275862E-2</v>
      </c>
      <c r="H40" t="s">
        <v>530</v>
      </c>
      <c r="I40" s="3">
        <f>D40/(VLOOKUP(B40,'2023 Team'!$B$2:$G$33,3,FALSE))</f>
        <v>0.32657657657657657</v>
      </c>
    </row>
    <row r="41" spans="1:9" x14ac:dyDescent="0.25">
      <c r="A41" t="s">
        <v>308</v>
      </c>
      <c r="B41" t="s">
        <v>30</v>
      </c>
      <c r="C41" t="s">
        <v>159</v>
      </c>
      <c r="D41" t="s">
        <v>1501</v>
      </c>
      <c r="E41" t="s">
        <v>1646</v>
      </c>
      <c r="F41" t="s">
        <v>289</v>
      </c>
      <c r="G41" s="3">
        <f t="shared" si="0"/>
        <v>1.4084507042253521E-2</v>
      </c>
      <c r="H41" t="s">
        <v>243</v>
      </c>
      <c r="I41" s="3">
        <f>D41/(VLOOKUP(B41,'2023 Team'!$B$2:$G$33,3,FALSE))</f>
        <v>0.32199546485260772</v>
      </c>
    </row>
    <row r="42" spans="1:9" x14ac:dyDescent="0.25">
      <c r="A42" t="s">
        <v>305</v>
      </c>
      <c r="B42" t="s">
        <v>22</v>
      </c>
      <c r="C42" t="s">
        <v>159</v>
      </c>
      <c r="D42" t="s">
        <v>1445</v>
      </c>
      <c r="E42" t="s">
        <v>1647</v>
      </c>
      <c r="F42" t="s">
        <v>270</v>
      </c>
      <c r="G42" s="3">
        <f t="shared" si="0"/>
        <v>6.6666666666666666E-2</v>
      </c>
      <c r="H42" t="s">
        <v>502</v>
      </c>
      <c r="I42" s="3">
        <f>D42/(VLOOKUP(B42,'2023 Team'!$B$2:$G$33,3,FALSE))</f>
        <v>0.2606177606177606</v>
      </c>
    </row>
    <row r="43" spans="1:9" x14ac:dyDescent="0.25">
      <c r="A43" t="s">
        <v>543</v>
      </c>
      <c r="B43" t="s">
        <v>18</v>
      </c>
      <c r="C43" t="s">
        <v>159</v>
      </c>
      <c r="D43" t="s">
        <v>309</v>
      </c>
      <c r="E43" t="s">
        <v>307</v>
      </c>
      <c r="F43" t="s">
        <v>289</v>
      </c>
      <c r="G43" s="3">
        <f t="shared" si="0"/>
        <v>1.5151515151515152E-2</v>
      </c>
      <c r="H43" t="s">
        <v>243</v>
      </c>
      <c r="I43" s="3">
        <f>D43/(VLOOKUP(B43,'2023 Team'!$B$2:$G$33,3,FALSE))</f>
        <v>0.24719101123595505</v>
      </c>
    </row>
    <row r="44" spans="1:9" x14ac:dyDescent="0.25">
      <c r="A44" t="s">
        <v>545</v>
      </c>
      <c r="B44" t="s">
        <v>16</v>
      </c>
      <c r="C44" t="s">
        <v>159</v>
      </c>
      <c r="D44" t="s">
        <v>481</v>
      </c>
      <c r="E44" t="s">
        <v>1648</v>
      </c>
      <c r="F44" t="s">
        <v>300</v>
      </c>
      <c r="G44" s="3">
        <f t="shared" si="0"/>
        <v>7.7519379844961239E-3</v>
      </c>
      <c r="H44" t="s">
        <v>409</v>
      </c>
      <c r="I44" s="3">
        <f>D44/(VLOOKUP(B44,'2023 Team'!$B$2:$G$33,3,FALSE))</f>
        <v>0.28988764044943821</v>
      </c>
    </row>
    <row r="45" spans="1:9" x14ac:dyDescent="0.25">
      <c r="A45" t="s">
        <v>117</v>
      </c>
      <c r="B45" t="s">
        <v>18</v>
      </c>
      <c r="C45" t="s">
        <v>82</v>
      </c>
      <c r="D45" t="s">
        <v>352</v>
      </c>
      <c r="E45" t="s">
        <v>1649</v>
      </c>
      <c r="F45" t="s">
        <v>229</v>
      </c>
      <c r="G45" s="3">
        <f t="shared" si="0"/>
        <v>3.2258064516129031E-2</v>
      </c>
      <c r="H45" t="s">
        <v>492</v>
      </c>
      <c r="I45" s="3">
        <f>D45/(VLOOKUP(B45,'2023 Team'!$B$2:$G$33,3,FALSE))</f>
        <v>0.23220973782771537</v>
      </c>
    </row>
    <row r="46" spans="1:9" x14ac:dyDescent="0.25">
      <c r="A46" t="s">
        <v>97</v>
      </c>
      <c r="B46" t="s">
        <v>14</v>
      </c>
      <c r="C46" t="s">
        <v>82</v>
      </c>
      <c r="D46" t="s">
        <v>1134</v>
      </c>
      <c r="E46" t="s">
        <v>1650</v>
      </c>
      <c r="F46" t="s">
        <v>557</v>
      </c>
      <c r="G46" s="3">
        <f t="shared" si="0"/>
        <v>0.13513513513513514</v>
      </c>
      <c r="H46" t="s">
        <v>362</v>
      </c>
      <c r="I46" s="3">
        <f>D46/(VLOOKUP(B46,'2023 Team'!$B$2:$G$33,3,FALSE))</f>
        <v>0.216796875</v>
      </c>
    </row>
    <row r="47" spans="1:9" x14ac:dyDescent="0.25">
      <c r="A47" t="s">
        <v>1651</v>
      </c>
      <c r="B47" t="s">
        <v>18</v>
      </c>
      <c r="C47" t="s">
        <v>159</v>
      </c>
      <c r="D47" t="s">
        <v>455</v>
      </c>
      <c r="E47" t="s">
        <v>1652</v>
      </c>
      <c r="F47" t="s">
        <v>229</v>
      </c>
      <c r="G47" s="3">
        <f t="shared" si="0"/>
        <v>3.669724770642202E-2</v>
      </c>
      <c r="H47" t="s">
        <v>212</v>
      </c>
      <c r="I47" s="3">
        <f>D47/(VLOOKUP(B47,'2023 Team'!$B$2:$G$33,3,FALSE))</f>
        <v>0.20411985018726592</v>
      </c>
    </row>
    <row r="48" spans="1:9" x14ac:dyDescent="0.25">
      <c r="A48" t="s">
        <v>274</v>
      </c>
      <c r="B48" t="s">
        <v>64</v>
      </c>
      <c r="C48" t="s">
        <v>159</v>
      </c>
      <c r="D48" t="s">
        <v>1162</v>
      </c>
      <c r="E48" t="s">
        <v>367</v>
      </c>
      <c r="F48" t="s">
        <v>300</v>
      </c>
      <c r="G48" s="3">
        <f t="shared" si="0"/>
        <v>9.2592592592592587E-3</v>
      </c>
      <c r="H48" t="s">
        <v>239</v>
      </c>
      <c r="I48" s="3">
        <f>D48/(VLOOKUP(B48,'2023 Team'!$B$2:$G$33,3,FALSE))</f>
        <v>0.28272251308900526</v>
      </c>
    </row>
    <row r="49" spans="1:9" x14ac:dyDescent="0.25">
      <c r="A49" t="s">
        <v>1653</v>
      </c>
      <c r="B49" t="s">
        <v>42</v>
      </c>
      <c r="C49" t="s">
        <v>159</v>
      </c>
      <c r="D49" t="s">
        <v>1146</v>
      </c>
      <c r="E49" t="s">
        <v>1654</v>
      </c>
      <c r="F49" t="s">
        <v>289</v>
      </c>
      <c r="G49" s="3">
        <f t="shared" si="0"/>
        <v>1.8691588785046728E-2</v>
      </c>
      <c r="H49" t="s">
        <v>323</v>
      </c>
      <c r="I49" s="3">
        <f>D49/(VLOOKUP(B49,'2023 Team'!$B$2:$G$33,3,FALSE))</f>
        <v>0.24825986078886311</v>
      </c>
    </row>
    <row r="50" spans="1:9" x14ac:dyDescent="0.25">
      <c r="A50" t="s">
        <v>1655</v>
      </c>
      <c r="B50" t="s">
        <v>52</v>
      </c>
      <c r="C50" t="s">
        <v>159</v>
      </c>
      <c r="D50" t="s">
        <v>491</v>
      </c>
      <c r="E50" t="s">
        <v>1656</v>
      </c>
      <c r="F50" t="s">
        <v>300</v>
      </c>
      <c r="G50" s="3">
        <f t="shared" si="0"/>
        <v>9.433962264150943E-3</v>
      </c>
      <c r="H50" t="s">
        <v>530</v>
      </c>
      <c r="I50" s="3">
        <f>D50/(VLOOKUP(B50,'2023 Team'!$B$2:$G$33,3,FALSE))</f>
        <v>0.22083333333333333</v>
      </c>
    </row>
    <row r="51" spans="1:9" x14ac:dyDescent="0.25">
      <c r="A51" t="s">
        <v>576</v>
      </c>
      <c r="B51" t="s">
        <v>40</v>
      </c>
      <c r="C51" t="s">
        <v>159</v>
      </c>
      <c r="D51" t="s">
        <v>521</v>
      </c>
      <c r="E51" t="s">
        <v>1657</v>
      </c>
      <c r="F51" t="s">
        <v>300</v>
      </c>
      <c r="G51" s="3">
        <f t="shared" si="0"/>
        <v>9.6153846153846159E-3</v>
      </c>
      <c r="H51" t="s">
        <v>239</v>
      </c>
      <c r="I51" s="3">
        <f>D51/(VLOOKUP(B51,'2023 Team'!$B$2:$G$33,3,FALSE))</f>
        <v>0.25181598062953997</v>
      </c>
    </row>
    <row r="52" spans="1:9" x14ac:dyDescent="0.25">
      <c r="A52" t="s">
        <v>222</v>
      </c>
      <c r="B52" t="s">
        <v>46</v>
      </c>
      <c r="C52" t="s">
        <v>159</v>
      </c>
      <c r="D52" t="s">
        <v>363</v>
      </c>
      <c r="E52" t="s">
        <v>1658</v>
      </c>
      <c r="F52" t="s">
        <v>225</v>
      </c>
      <c r="G52" s="3">
        <f t="shared" si="0"/>
        <v>7.7669902912621352E-2</v>
      </c>
      <c r="H52" t="s">
        <v>611</v>
      </c>
      <c r="I52" s="3">
        <f>D52/(VLOOKUP(B52,'2023 Team'!$B$2:$G$33,3,FALSE))</f>
        <v>0.22587719298245615</v>
      </c>
    </row>
    <row r="53" spans="1:9" x14ac:dyDescent="0.25">
      <c r="A53" t="s">
        <v>540</v>
      </c>
      <c r="B53" t="s">
        <v>48</v>
      </c>
      <c r="C53" t="s">
        <v>159</v>
      </c>
      <c r="D53" t="s">
        <v>1102</v>
      </c>
      <c r="E53" t="s">
        <v>1272</v>
      </c>
      <c r="F53" t="s">
        <v>314</v>
      </c>
      <c r="G53" s="3">
        <f t="shared" si="0"/>
        <v>2.9411764705882353E-2</v>
      </c>
      <c r="H53" t="s">
        <v>255</v>
      </c>
      <c r="I53" s="3">
        <f>D53/(VLOOKUP(B53,'2023 Team'!$B$2:$G$33,3,FALSE))</f>
        <v>0.25954198473282442</v>
      </c>
    </row>
    <row r="54" spans="1:9" x14ac:dyDescent="0.25">
      <c r="A54" t="s">
        <v>410</v>
      </c>
      <c r="B54" t="s">
        <v>68</v>
      </c>
      <c r="C54" t="s">
        <v>159</v>
      </c>
      <c r="D54" t="s">
        <v>1081</v>
      </c>
      <c r="E54" t="s">
        <v>1659</v>
      </c>
      <c r="F54" t="s">
        <v>289</v>
      </c>
      <c r="G54" s="3">
        <f t="shared" si="0"/>
        <v>0.02</v>
      </c>
      <c r="H54" t="s">
        <v>255</v>
      </c>
      <c r="I54" s="3">
        <f>D54/(VLOOKUP(B54,'2023 Team'!$B$2:$G$33,3,FALSE))</f>
        <v>0.22522522522522523</v>
      </c>
    </row>
    <row r="55" spans="1:9" x14ac:dyDescent="0.25">
      <c r="A55" t="s">
        <v>244</v>
      </c>
      <c r="B55" t="s">
        <v>24</v>
      </c>
      <c r="C55" t="s">
        <v>159</v>
      </c>
      <c r="D55" t="s">
        <v>559</v>
      </c>
      <c r="E55" t="s">
        <v>1359</v>
      </c>
      <c r="F55" t="s">
        <v>289</v>
      </c>
      <c r="G55" s="3">
        <f t="shared" si="0"/>
        <v>2.247191011235955E-2</v>
      </c>
      <c r="H55" t="s">
        <v>208</v>
      </c>
      <c r="I55" s="3">
        <f>D55/(VLOOKUP(B55,'2023 Team'!$B$2:$G$33,3,FALSE))</f>
        <v>0.19017094017094016</v>
      </c>
    </row>
    <row r="56" spans="1:9" x14ac:dyDescent="0.25">
      <c r="A56" t="s">
        <v>359</v>
      </c>
      <c r="B56" t="s">
        <v>58</v>
      </c>
      <c r="C56" t="s">
        <v>159</v>
      </c>
      <c r="D56" t="s">
        <v>405</v>
      </c>
      <c r="E56" t="s">
        <v>1394</v>
      </c>
      <c r="F56" t="s">
        <v>289</v>
      </c>
      <c r="G56" s="3">
        <f t="shared" si="0"/>
        <v>2.3809523809523808E-2</v>
      </c>
      <c r="H56" t="s">
        <v>239</v>
      </c>
      <c r="I56" s="3">
        <f>D56/(VLOOKUP(B56,'2023 Team'!$B$2:$G$33,3,FALSE))</f>
        <v>0.16470588235294117</v>
      </c>
    </row>
    <row r="57" spans="1:9" x14ac:dyDescent="0.25">
      <c r="A57" t="s">
        <v>522</v>
      </c>
      <c r="B57" t="s">
        <v>12</v>
      </c>
      <c r="C57" t="s">
        <v>159</v>
      </c>
      <c r="D57" t="s">
        <v>405</v>
      </c>
      <c r="E57" t="s">
        <v>1660</v>
      </c>
      <c r="F57" t="s">
        <v>314</v>
      </c>
      <c r="G57" s="3">
        <f t="shared" si="0"/>
        <v>3.5714285714285712E-2</v>
      </c>
      <c r="H57" t="s">
        <v>243</v>
      </c>
      <c r="I57" s="3">
        <f>D57/(VLOOKUP(B57,'2023 Team'!$B$2:$G$33,3,FALSE))</f>
        <v>0.15526802218114602</v>
      </c>
    </row>
    <row r="58" spans="1:9" x14ac:dyDescent="0.25">
      <c r="A58" t="s">
        <v>152</v>
      </c>
      <c r="B58" t="s">
        <v>52</v>
      </c>
      <c r="C58" t="s">
        <v>1571</v>
      </c>
      <c r="D58" t="s">
        <v>698</v>
      </c>
      <c r="E58" t="s">
        <v>1661</v>
      </c>
      <c r="F58" t="s">
        <v>229</v>
      </c>
      <c r="G58" s="3">
        <f t="shared" si="0"/>
        <v>4.9382716049382713E-2</v>
      </c>
      <c r="H58" t="s">
        <v>258</v>
      </c>
      <c r="I58" s="3">
        <f>D58/(VLOOKUP(B58,'2023 Team'!$B$2:$G$33,3,FALSE))</f>
        <v>0.16875000000000001</v>
      </c>
    </row>
    <row r="59" spans="1:9" x14ac:dyDescent="0.25">
      <c r="A59" t="s">
        <v>716</v>
      </c>
      <c r="B59" t="s">
        <v>18</v>
      </c>
      <c r="C59" t="s">
        <v>159</v>
      </c>
      <c r="D59" t="s">
        <v>698</v>
      </c>
      <c r="E59" t="s">
        <v>1330</v>
      </c>
      <c r="F59" t="s">
        <v>289</v>
      </c>
      <c r="G59" s="3">
        <f t="shared" si="0"/>
        <v>2.4691358024691357E-2</v>
      </c>
      <c r="H59" t="s">
        <v>239</v>
      </c>
      <c r="I59" s="3">
        <f>D59/(VLOOKUP(B59,'2023 Team'!$B$2:$G$33,3,FALSE))</f>
        <v>0.15168539325842698</v>
      </c>
    </row>
    <row r="60" spans="1:9" x14ac:dyDescent="0.25">
      <c r="A60" t="s">
        <v>126</v>
      </c>
      <c r="B60" t="s">
        <v>26</v>
      </c>
      <c r="C60" t="s">
        <v>82</v>
      </c>
      <c r="D60" t="s">
        <v>1135</v>
      </c>
      <c r="E60" t="s">
        <v>399</v>
      </c>
      <c r="F60" t="s">
        <v>314</v>
      </c>
      <c r="G60" s="3">
        <f t="shared" si="0"/>
        <v>3.7499999999999999E-2</v>
      </c>
      <c r="H60" t="s">
        <v>239</v>
      </c>
      <c r="I60" s="3">
        <f>D60/(VLOOKUP(B60,'2023 Team'!$B$2:$G$33,3,FALSE))</f>
        <v>0.17738359201773837</v>
      </c>
    </row>
    <row r="61" spans="1:9" x14ac:dyDescent="0.25">
      <c r="A61" t="s">
        <v>1662</v>
      </c>
      <c r="B61" t="s">
        <v>14</v>
      </c>
      <c r="C61" t="s">
        <v>159</v>
      </c>
      <c r="D61" t="s">
        <v>562</v>
      </c>
      <c r="E61" t="s">
        <v>1663</v>
      </c>
      <c r="F61" t="s">
        <v>229</v>
      </c>
      <c r="G61" s="3">
        <f t="shared" si="0"/>
        <v>5.0632911392405063E-2</v>
      </c>
      <c r="H61" t="s">
        <v>323</v>
      </c>
      <c r="I61" s="3">
        <f>D61/(VLOOKUP(B61,'2023 Team'!$B$2:$G$33,3,FALSE))</f>
        <v>0.154296875</v>
      </c>
    </row>
    <row r="62" spans="1:9" x14ac:dyDescent="0.25">
      <c r="A62" t="s">
        <v>1664</v>
      </c>
      <c r="B62" t="s">
        <v>44</v>
      </c>
      <c r="C62" t="s">
        <v>159</v>
      </c>
      <c r="D62" t="s">
        <v>402</v>
      </c>
      <c r="E62" t="s">
        <v>1665</v>
      </c>
      <c r="F62" t="s">
        <v>289</v>
      </c>
      <c r="G62" s="3">
        <f t="shared" si="0"/>
        <v>2.5974025974025976E-2</v>
      </c>
      <c r="H62" t="s">
        <v>208</v>
      </c>
      <c r="I62" s="3">
        <f>D62/(VLOOKUP(B62,'2023 Team'!$B$2:$G$33,3,FALSE))</f>
        <v>0.16142557651991615</v>
      </c>
    </row>
    <row r="63" spans="1:9" x14ac:dyDescent="0.25">
      <c r="A63" t="s">
        <v>151</v>
      </c>
      <c r="B63" t="s">
        <v>8</v>
      </c>
      <c r="C63" t="s">
        <v>82</v>
      </c>
      <c r="D63" t="s">
        <v>438</v>
      </c>
      <c r="E63" t="s">
        <v>1666</v>
      </c>
      <c r="F63" t="s">
        <v>314</v>
      </c>
      <c r="G63" s="3">
        <f t="shared" si="0"/>
        <v>6.3829787234042548E-2</v>
      </c>
      <c r="H63" t="s">
        <v>445</v>
      </c>
      <c r="I63" s="3">
        <f>D63/(VLOOKUP(B63,'2023 Team'!$B$2:$G$33,3,FALSE))</f>
        <v>9.9787685774946927E-2</v>
      </c>
    </row>
    <row r="64" spans="1:9" x14ac:dyDescent="0.25">
      <c r="A64" t="s">
        <v>151</v>
      </c>
      <c r="B64" t="s">
        <v>48</v>
      </c>
      <c r="C64" t="s">
        <v>82</v>
      </c>
      <c r="D64" t="s">
        <v>639</v>
      </c>
      <c r="E64" t="s">
        <v>306</v>
      </c>
      <c r="F64" t="s">
        <v>314</v>
      </c>
      <c r="G64" s="3">
        <f t="shared" si="0"/>
        <v>0.1</v>
      </c>
      <c r="H64" t="s">
        <v>394</v>
      </c>
      <c r="I64" s="3">
        <f>D64/(VLOOKUP(B64,'2023 Team'!$B$2:$G$33,3,FALSE))</f>
        <v>7.6335877862595422E-2</v>
      </c>
    </row>
    <row r="65" spans="1:9" x14ac:dyDescent="0.25">
      <c r="A65" t="s">
        <v>482</v>
      </c>
      <c r="B65" t="s">
        <v>26</v>
      </c>
      <c r="C65" t="s">
        <v>159</v>
      </c>
      <c r="D65" t="s">
        <v>533</v>
      </c>
      <c r="E65" t="s">
        <v>370</v>
      </c>
      <c r="F65" t="s">
        <v>300</v>
      </c>
      <c r="G65" s="3">
        <f t="shared" ref="G65:G125" si="1">F65/D65</f>
        <v>1.3157894736842105E-2</v>
      </c>
      <c r="H65" t="s">
        <v>394</v>
      </c>
      <c r="I65" s="3">
        <f>D65/(VLOOKUP(B65,'2023 Team'!$B$2:$G$33,3,FALSE))</f>
        <v>0.16851441241685144</v>
      </c>
    </row>
    <row r="66" spans="1:9" x14ac:dyDescent="0.25">
      <c r="A66" t="s">
        <v>91</v>
      </c>
      <c r="B66" t="s">
        <v>38</v>
      </c>
      <c r="C66" t="s">
        <v>82</v>
      </c>
      <c r="D66" t="s">
        <v>536</v>
      </c>
      <c r="E66" t="s">
        <v>1667</v>
      </c>
      <c r="F66" t="s">
        <v>417</v>
      </c>
      <c r="G66" s="3">
        <f t="shared" si="1"/>
        <v>0</v>
      </c>
      <c r="H66" t="s">
        <v>194</v>
      </c>
      <c r="I66" s="3">
        <f>D66/(VLOOKUP(B66,'2023 Team'!$B$2:$G$33,3,FALSE))</f>
        <v>0.17985611510791366</v>
      </c>
    </row>
    <row r="67" spans="1:9" x14ac:dyDescent="0.25">
      <c r="A67" t="s">
        <v>910</v>
      </c>
      <c r="B67" t="s">
        <v>62</v>
      </c>
      <c r="C67" t="s">
        <v>159</v>
      </c>
      <c r="D67" t="s">
        <v>536</v>
      </c>
      <c r="E67" t="s">
        <v>1377</v>
      </c>
      <c r="F67" t="s">
        <v>289</v>
      </c>
      <c r="G67" s="3">
        <f t="shared" si="1"/>
        <v>2.6666666666666668E-2</v>
      </c>
      <c r="H67" t="s">
        <v>221</v>
      </c>
      <c r="I67" s="3">
        <f>D67/(VLOOKUP(B67,'2023 Team'!$B$2:$G$33,3,FALSE))</f>
        <v>0.15030060120240482</v>
      </c>
    </row>
    <row r="68" spans="1:9" x14ac:dyDescent="0.25">
      <c r="A68" t="s">
        <v>635</v>
      </c>
      <c r="B68" t="s">
        <v>38</v>
      </c>
      <c r="C68" t="s">
        <v>159</v>
      </c>
      <c r="D68" t="s">
        <v>383</v>
      </c>
      <c r="E68" t="s">
        <v>268</v>
      </c>
      <c r="F68" t="s">
        <v>300</v>
      </c>
      <c r="G68" s="3">
        <f t="shared" si="1"/>
        <v>1.4285714285714285E-2</v>
      </c>
      <c r="H68" t="s">
        <v>512</v>
      </c>
      <c r="I68" s="3">
        <f>D68/(VLOOKUP(B68,'2023 Team'!$B$2:$G$33,3,FALSE))</f>
        <v>0.16786570743405277</v>
      </c>
    </row>
    <row r="69" spans="1:9" x14ac:dyDescent="0.25">
      <c r="A69" t="s">
        <v>87</v>
      </c>
      <c r="B69" t="s">
        <v>36</v>
      </c>
      <c r="C69" t="s">
        <v>82</v>
      </c>
      <c r="D69" t="s">
        <v>383</v>
      </c>
      <c r="E69" t="s">
        <v>1668</v>
      </c>
      <c r="F69" t="s">
        <v>229</v>
      </c>
      <c r="G69" s="3">
        <f t="shared" si="1"/>
        <v>5.7142857142857141E-2</v>
      </c>
      <c r="H69" t="s">
        <v>251</v>
      </c>
      <c r="I69" s="3">
        <f>D69/(VLOOKUP(B69,'2023 Team'!$B$2:$G$33,3,FALSE))</f>
        <v>0.1545253863134658</v>
      </c>
    </row>
    <row r="70" spans="1:9" x14ac:dyDescent="0.25">
      <c r="A70" t="s">
        <v>1669</v>
      </c>
      <c r="B70" t="s">
        <v>56</v>
      </c>
      <c r="C70" t="s">
        <v>159</v>
      </c>
      <c r="D70" t="s">
        <v>376</v>
      </c>
      <c r="E70" t="s">
        <v>1616</v>
      </c>
      <c r="F70" t="s">
        <v>417</v>
      </c>
      <c r="G70" s="3">
        <f t="shared" si="1"/>
        <v>0</v>
      </c>
      <c r="H70" t="s">
        <v>512</v>
      </c>
      <c r="I70" s="3">
        <f>D70/(VLOOKUP(B70,'2023 Team'!$B$2:$G$33,3,FALSE))</f>
        <v>0.17268041237113402</v>
      </c>
    </row>
    <row r="71" spans="1:9" x14ac:dyDescent="0.25">
      <c r="A71" t="s">
        <v>499</v>
      </c>
      <c r="B71" t="s">
        <v>70</v>
      </c>
      <c r="C71" t="s">
        <v>159</v>
      </c>
      <c r="D71" t="s">
        <v>422</v>
      </c>
      <c r="E71" t="s">
        <v>1440</v>
      </c>
      <c r="F71" t="s">
        <v>300</v>
      </c>
      <c r="G71" s="3">
        <f t="shared" si="1"/>
        <v>1.5384615384615385E-2</v>
      </c>
      <c r="H71" t="s">
        <v>208</v>
      </c>
      <c r="I71" s="3">
        <f>D71/(VLOOKUP(B71,'2023 Team'!$B$2:$G$33,3,FALSE))</f>
        <v>0.18105849582172701</v>
      </c>
    </row>
    <row r="72" spans="1:9" x14ac:dyDescent="0.25">
      <c r="A72" t="s">
        <v>1670</v>
      </c>
      <c r="B72" t="s">
        <v>22</v>
      </c>
      <c r="C72" t="s">
        <v>159</v>
      </c>
      <c r="D72" t="s">
        <v>1094</v>
      </c>
      <c r="E72" t="s">
        <v>1385</v>
      </c>
      <c r="F72" t="s">
        <v>300</v>
      </c>
      <c r="G72" s="3">
        <f t="shared" si="1"/>
        <v>1.5873015873015872E-2</v>
      </c>
      <c r="H72" t="s">
        <v>243</v>
      </c>
      <c r="I72" s="3">
        <f>D72/(VLOOKUP(B72,'2023 Team'!$B$2:$G$33,3,FALSE))</f>
        <v>0.12162162162162163</v>
      </c>
    </row>
    <row r="73" spans="1:9" x14ac:dyDescent="0.25">
      <c r="A73" t="s">
        <v>88</v>
      </c>
      <c r="B73" t="s">
        <v>66</v>
      </c>
      <c r="C73" t="s">
        <v>82</v>
      </c>
      <c r="D73" t="s">
        <v>573</v>
      </c>
      <c r="E73" t="s">
        <v>306</v>
      </c>
      <c r="F73" t="s">
        <v>300</v>
      </c>
      <c r="G73" s="3">
        <f t="shared" si="1"/>
        <v>1.6129032258064516E-2</v>
      </c>
      <c r="H73" t="s">
        <v>603</v>
      </c>
      <c r="I73" s="3">
        <f>D73/(VLOOKUP(B73,'2023 Team'!$B$2:$G$33,3,FALSE))</f>
        <v>0.14123006833712984</v>
      </c>
    </row>
    <row r="74" spans="1:9" x14ac:dyDescent="0.25">
      <c r="A74" t="s">
        <v>176</v>
      </c>
      <c r="B74" t="s">
        <v>44</v>
      </c>
      <c r="C74" t="s">
        <v>159</v>
      </c>
      <c r="D74" t="s">
        <v>514</v>
      </c>
      <c r="E74" t="s">
        <v>503</v>
      </c>
      <c r="F74" t="s">
        <v>300</v>
      </c>
      <c r="G74" s="3">
        <f t="shared" si="1"/>
        <v>4.5454545454545456E-2</v>
      </c>
      <c r="H74" t="s">
        <v>626</v>
      </c>
      <c r="I74" s="3">
        <f>D74/(VLOOKUP(B74,'2023 Team'!$B$2:$G$33,3,FALSE))</f>
        <v>4.6121593291404611E-2</v>
      </c>
    </row>
    <row r="75" spans="1:9" x14ac:dyDescent="0.25">
      <c r="A75" t="s">
        <v>176</v>
      </c>
      <c r="B75" t="s">
        <v>48</v>
      </c>
      <c r="C75" t="s">
        <v>159</v>
      </c>
      <c r="D75" t="s">
        <v>480</v>
      </c>
      <c r="E75" t="s">
        <v>1671</v>
      </c>
      <c r="F75" t="s">
        <v>300</v>
      </c>
      <c r="G75" s="3">
        <f t="shared" si="1"/>
        <v>2.6315789473684209E-2</v>
      </c>
      <c r="H75" t="s">
        <v>262</v>
      </c>
      <c r="I75" s="3">
        <f>D75/(VLOOKUP(B75,'2023 Team'!$B$2:$G$33,3,FALSE))</f>
        <v>9.6692111959287536E-2</v>
      </c>
    </row>
    <row r="76" spans="1:9" x14ac:dyDescent="0.25">
      <c r="A76" t="s">
        <v>471</v>
      </c>
      <c r="B76" t="s">
        <v>8</v>
      </c>
      <c r="C76" t="s">
        <v>159</v>
      </c>
      <c r="D76" t="s">
        <v>413</v>
      </c>
      <c r="E76" t="s">
        <v>1672</v>
      </c>
      <c r="F76" t="s">
        <v>289</v>
      </c>
      <c r="G76" s="3">
        <f t="shared" si="1"/>
        <v>3.4482758620689655E-2</v>
      </c>
      <c r="H76" t="s">
        <v>203</v>
      </c>
      <c r="I76" s="3">
        <f>D76/(VLOOKUP(B76,'2023 Team'!$B$2:$G$33,3,FALSE))</f>
        <v>0.12314225053078556</v>
      </c>
    </row>
    <row r="77" spans="1:9" x14ac:dyDescent="0.25">
      <c r="A77" t="s">
        <v>1673</v>
      </c>
      <c r="B77" t="s">
        <v>54</v>
      </c>
      <c r="C77" t="s">
        <v>159</v>
      </c>
      <c r="D77" t="s">
        <v>433</v>
      </c>
      <c r="E77" t="s">
        <v>465</v>
      </c>
      <c r="F77" t="s">
        <v>300</v>
      </c>
      <c r="G77" s="3">
        <f t="shared" si="1"/>
        <v>1.8181818181818181E-2</v>
      </c>
      <c r="H77" t="s">
        <v>423</v>
      </c>
      <c r="I77" s="3">
        <f>D77/(VLOOKUP(B77,'2023 Team'!$B$2:$G$33,3,FALSE))</f>
        <v>0.1211453744493392</v>
      </c>
    </row>
    <row r="78" spans="1:9" x14ac:dyDescent="0.25">
      <c r="A78" t="s">
        <v>83</v>
      </c>
      <c r="B78" t="s">
        <v>24</v>
      </c>
      <c r="C78" t="s">
        <v>82</v>
      </c>
      <c r="D78" t="s">
        <v>433</v>
      </c>
      <c r="E78" t="s">
        <v>253</v>
      </c>
      <c r="F78" t="s">
        <v>289</v>
      </c>
      <c r="G78" s="3">
        <f t="shared" si="1"/>
        <v>3.6363636363636362E-2</v>
      </c>
      <c r="H78" t="s">
        <v>230</v>
      </c>
      <c r="I78" s="3">
        <f>D78/(VLOOKUP(B78,'2023 Team'!$B$2:$G$33,3,FALSE))</f>
        <v>0.11752136752136752</v>
      </c>
    </row>
    <row r="79" spans="1:9" x14ac:dyDescent="0.25">
      <c r="A79" t="s">
        <v>404</v>
      </c>
      <c r="B79" t="s">
        <v>26</v>
      </c>
      <c r="C79" t="s">
        <v>159</v>
      </c>
      <c r="D79" t="s">
        <v>446</v>
      </c>
      <c r="E79" t="s">
        <v>223</v>
      </c>
      <c r="F79" t="s">
        <v>300</v>
      </c>
      <c r="G79" s="3">
        <f t="shared" si="1"/>
        <v>1.8867924528301886E-2</v>
      </c>
      <c r="H79" t="s">
        <v>255</v>
      </c>
      <c r="I79" s="3">
        <f>D79/(VLOOKUP(B79,'2023 Team'!$B$2:$G$33,3,FALSE))</f>
        <v>0.11751662971175167</v>
      </c>
    </row>
    <row r="80" spans="1:9" x14ac:dyDescent="0.25">
      <c r="A80" t="s">
        <v>1553</v>
      </c>
      <c r="B80" t="s">
        <v>10</v>
      </c>
      <c r="C80" t="s">
        <v>82</v>
      </c>
      <c r="D80" t="s">
        <v>446</v>
      </c>
      <c r="E80" t="s">
        <v>457</v>
      </c>
      <c r="F80" t="s">
        <v>220</v>
      </c>
      <c r="G80" s="3">
        <f t="shared" si="1"/>
        <v>9.4339622641509441E-2</v>
      </c>
      <c r="H80" t="s">
        <v>262</v>
      </c>
      <c r="I80" s="3">
        <f>D80/(VLOOKUP(B80,'2023 Team'!$B$2:$G$33,3,FALSE))</f>
        <v>0.10153256704980843</v>
      </c>
    </row>
    <row r="81" spans="1:9" x14ac:dyDescent="0.25">
      <c r="A81" t="s">
        <v>90</v>
      </c>
      <c r="B81" t="s">
        <v>42</v>
      </c>
      <c r="C81" t="s">
        <v>82</v>
      </c>
      <c r="D81" t="s">
        <v>441</v>
      </c>
      <c r="E81" t="s">
        <v>1607</v>
      </c>
      <c r="F81" t="s">
        <v>314</v>
      </c>
      <c r="G81" s="3">
        <f t="shared" si="1"/>
        <v>5.7692307692307696E-2</v>
      </c>
      <c r="H81" t="s">
        <v>230</v>
      </c>
      <c r="I81" s="3">
        <f>D81/(VLOOKUP(B81,'2023 Team'!$B$2:$G$33,3,FALSE))</f>
        <v>0.12064965197215777</v>
      </c>
    </row>
    <row r="82" spans="1:9" x14ac:dyDescent="0.25">
      <c r="A82" t="s">
        <v>336</v>
      </c>
      <c r="B82" t="s">
        <v>70</v>
      </c>
      <c r="C82" t="s">
        <v>159</v>
      </c>
      <c r="D82" t="s">
        <v>582</v>
      </c>
      <c r="E82" t="s">
        <v>1599</v>
      </c>
      <c r="F82" t="s">
        <v>289</v>
      </c>
      <c r="G82" s="3">
        <f t="shared" si="1"/>
        <v>3.9215686274509803E-2</v>
      </c>
      <c r="H82" t="s">
        <v>251</v>
      </c>
      <c r="I82" s="3">
        <f>D82/(VLOOKUP(B82,'2023 Team'!$B$2:$G$33,3,FALSE))</f>
        <v>0.14206128133704735</v>
      </c>
    </row>
    <row r="83" spans="1:9" x14ac:dyDescent="0.25">
      <c r="A83" t="s">
        <v>418</v>
      </c>
      <c r="B83" t="s">
        <v>36</v>
      </c>
      <c r="C83" t="s">
        <v>159</v>
      </c>
      <c r="D83" t="s">
        <v>427</v>
      </c>
      <c r="E83" t="s">
        <v>309</v>
      </c>
      <c r="F83" t="s">
        <v>289</v>
      </c>
      <c r="G83" s="3">
        <f t="shared" si="1"/>
        <v>0.04</v>
      </c>
      <c r="H83" t="s">
        <v>603</v>
      </c>
      <c r="I83" s="3">
        <f>D83/(VLOOKUP(B83,'2023 Team'!$B$2:$G$33,3,FALSE))</f>
        <v>0.11037527593818984</v>
      </c>
    </row>
    <row r="84" spans="1:9" x14ac:dyDescent="0.25">
      <c r="A84" t="s">
        <v>100</v>
      </c>
      <c r="B84" t="s">
        <v>30</v>
      </c>
      <c r="C84" t="s">
        <v>82</v>
      </c>
      <c r="D84" t="s">
        <v>427</v>
      </c>
      <c r="E84" t="s">
        <v>1599</v>
      </c>
      <c r="F84" t="s">
        <v>229</v>
      </c>
      <c r="G84" s="3">
        <f t="shared" si="1"/>
        <v>0.08</v>
      </c>
      <c r="H84" t="s">
        <v>203</v>
      </c>
      <c r="I84" s="3">
        <f>D84/(VLOOKUP(B84,'2023 Team'!$B$2:$G$33,3,FALSE))</f>
        <v>0.11337868480725624</v>
      </c>
    </row>
    <row r="85" spans="1:9" x14ac:dyDescent="0.25">
      <c r="A85" t="s">
        <v>1674</v>
      </c>
      <c r="B85" t="s">
        <v>10</v>
      </c>
      <c r="C85" t="s">
        <v>159</v>
      </c>
      <c r="D85" t="s">
        <v>427</v>
      </c>
      <c r="E85" t="s">
        <v>462</v>
      </c>
      <c r="F85" t="s">
        <v>417</v>
      </c>
      <c r="G85" s="3">
        <f t="shared" si="1"/>
        <v>0</v>
      </c>
      <c r="H85" t="s">
        <v>262</v>
      </c>
      <c r="I85" s="3">
        <f>D85/(VLOOKUP(B85,'2023 Team'!$B$2:$G$33,3,FALSE))</f>
        <v>9.5785440613026823E-2</v>
      </c>
    </row>
    <row r="86" spans="1:9" x14ac:dyDescent="0.25">
      <c r="A86" t="s">
        <v>1675</v>
      </c>
      <c r="B86" t="s">
        <v>66</v>
      </c>
      <c r="C86" t="s">
        <v>159</v>
      </c>
      <c r="D86" t="s">
        <v>554</v>
      </c>
      <c r="E86" t="s">
        <v>291</v>
      </c>
      <c r="F86" t="s">
        <v>417</v>
      </c>
      <c r="G86" s="3">
        <f t="shared" si="1"/>
        <v>0</v>
      </c>
      <c r="H86" t="s">
        <v>262</v>
      </c>
      <c r="I86" s="3">
        <f>D86/(VLOOKUP(B86,'2023 Team'!$B$2:$G$33,3,FALSE))</f>
        <v>0.11161731207289294</v>
      </c>
    </row>
    <row r="87" spans="1:9" x14ac:dyDescent="0.25">
      <c r="A87" t="s">
        <v>1551</v>
      </c>
      <c r="B87" t="s">
        <v>70</v>
      </c>
      <c r="C87" t="s">
        <v>82</v>
      </c>
      <c r="D87" t="s">
        <v>450</v>
      </c>
      <c r="E87" t="s">
        <v>1413</v>
      </c>
      <c r="F87" t="s">
        <v>220</v>
      </c>
      <c r="G87" s="3">
        <f t="shared" si="1"/>
        <v>0.10416666666666667</v>
      </c>
      <c r="H87" t="s">
        <v>445</v>
      </c>
      <c r="I87" s="3">
        <f>D87/(VLOOKUP(B87,'2023 Team'!$B$2:$G$33,3,FALSE))</f>
        <v>0.13370473537604458</v>
      </c>
    </row>
    <row r="88" spans="1:9" x14ac:dyDescent="0.25">
      <c r="A88" t="s">
        <v>397</v>
      </c>
      <c r="B88" t="s">
        <v>12</v>
      </c>
      <c r="C88" t="s">
        <v>159</v>
      </c>
      <c r="D88" t="s">
        <v>438</v>
      </c>
      <c r="E88" t="s">
        <v>1436</v>
      </c>
      <c r="F88" t="s">
        <v>289</v>
      </c>
      <c r="G88" s="3">
        <f t="shared" si="1"/>
        <v>4.2553191489361701E-2</v>
      </c>
      <c r="H88" t="s">
        <v>1257</v>
      </c>
      <c r="I88" s="3">
        <f>D88/(VLOOKUP(B88,'2023 Team'!$B$2:$G$33,3,FALSE))</f>
        <v>8.6876155268022184E-2</v>
      </c>
    </row>
    <row r="89" spans="1:9" x14ac:dyDescent="0.25">
      <c r="A89" t="s">
        <v>1676</v>
      </c>
      <c r="B89" t="s">
        <v>44</v>
      </c>
      <c r="C89" t="s">
        <v>159</v>
      </c>
      <c r="D89" t="s">
        <v>459</v>
      </c>
      <c r="E89" t="s">
        <v>337</v>
      </c>
      <c r="F89" t="s">
        <v>289</v>
      </c>
      <c r="G89" s="3">
        <f t="shared" si="1"/>
        <v>4.3478260869565216E-2</v>
      </c>
      <c r="H89" t="s">
        <v>542</v>
      </c>
      <c r="I89" s="3">
        <f>D89/(VLOOKUP(B89,'2023 Team'!$B$2:$G$33,3,FALSE))</f>
        <v>9.6436058700209645E-2</v>
      </c>
    </row>
    <row r="90" spans="1:9" x14ac:dyDescent="0.25">
      <c r="A90" t="s">
        <v>280</v>
      </c>
      <c r="B90" t="s">
        <v>20</v>
      </c>
      <c r="C90" t="s">
        <v>159</v>
      </c>
      <c r="D90" t="s">
        <v>440</v>
      </c>
      <c r="E90" t="s">
        <v>1443</v>
      </c>
      <c r="F90" t="s">
        <v>417</v>
      </c>
      <c r="G90" s="3">
        <f t="shared" si="1"/>
        <v>0</v>
      </c>
      <c r="H90" t="s">
        <v>208</v>
      </c>
      <c r="I90" s="3">
        <f>D90/(VLOOKUP(B90,'2023 Team'!$B$2:$G$33,3,FALSE))</f>
        <v>0.11488250652741515</v>
      </c>
    </row>
    <row r="91" spans="1:9" x14ac:dyDescent="0.25">
      <c r="A91" t="s">
        <v>121</v>
      </c>
      <c r="B91" t="s">
        <v>8</v>
      </c>
      <c r="C91" t="s">
        <v>82</v>
      </c>
      <c r="D91" t="s">
        <v>440</v>
      </c>
      <c r="E91" t="s">
        <v>1677</v>
      </c>
      <c r="F91" t="s">
        <v>314</v>
      </c>
      <c r="G91" s="3">
        <f t="shared" si="1"/>
        <v>6.8181818181818177E-2</v>
      </c>
      <c r="H91" t="s">
        <v>445</v>
      </c>
      <c r="I91" s="3">
        <f>D91/(VLOOKUP(B91,'2023 Team'!$B$2:$G$33,3,FALSE))</f>
        <v>9.3418259023354558E-2</v>
      </c>
    </row>
    <row r="92" spans="1:9" x14ac:dyDescent="0.25">
      <c r="A92" t="s">
        <v>138</v>
      </c>
      <c r="B92" t="s">
        <v>60</v>
      </c>
      <c r="C92" t="s">
        <v>82</v>
      </c>
      <c r="D92" t="s">
        <v>1199</v>
      </c>
      <c r="E92" t="s">
        <v>429</v>
      </c>
      <c r="F92" t="s">
        <v>300</v>
      </c>
      <c r="G92" s="3">
        <f t="shared" si="1"/>
        <v>2.3809523809523808E-2</v>
      </c>
      <c r="H92" t="s">
        <v>626</v>
      </c>
      <c r="I92" s="3">
        <f>D92/(VLOOKUP(B92,'2023 Team'!$B$2:$G$33,3,FALSE))</f>
        <v>8.6242299794661192E-2</v>
      </c>
    </row>
    <row r="93" spans="1:9" x14ac:dyDescent="0.25">
      <c r="A93" t="s">
        <v>563</v>
      </c>
      <c r="B93" t="s">
        <v>36</v>
      </c>
      <c r="C93" t="s">
        <v>159</v>
      </c>
      <c r="D93" t="s">
        <v>454</v>
      </c>
      <c r="E93" t="s">
        <v>1162</v>
      </c>
      <c r="F93" t="s">
        <v>417</v>
      </c>
      <c r="G93" s="3">
        <f t="shared" si="1"/>
        <v>0</v>
      </c>
      <c r="H93" t="s">
        <v>603</v>
      </c>
      <c r="I93" s="3">
        <f>D93/(VLOOKUP(B93,'2023 Team'!$B$2:$G$33,3,FALSE))</f>
        <v>9.0507726269315678E-2</v>
      </c>
    </row>
    <row r="94" spans="1:9" x14ac:dyDescent="0.25">
      <c r="A94" t="s">
        <v>456</v>
      </c>
      <c r="B94" t="s">
        <v>52</v>
      </c>
      <c r="C94" t="s">
        <v>159</v>
      </c>
      <c r="D94" t="s">
        <v>454</v>
      </c>
      <c r="E94" t="s">
        <v>1080</v>
      </c>
      <c r="F94" t="s">
        <v>300</v>
      </c>
      <c r="G94" s="3">
        <f t="shared" si="1"/>
        <v>2.4390243902439025E-2</v>
      </c>
      <c r="H94" t="s">
        <v>323</v>
      </c>
      <c r="I94" s="3">
        <f>D94/(VLOOKUP(B94,'2023 Team'!$B$2:$G$33,3,FALSE))</f>
        <v>8.5416666666666669E-2</v>
      </c>
    </row>
    <row r="95" spans="1:9" x14ac:dyDescent="0.25">
      <c r="A95" t="s">
        <v>688</v>
      </c>
      <c r="B95" t="s">
        <v>28</v>
      </c>
      <c r="C95" t="s">
        <v>159</v>
      </c>
      <c r="D95" t="s">
        <v>454</v>
      </c>
      <c r="E95" t="s">
        <v>1443</v>
      </c>
      <c r="F95" t="s">
        <v>300</v>
      </c>
      <c r="G95" s="3">
        <f t="shared" si="1"/>
        <v>2.4390243902439025E-2</v>
      </c>
      <c r="H95" t="s">
        <v>230</v>
      </c>
      <c r="I95" s="3">
        <f>D95/(VLOOKUP(B95,'2023 Team'!$B$2:$G$33,3,FALSE))</f>
        <v>8.2000000000000003E-2</v>
      </c>
    </row>
    <row r="96" spans="1:9" x14ac:dyDescent="0.25">
      <c r="A96" t="s">
        <v>1678</v>
      </c>
      <c r="B96" t="s">
        <v>46</v>
      </c>
      <c r="C96" t="s">
        <v>159</v>
      </c>
      <c r="D96" t="s">
        <v>454</v>
      </c>
      <c r="E96" t="s">
        <v>1452</v>
      </c>
      <c r="F96" t="s">
        <v>417</v>
      </c>
      <c r="G96" s="3">
        <f t="shared" si="1"/>
        <v>0</v>
      </c>
      <c r="H96" t="s">
        <v>243</v>
      </c>
      <c r="I96" s="3">
        <f>D96/(VLOOKUP(B96,'2023 Team'!$B$2:$G$33,3,FALSE))</f>
        <v>8.9912280701754388E-2</v>
      </c>
    </row>
    <row r="97" spans="1:9" x14ac:dyDescent="0.25">
      <c r="A97" t="s">
        <v>102</v>
      </c>
      <c r="B97" t="s">
        <v>54</v>
      </c>
      <c r="C97" t="s">
        <v>82</v>
      </c>
      <c r="D97" t="s">
        <v>592</v>
      </c>
      <c r="E97" t="s">
        <v>437</v>
      </c>
      <c r="F97" t="s">
        <v>300</v>
      </c>
      <c r="G97" s="3">
        <f t="shared" si="1"/>
        <v>2.5000000000000001E-2</v>
      </c>
      <c r="H97" t="s">
        <v>194</v>
      </c>
      <c r="I97" s="3">
        <f>D97/(VLOOKUP(B97,'2023 Team'!$B$2:$G$33,3,FALSE))</f>
        <v>8.8105726872246701E-2</v>
      </c>
    </row>
    <row r="98" spans="1:9" x14ac:dyDescent="0.25">
      <c r="A98" t="s">
        <v>294</v>
      </c>
      <c r="B98" t="s">
        <v>62</v>
      </c>
      <c r="C98" t="s">
        <v>159</v>
      </c>
      <c r="D98" t="s">
        <v>592</v>
      </c>
      <c r="E98" t="s">
        <v>437</v>
      </c>
      <c r="F98" t="s">
        <v>314</v>
      </c>
      <c r="G98" s="3">
        <f t="shared" si="1"/>
        <v>7.4999999999999997E-2</v>
      </c>
      <c r="H98" t="s">
        <v>194</v>
      </c>
      <c r="I98" s="3">
        <f>D98/(VLOOKUP(B98,'2023 Team'!$B$2:$G$33,3,FALSE))</f>
        <v>8.0160320641282562E-2</v>
      </c>
    </row>
    <row r="99" spans="1:9" x14ac:dyDescent="0.25">
      <c r="A99" t="s">
        <v>108</v>
      </c>
      <c r="B99" t="s">
        <v>62</v>
      </c>
      <c r="C99" t="s">
        <v>82</v>
      </c>
      <c r="D99" t="s">
        <v>470</v>
      </c>
      <c r="E99" t="s">
        <v>1457</v>
      </c>
      <c r="F99" t="s">
        <v>289</v>
      </c>
      <c r="G99" s="3">
        <f t="shared" si="1"/>
        <v>5.128205128205128E-2</v>
      </c>
      <c r="H99" t="s">
        <v>221</v>
      </c>
      <c r="I99" s="3">
        <f>D99/(VLOOKUP(B99,'2023 Team'!$B$2:$G$33,3,FALSE))</f>
        <v>7.8156312625250496E-2</v>
      </c>
    </row>
    <row r="100" spans="1:9" x14ac:dyDescent="0.25">
      <c r="A100" t="s">
        <v>101</v>
      </c>
      <c r="B100" t="s">
        <v>32</v>
      </c>
      <c r="C100" t="s">
        <v>82</v>
      </c>
      <c r="D100" t="s">
        <v>470</v>
      </c>
      <c r="E100" t="s">
        <v>494</v>
      </c>
      <c r="F100" t="s">
        <v>314</v>
      </c>
      <c r="G100" s="3">
        <f t="shared" si="1"/>
        <v>7.6923076923076927E-2</v>
      </c>
      <c r="H100" t="s">
        <v>239</v>
      </c>
      <c r="I100" s="3">
        <f>D100/(VLOOKUP(B100,'2023 Team'!$B$2:$G$33,3,FALSE))</f>
        <v>8.7837837837837843E-2</v>
      </c>
    </row>
    <row r="101" spans="1:9" x14ac:dyDescent="0.25">
      <c r="A101" t="s">
        <v>95</v>
      </c>
      <c r="B101" t="s">
        <v>16</v>
      </c>
      <c r="C101" t="s">
        <v>82</v>
      </c>
      <c r="D101" t="s">
        <v>470</v>
      </c>
      <c r="E101" t="s">
        <v>1679</v>
      </c>
      <c r="F101" t="s">
        <v>417</v>
      </c>
      <c r="G101" s="3">
        <f t="shared" si="1"/>
        <v>0</v>
      </c>
      <c r="H101" t="s">
        <v>539</v>
      </c>
      <c r="I101" s="3">
        <f>D101/(VLOOKUP(B101,'2023 Team'!$B$2:$G$33,3,FALSE))</f>
        <v>8.7640449438202248E-2</v>
      </c>
    </row>
    <row r="102" spans="1:9" x14ac:dyDescent="0.25">
      <c r="A102" t="s">
        <v>124</v>
      </c>
      <c r="B102" t="s">
        <v>54</v>
      </c>
      <c r="C102" t="s">
        <v>82</v>
      </c>
      <c r="D102" t="s">
        <v>480</v>
      </c>
      <c r="E102" t="s">
        <v>1497</v>
      </c>
      <c r="F102" t="s">
        <v>417</v>
      </c>
      <c r="G102" s="3">
        <f t="shared" si="1"/>
        <v>0</v>
      </c>
      <c r="H102" t="s">
        <v>194</v>
      </c>
      <c r="I102" s="3">
        <f>D102/(VLOOKUP(B102,'2023 Team'!$B$2:$G$33,3,FALSE))</f>
        <v>8.3700440528634359E-2</v>
      </c>
    </row>
    <row r="103" spans="1:9" x14ac:dyDescent="0.25">
      <c r="A103" t="s">
        <v>534</v>
      </c>
      <c r="B103" t="s">
        <v>62</v>
      </c>
      <c r="C103" t="s">
        <v>163</v>
      </c>
      <c r="D103" t="s">
        <v>461</v>
      </c>
      <c r="E103" t="s">
        <v>1412</v>
      </c>
      <c r="F103" t="s">
        <v>220</v>
      </c>
      <c r="G103" s="3">
        <f t="shared" si="1"/>
        <v>0.13513513513513514</v>
      </c>
      <c r="H103" t="s">
        <v>568</v>
      </c>
      <c r="I103" s="3">
        <f>D103/(VLOOKUP(B103,'2023 Team'!$B$2:$G$33,3,FALSE))</f>
        <v>7.4148296593186377E-2</v>
      </c>
    </row>
    <row r="104" spans="1:9" x14ac:dyDescent="0.25">
      <c r="A104" t="s">
        <v>99</v>
      </c>
      <c r="B104" t="s">
        <v>64</v>
      </c>
      <c r="C104" t="s">
        <v>82</v>
      </c>
      <c r="D104" t="s">
        <v>461</v>
      </c>
      <c r="E104" t="s">
        <v>312</v>
      </c>
      <c r="F104" t="s">
        <v>300</v>
      </c>
      <c r="G104" s="3">
        <f t="shared" si="1"/>
        <v>2.7027027027027029E-2</v>
      </c>
      <c r="H104" t="s">
        <v>293</v>
      </c>
      <c r="I104" s="3">
        <f>D104/(VLOOKUP(B104,'2023 Team'!$B$2:$G$33,3,FALSE))</f>
        <v>9.6858638743455502E-2</v>
      </c>
    </row>
    <row r="105" spans="1:9" x14ac:dyDescent="0.25">
      <c r="A105" t="s">
        <v>1680</v>
      </c>
      <c r="B105" t="s">
        <v>42</v>
      </c>
      <c r="C105" t="s">
        <v>159</v>
      </c>
      <c r="D105" t="s">
        <v>461</v>
      </c>
      <c r="E105" t="s">
        <v>508</v>
      </c>
      <c r="F105" t="s">
        <v>417</v>
      </c>
      <c r="G105" s="3">
        <f t="shared" si="1"/>
        <v>0</v>
      </c>
      <c r="H105" t="s">
        <v>603</v>
      </c>
      <c r="I105" s="3">
        <f>D105/(VLOOKUP(B105,'2023 Team'!$B$2:$G$33,3,FALSE))</f>
        <v>8.584686774941995E-2</v>
      </c>
    </row>
    <row r="106" spans="1:9" x14ac:dyDescent="0.25">
      <c r="A106" t="s">
        <v>1559</v>
      </c>
      <c r="B106" t="s">
        <v>54</v>
      </c>
      <c r="C106" t="s">
        <v>82</v>
      </c>
      <c r="D106" t="s">
        <v>476</v>
      </c>
      <c r="E106" t="s">
        <v>1490</v>
      </c>
      <c r="F106" t="s">
        <v>300</v>
      </c>
      <c r="G106" s="3">
        <f t="shared" si="1"/>
        <v>2.7777777777777776E-2</v>
      </c>
      <c r="H106" t="s">
        <v>394</v>
      </c>
      <c r="I106" s="3">
        <f>D106/(VLOOKUP(B106,'2023 Team'!$B$2:$G$33,3,FALSE))</f>
        <v>7.9295154185022032E-2</v>
      </c>
    </row>
    <row r="107" spans="1:9" x14ac:dyDescent="0.25">
      <c r="A107" t="s">
        <v>150</v>
      </c>
      <c r="B107" t="s">
        <v>56</v>
      </c>
      <c r="C107" t="s">
        <v>82</v>
      </c>
      <c r="D107" t="s">
        <v>476</v>
      </c>
      <c r="E107" t="s">
        <v>272</v>
      </c>
      <c r="F107" t="s">
        <v>417</v>
      </c>
      <c r="G107" s="3">
        <f t="shared" si="1"/>
        <v>0</v>
      </c>
      <c r="H107" t="s">
        <v>420</v>
      </c>
      <c r="I107" s="3">
        <f>D107/(VLOOKUP(B107,'2023 Team'!$B$2:$G$33,3,FALSE))</f>
        <v>9.2783505154639179E-2</v>
      </c>
    </row>
    <row r="108" spans="1:9" x14ac:dyDescent="0.25">
      <c r="A108" t="s">
        <v>1681</v>
      </c>
      <c r="B108" t="s">
        <v>8</v>
      </c>
      <c r="C108" t="s">
        <v>159</v>
      </c>
      <c r="D108" t="s">
        <v>467</v>
      </c>
      <c r="E108" t="s">
        <v>1138</v>
      </c>
      <c r="F108" t="s">
        <v>417</v>
      </c>
      <c r="G108" s="3">
        <f t="shared" si="1"/>
        <v>0</v>
      </c>
      <c r="H108" t="s">
        <v>637</v>
      </c>
      <c r="I108" s="3">
        <f>D108/(VLOOKUP(B108,'2023 Team'!$B$2:$G$33,3,FALSE))</f>
        <v>7.4309978768577492E-2</v>
      </c>
    </row>
    <row r="109" spans="1:9" x14ac:dyDescent="0.25">
      <c r="A109" t="s">
        <v>1682</v>
      </c>
      <c r="B109" t="s">
        <v>34</v>
      </c>
      <c r="C109" t="s">
        <v>159</v>
      </c>
      <c r="D109" t="s">
        <v>467</v>
      </c>
      <c r="E109" t="s">
        <v>518</v>
      </c>
      <c r="F109" t="s">
        <v>417</v>
      </c>
      <c r="G109" s="3">
        <f t="shared" si="1"/>
        <v>0</v>
      </c>
      <c r="H109" t="s">
        <v>243</v>
      </c>
      <c r="I109" s="3">
        <f>D109/(VLOOKUP(B109,'2023 Team'!$B$2:$G$33,3,FALSE))</f>
        <v>7.3068893528183715E-2</v>
      </c>
    </row>
    <row r="110" spans="1:9" x14ac:dyDescent="0.25">
      <c r="A110" t="s">
        <v>103</v>
      </c>
      <c r="B110" t="s">
        <v>46</v>
      </c>
      <c r="C110" t="s">
        <v>82</v>
      </c>
      <c r="D110" t="s">
        <v>467</v>
      </c>
      <c r="E110" t="s">
        <v>1138</v>
      </c>
      <c r="F110" t="s">
        <v>417</v>
      </c>
      <c r="G110" s="3">
        <f t="shared" si="1"/>
        <v>0</v>
      </c>
      <c r="H110" t="s">
        <v>637</v>
      </c>
      <c r="I110" s="3">
        <f>D110/(VLOOKUP(B110,'2023 Team'!$B$2:$G$33,3,FALSE))</f>
        <v>7.6754385964912283E-2</v>
      </c>
    </row>
    <row r="111" spans="1:9" x14ac:dyDescent="0.25">
      <c r="A111" t="s">
        <v>149</v>
      </c>
      <c r="B111" t="s">
        <v>34</v>
      </c>
      <c r="C111" t="s">
        <v>82</v>
      </c>
      <c r="D111" t="s">
        <v>679</v>
      </c>
      <c r="E111" t="s">
        <v>1081</v>
      </c>
      <c r="F111" t="s">
        <v>314</v>
      </c>
      <c r="G111" s="3">
        <f t="shared" si="1"/>
        <v>8.8235294117647065E-2</v>
      </c>
      <c r="H111" t="s">
        <v>530</v>
      </c>
      <c r="I111" s="3">
        <f>D111/(VLOOKUP(B111,'2023 Team'!$B$2:$G$33,3,FALSE))</f>
        <v>7.0981210855949897E-2</v>
      </c>
    </row>
    <row r="112" spans="1:9" x14ac:dyDescent="0.25">
      <c r="A112" t="s">
        <v>1552</v>
      </c>
      <c r="B112" t="s">
        <v>52</v>
      </c>
      <c r="C112" t="s">
        <v>82</v>
      </c>
      <c r="D112" t="s">
        <v>475</v>
      </c>
      <c r="E112" t="s">
        <v>592</v>
      </c>
      <c r="F112" t="s">
        <v>417</v>
      </c>
      <c r="G112" s="3">
        <f t="shared" si="1"/>
        <v>0</v>
      </c>
      <c r="H112" t="s">
        <v>626</v>
      </c>
      <c r="I112" s="3">
        <f>D112/(VLOOKUP(B112,'2023 Team'!$B$2:$G$33,3,FALSE))</f>
        <v>6.6666666666666666E-2</v>
      </c>
    </row>
    <row r="113" spans="1:9" x14ac:dyDescent="0.25">
      <c r="A113" t="s">
        <v>85</v>
      </c>
      <c r="B113" t="s">
        <v>28</v>
      </c>
      <c r="C113" t="s">
        <v>82</v>
      </c>
      <c r="D113" t="s">
        <v>475</v>
      </c>
      <c r="E113" t="s">
        <v>528</v>
      </c>
      <c r="F113" t="s">
        <v>289</v>
      </c>
      <c r="G113" s="3">
        <f t="shared" si="1"/>
        <v>6.25E-2</v>
      </c>
      <c r="H113" t="s">
        <v>601</v>
      </c>
      <c r="I113" s="3">
        <f>D113/(VLOOKUP(B113,'2023 Team'!$B$2:$G$33,3,FALSE))</f>
        <v>6.4000000000000001E-2</v>
      </c>
    </row>
    <row r="114" spans="1:9" x14ac:dyDescent="0.25">
      <c r="A114" t="s">
        <v>620</v>
      </c>
      <c r="B114" t="s">
        <v>44</v>
      </c>
      <c r="C114" t="s">
        <v>159</v>
      </c>
      <c r="D114" t="s">
        <v>475</v>
      </c>
      <c r="E114" t="s">
        <v>481</v>
      </c>
      <c r="F114" t="s">
        <v>417</v>
      </c>
      <c r="G114" s="3">
        <f t="shared" si="1"/>
        <v>0</v>
      </c>
      <c r="H114" t="s">
        <v>235</v>
      </c>
      <c r="I114" s="3">
        <f>D114/(VLOOKUP(B114,'2023 Team'!$B$2:$G$33,3,FALSE))</f>
        <v>6.7085953878406712E-2</v>
      </c>
    </row>
    <row r="115" spans="1:9" x14ac:dyDescent="0.25">
      <c r="A115" t="s">
        <v>1683</v>
      </c>
      <c r="B115" t="s">
        <v>30</v>
      </c>
      <c r="C115" t="s">
        <v>159</v>
      </c>
      <c r="D115" t="s">
        <v>475</v>
      </c>
      <c r="E115" t="s">
        <v>1063</v>
      </c>
      <c r="F115" t="s">
        <v>417</v>
      </c>
      <c r="G115" s="3">
        <f t="shared" si="1"/>
        <v>0</v>
      </c>
      <c r="H115" t="s">
        <v>230</v>
      </c>
      <c r="I115" s="3">
        <f>D115/(VLOOKUP(B115,'2023 Team'!$B$2:$G$33,3,FALSE))</f>
        <v>7.2562358276643993E-2</v>
      </c>
    </row>
    <row r="116" spans="1:9" x14ac:dyDescent="0.25">
      <c r="A116" t="s">
        <v>1684</v>
      </c>
      <c r="B116" t="s">
        <v>18</v>
      </c>
      <c r="C116" t="s">
        <v>159</v>
      </c>
      <c r="D116" t="s">
        <v>639</v>
      </c>
      <c r="E116" t="s">
        <v>354</v>
      </c>
      <c r="F116" t="s">
        <v>300</v>
      </c>
      <c r="G116" s="3">
        <f t="shared" si="1"/>
        <v>3.3333333333333333E-2</v>
      </c>
      <c r="H116" t="s">
        <v>555</v>
      </c>
      <c r="I116" s="3">
        <f>D116/(VLOOKUP(B116,'2023 Team'!$B$2:$G$33,3,FALSE))</f>
        <v>5.6179775280898875E-2</v>
      </c>
    </row>
    <row r="117" spans="1:9" x14ac:dyDescent="0.25">
      <c r="A117" t="s">
        <v>1684</v>
      </c>
      <c r="B117" t="s">
        <v>46</v>
      </c>
      <c r="C117" t="s">
        <v>159</v>
      </c>
      <c r="D117" t="s">
        <v>289</v>
      </c>
      <c r="E117" t="s">
        <v>193</v>
      </c>
      <c r="F117" t="s">
        <v>417</v>
      </c>
      <c r="G117" s="3">
        <f t="shared" si="1"/>
        <v>0</v>
      </c>
      <c r="H117" t="s">
        <v>531</v>
      </c>
      <c r="I117" s="3">
        <f>D117/(VLOOKUP(B117,'2023 Team'!$B$2:$G$33,3,FALSE))</f>
        <v>4.3859649122807015E-3</v>
      </c>
    </row>
    <row r="118" spans="1:9" x14ac:dyDescent="0.25">
      <c r="A118" t="s">
        <v>111</v>
      </c>
      <c r="B118" t="s">
        <v>20</v>
      </c>
      <c r="C118" t="s">
        <v>82</v>
      </c>
      <c r="D118" t="s">
        <v>493</v>
      </c>
      <c r="E118" t="s">
        <v>1109</v>
      </c>
      <c r="F118" t="s">
        <v>417</v>
      </c>
      <c r="G118" s="3">
        <f t="shared" si="1"/>
        <v>0</v>
      </c>
      <c r="H118" t="s">
        <v>385</v>
      </c>
      <c r="I118" s="3">
        <f>D118/(VLOOKUP(B118,'2023 Team'!$B$2:$G$33,3,FALSE))</f>
        <v>8.0939947780678853E-2</v>
      </c>
    </row>
    <row r="119" spans="1:9" x14ac:dyDescent="0.25">
      <c r="A119" t="s">
        <v>431</v>
      </c>
      <c r="B119" t="s">
        <v>14</v>
      </c>
      <c r="C119" t="s">
        <v>159</v>
      </c>
      <c r="D119" t="s">
        <v>639</v>
      </c>
      <c r="E119" t="s">
        <v>309</v>
      </c>
      <c r="F119" t="s">
        <v>417</v>
      </c>
      <c r="G119" s="3">
        <f t="shared" si="1"/>
        <v>0</v>
      </c>
      <c r="H119" t="s">
        <v>230</v>
      </c>
      <c r="I119" s="3">
        <f>D119/(VLOOKUP(B119,'2023 Team'!$B$2:$G$33,3,FALSE))</f>
        <v>5.859375E-2</v>
      </c>
    </row>
    <row r="120" spans="1:9" x14ac:dyDescent="0.25">
      <c r="A120" t="s">
        <v>395</v>
      </c>
      <c r="B120" t="s">
        <v>56</v>
      </c>
      <c r="C120" t="s">
        <v>159</v>
      </c>
      <c r="D120" t="s">
        <v>225</v>
      </c>
      <c r="E120" t="s">
        <v>480</v>
      </c>
      <c r="F120" t="s">
        <v>417</v>
      </c>
      <c r="G120" s="3">
        <f t="shared" si="1"/>
        <v>0</v>
      </c>
      <c r="H120" t="s">
        <v>251</v>
      </c>
      <c r="I120" s="3">
        <f>D120/(VLOOKUP(B120,'2023 Team'!$B$2:$G$33,3,FALSE))</f>
        <v>2.0618556701030927E-2</v>
      </c>
    </row>
    <row r="121" spans="1:9" x14ac:dyDescent="0.25">
      <c r="A121" t="s">
        <v>395</v>
      </c>
      <c r="B121" t="s">
        <v>8</v>
      </c>
      <c r="C121" t="s">
        <v>159</v>
      </c>
      <c r="D121" t="s">
        <v>514</v>
      </c>
      <c r="E121" t="s">
        <v>1642</v>
      </c>
      <c r="F121" t="s">
        <v>417</v>
      </c>
      <c r="G121" s="3">
        <f t="shared" si="1"/>
        <v>0</v>
      </c>
      <c r="H121" t="s">
        <v>1539</v>
      </c>
      <c r="I121" s="3">
        <f>D121/(VLOOKUP(B121,'2023 Team'!$B$2:$G$33,3,FALSE))</f>
        <v>4.6709129511677279E-2</v>
      </c>
    </row>
    <row r="122" spans="1:9" x14ac:dyDescent="0.25">
      <c r="A122" t="s">
        <v>356</v>
      </c>
      <c r="B122" t="s">
        <v>22</v>
      </c>
      <c r="C122" t="s">
        <v>159</v>
      </c>
      <c r="D122" t="s">
        <v>496</v>
      </c>
      <c r="E122" t="s">
        <v>1685</v>
      </c>
      <c r="F122" t="s">
        <v>417</v>
      </c>
      <c r="G122" s="3">
        <f t="shared" si="1"/>
        <v>0</v>
      </c>
      <c r="H122" t="s">
        <v>568</v>
      </c>
      <c r="I122" s="3">
        <f>D122/(VLOOKUP(B122,'2023 Team'!$B$2:$G$33,3,FALSE))</f>
        <v>5.4054054054054057E-2</v>
      </c>
    </row>
    <row r="123" spans="1:9" x14ac:dyDescent="0.25">
      <c r="A123" t="s">
        <v>1686</v>
      </c>
      <c r="B123" t="s">
        <v>8</v>
      </c>
      <c r="C123" t="s">
        <v>163</v>
      </c>
      <c r="D123" t="s">
        <v>496</v>
      </c>
      <c r="E123" t="s">
        <v>1425</v>
      </c>
      <c r="F123" t="s">
        <v>300</v>
      </c>
      <c r="G123" s="3">
        <f t="shared" si="1"/>
        <v>3.5714285714285712E-2</v>
      </c>
      <c r="H123" t="s">
        <v>1687</v>
      </c>
      <c r="I123" s="3">
        <f>D123/(VLOOKUP(B123,'2023 Team'!$B$2:$G$33,3,FALSE))</f>
        <v>5.9447983014861996E-2</v>
      </c>
    </row>
    <row r="124" spans="1:9" x14ac:dyDescent="0.25">
      <c r="A124" t="s">
        <v>125</v>
      </c>
      <c r="B124" t="s">
        <v>20</v>
      </c>
      <c r="C124" t="s">
        <v>82</v>
      </c>
      <c r="D124" t="s">
        <v>490</v>
      </c>
      <c r="E124" t="s">
        <v>578</v>
      </c>
      <c r="F124" t="s">
        <v>314</v>
      </c>
      <c r="G124" s="3">
        <f t="shared" si="1"/>
        <v>0.1111111111111111</v>
      </c>
      <c r="H124" t="s">
        <v>362</v>
      </c>
      <c r="I124" s="3">
        <f>D124/(VLOOKUP(B124,'2023 Team'!$B$2:$G$33,3,FALSE))</f>
        <v>7.0496083550913843E-2</v>
      </c>
    </row>
    <row r="125" spans="1:9" x14ac:dyDescent="0.25">
      <c r="A125" t="s">
        <v>1557</v>
      </c>
      <c r="B125" t="s">
        <v>42</v>
      </c>
      <c r="C125" t="s">
        <v>82</v>
      </c>
      <c r="D125" t="s">
        <v>490</v>
      </c>
      <c r="E125" t="s">
        <v>1457</v>
      </c>
      <c r="F125" t="s">
        <v>300</v>
      </c>
      <c r="G125" s="3">
        <f t="shared" si="1"/>
        <v>3.7037037037037035E-2</v>
      </c>
      <c r="H125" t="s">
        <v>492</v>
      </c>
      <c r="I125" s="3">
        <f>D125/(VLOOKUP(B125,'2023 Team'!$B$2:$G$33,3,FALSE))</f>
        <v>6.2645011600928072E-2</v>
      </c>
    </row>
    <row r="126" spans="1:9" x14ac:dyDescent="0.25">
      <c r="A126" t="s">
        <v>1688</v>
      </c>
      <c r="B126" t="s">
        <v>12</v>
      </c>
      <c r="C126" t="s">
        <v>159</v>
      </c>
      <c r="D126" t="s">
        <v>507</v>
      </c>
      <c r="E126" t="s">
        <v>698</v>
      </c>
      <c r="F126" t="s">
        <v>300</v>
      </c>
      <c r="G126" s="3">
        <f t="shared" ref="G126:G187" si="2">F126/D126</f>
        <v>3.8461538461538464E-2</v>
      </c>
      <c r="H126" t="s">
        <v>550</v>
      </c>
      <c r="I126" s="3">
        <f>D126/(VLOOKUP(B126,'2023 Team'!$B$2:$G$33,3,FALSE))</f>
        <v>4.8059149722735672E-2</v>
      </c>
    </row>
    <row r="127" spans="1:9" x14ac:dyDescent="0.25">
      <c r="A127" t="s">
        <v>107</v>
      </c>
      <c r="B127" t="s">
        <v>50</v>
      </c>
      <c r="C127" t="s">
        <v>82</v>
      </c>
      <c r="D127" t="s">
        <v>507</v>
      </c>
      <c r="E127" t="s">
        <v>508</v>
      </c>
      <c r="F127" t="s">
        <v>417</v>
      </c>
      <c r="G127" s="3">
        <f t="shared" si="2"/>
        <v>0</v>
      </c>
      <c r="H127" t="s">
        <v>221</v>
      </c>
      <c r="I127" s="3">
        <f>D127/(VLOOKUP(B127,'2023 Team'!$B$2:$G$33,3,FALSE))</f>
        <v>6.2650602409638559E-2</v>
      </c>
    </row>
    <row r="128" spans="1:9" x14ac:dyDescent="0.25">
      <c r="A128" t="s">
        <v>1558</v>
      </c>
      <c r="B128" t="s">
        <v>22</v>
      </c>
      <c r="C128" t="s">
        <v>82</v>
      </c>
      <c r="D128" t="s">
        <v>507</v>
      </c>
      <c r="E128" t="s">
        <v>1501</v>
      </c>
      <c r="F128" t="s">
        <v>300</v>
      </c>
      <c r="G128" s="3">
        <f t="shared" si="2"/>
        <v>3.8461538461538464E-2</v>
      </c>
      <c r="H128" t="s">
        <v>445</v>
      </c>
      <c r="I128" s="3">
        <f>D128/(VLOOKUP(B128,'2023 Team'!$B$2:$G$33,3,FALSE))</f>
        <v>5.019305019305019E-2</v>
      </c>
    </row>
    <row r="129" spans="1:9" x14ac:dyDescent="0.25">
      <c r="A129" t="s">
        <v>1689</v>
      </c>
      <c r="B129" t="s">
        <v>52</v>
      </c>
      <c r="C129" t="s">
        <v>159</v>
      </c>
      <c r="D129" t="s">
        <v>528</v>
      </c>
      <c r="E129" t="s">
        <v>383</v>
      </c>
      <c r="F129" t="s">
        <v>289</v>
      </c>
      <c r="G129" s="3">
        <f t="shared" si="2"/>
        <v>9.5238095238095233E-2</v>
      </c>
      <c r="H129" t="s">
        <v>409</v>
      </c>
      <c r="I129" s="3">
        <f>D129/(VLOOKUP(B129,'2023 Team'!$B$2:$G$33,3,FALSE))</f>
        <v>4.3749999999999997E-2</v>
      </c>
    </row>
    <row r="130" spans="1:9" x14ac:dyDescent="0.25">
      <c r="A130" t="s">
        <v>1689</v>
      </c>
      <c r="B130" t="s">
        <v>8</v>
      </c>
      <c r="C130" t="s">
        <v>159</v>
      </c>
      <c r="D130" t="s">
        <v>220</v>
      </c>
      <c r="E130" t="s">
        <v>500</v>
      </c>
      <c r="F130" t="s">
        <v>417</v>
      </c>
      <c r="G130" s="3">
        <f t="shared" si="2"/>
        <v>0</v>
      </c>
      <c r="H130" t="s">
        <v>258</v>
      </c>
      <c r="I130" s="3">
        <f>D130/(VLOOKUP(B130,'2023 Team'!$B$2:$G$33,3,FALSE))</f>
        <v>1.0615711252653927E-2</v>
      </c>
    </row>
    <row r="131" spans="1:9" x14ac:dyDescent="0.25">
      <c r="A131" t="s">
        <v>1554</v>
      </c>
      <c r="B131" t="s">
        <v>68</v>
      </c>
      <c r="C131" t="s">
        <v>82</v>
      </c>
      <c r="D131" t="s">
        <v>500</v>
      </c>
      <c r="E131" t="s">
        <v>436</v>
      </c>
      <c r="F131" t="s">
        <v>300</v>
      </c>
      <c r="G131" s="3">
        <f t="shared" si="2"/>
        <v>0.04</v>
      </c>
      <c r="H131" t="s">
        <v>596</v>
      </c>
      <c r="I131" s="3">
        <f>D131/(VLOOKUP(B131,'2023 Team'!$B$2:$G$33,3,FALSE))</f>
        <v>5.6306306306306307E-2</v>
      </c>
    </row>
    <row r="132" spans="1:9" x14ac:dyDescent="0.25">
      <c r="A132" t="s">
        <v>161</v>
      </c>
      <c r="B132" t="s">
        <v>34</v>
      </c>
      <c r="C132" t="s">
        <v>82</v>
      </c>
      <c r="D132" t="s">
        <v>500</v>
      </c>
      <c r="E132" t="s">
        <v>1485</v>
      </c>
      <c r="F132" t="s">
        <v>229</v>
      </c>
      <c r="G132" s="3">
        <f t="shared" si="2"/>
        <v>0.16</v>
      </c>
      <c r="H132" t="s">
        <v>394</v>
      </c>
      <c r="I132" s="3">
        <f>D132/(VLOOKUP(B132,'2023 Team'!$B$2:$G$33,3,FALSE))</f>
        <v>5.2192066805845511E-2</v>
      </c>
    </row>
    <row r="133" spans="1:9" x14ac:dyDescent="0.25">
      <c r="A133" t="s">
        <v>1690</v>
      </c>
      <c r="B133" t="s">
        <v>66</v>
      </c>
      <c r="C133" t="s">
        <v>159</v>
      </c>
      <c r="D133" t="s">
        <v>487</v>
      </c>
      <c r="E133" t="s">
        <v>1199</v>
      </c>
      <c r="F133" t="s">
        <v>417</v>
      </c>
      <c r="G133" s="3">
        <f t="shared" si="2"/>
        <v>0</v>
      </c>
      <c r="H133" t="s">
        <v>1691</v>
      </c>
      <c r="I133" s="3">
        <f>D133/(VLOOKUP(B133,'2023 Team'!$B$2:$G$33,3,FALSE))</f>
        <v>5.4669703872437359E-2</v>
      </c>
    </row>
    <row r="134" spans="1:9" x14ac:dyDescent="0.25">
      <c r="A134" t="s">
        <v>154</v>
      </c>
      <c r="B134" t="s">
        <v>18</v>
      </c>
      <c r="C134" t="s">
        <v>82</v>
      </c>
      <c r="D134" t="s">
        <v>510</v>
      </c>
      <c r="E134" t="s">
        <v>455</v>
      </c>
      <c r="F134" t="s">
        <v>289</v>
      </c>
      <c r="G134" s="3">
        <f t="shared" si="2"/>
        <v>8.6956521739130432E-2</v>
      </c>
      <c r="H134" t="s">
        <v>362</v>
      </c>
      <c r="I134" s="3">
        <f>D134/(VLOOKUP(B134,'2023 Team'!$B$2:$G$33,3,FALSE))</f>
        <v>4.307116104868914E-2</v>
      </c>
    </row>
    <row r="135" spans="1:9" x14ac:dyDescent="0.25">
      <c r="A135" t="s">
        <v>1692</v>
      </c>
      <c r="B135" t="s">
        <v>14</v>
      </c>
      <c r="C135" t="s">
        <v>159</v>
      </c>
      <c r="D135" t="s">
        <v>510</v>
      </c>
      <c r="E135" t="s">
        <v>526</v>
      </c>
      <c r="F135" t="s">
        <v>300</v>
      </c>
      <c r="G135" s="3">
        <f t="shared" si="2"/>
        <v>4.3478260869565216E-2</v>
      </c>
      <c r="H135" t="s">
        <v>208</v>
      </c>
      <c r="I135" s="3">
        <f>D135/(VLOOKUP(B135,'2023 Team'!$B$2:$G$33,3,FALSE))</f>
        <v>4.4921875E-2</v>
      </c>
    </row>
    <row r="136" spans="1:9" x14ac:dyDescent="0.25">
      <c r="A136" t="s">
        <v>1693</v>
      </c>
      <c r="B136" t="s">
        <v>24</v>
      </c>
      <c r="C136" t="s">
        <v>159</v>
      </c>
      <c r="D136" t="s">
        <v>510</v>
      </c>
      <c r="E136" t="s">
        <v>592</v>
      </c>
      <c r="F136" t="s">
        <v>417</v>
      </c>
      <c r="G136" s="3">
        <f t="shared" si="2"/>
        <v>0</v>
      </c>
      <c r="H136" t="s">
        <v>478</v>
      </c>
      <c r="I136" s="3">
        <f>D136/(VLOOKUP(B136,'2023 Team'!$B$2:$G$33,3,FALSE))</f>
        <v>4.9145299145299144E-2</v>
      </c>
    </row>
    <row r="137" spans="1:9" x14ac:dyDescent="0.25">
      <c r="A137" t="s">
        <v>1694</v>
      </c>
      <c r="B137" t="s">
        <v>56</v>
      </c>
      <c r="C137" t="s">
        <v>159</v>
      </c>
      <c r="D137" t="s">
        <v>514</v>
      </c>
      <c r="E137" t="s">
        <v>383</v>
      </c>
      <c r="F137" t="s">
        <v>417</v>
      </c>
      <c r="G137" s="3">
        <f t="shared" si="2"/>
        <v>0</v>
      </c>
      <c r="H137" t="s">
        <v>512</v>
      </c>
      <c r="I137" s="3">
        <f>D137/(VLOOKUP(B137,'2023 Team'!$B$2:$G$33,3,FALSE))</f>
        <v>5.6701030927835051E-2</v>
      </c>
    </row>
    <row r="138" spans="1:9" x14ac:dyDescent="0.25">
      <c r="A138" t="s">
        <v>1695</v>
      </c>
      <c r="B138" t="s">
        <v>46</v>
      </c>
      <c r="C138" t="s">
        <v>159</v>
      </c>
      <c r="D138" t="s">
        <v>514</v>
      </c>
      <c r="E138" t="s">
        <v>529</v>
      </c>
      <c r="F138" t="s">
        <v>300</v>
      </c>
      <c r="G138" s="3">
        <f t="shared" si="2"/>
        <v>4.5454545454545456E-2</v>
      </c>
      <c r="H138" t="s">
        <v>385</v>
      </c>
      <c r="I138" s="3">
        <f>D138/(VLOOKUP(B138,'2023 Team'!$B$2:$G$33,3,FALSE))</f>
        <v>4.8245614035087717E-2</v>
      </c>
    </row>
    <row r="139" spans="1:9" x14ac:dyDescent="0.25">
      <c r="A139" t="s">
        <v>1696</v>
      </c>
      <c r="B139" t="s">
        <v>38</v>
      </c>
      <c r="C139" t="s">
        <v>159</v>
      </c>
      <c r="D139" t="s">
        <v>514</v>
      </c>
      <c r="E139" t="s">
        <v>402</v>
      </c>
      <c r="F139" t="s">
        <v>417</v>
      </c>
      <c r="G139" s="3">
        <f t="shared" si="2"/>
        <v>0</v>
      </c>
      <c r="H139" t="s">
        <v>555</v>
      </c>
      <c r="I139" s="3">
        <f>D139/(VLOOKUP(B139,'2023 Team'!$B$2:$G$33,3,FALSE))</f>
        <v>5.2757793764988008E-2</v>
      </c>
    </row>
    <row r="140" spans="1:9" x14ac:dyDescent="0.25">
      <c r="A140" t="s">
        <v>96</v>
      </c>
      <c r="B140" t="s">
        <v>62</v>
      </c>
      <c r="C140" t="s">
        <v>82</v>
      </c>
      <c r="D140" t="s">
        <v>528</v>
      </c>
      <c r="E140" t="s">
        <v>557</v>
      </c>
      <c r="F140" t="s">
        <v>300</v>
      </c>
      <c r="G140" s="3">
        <f t="shared" si="2"/>
        <v>4.7619047619047616E-2</v>
      </c>
      <c r="H140" t="s">
        <v>601</v>
      </c>
      <c r="I140" s="3">
        <f>D140/(VLOOKUP(B140,'2023 Team'!$B$2:$G$33,3,FALSE))</f>
        <v>4.2084168336673347E-2</v>
      </c>
    </row>
    <row r="141" spans="1:9" x14ac:dyDescent="0.25">
      <c r="A141" t="s">
        <v>1581</v>
      </c>
      <c r="B141" t="s">
        <v>38</v>
      </c>
      <c r="C141" t="s">
        <v>159</v>
      </c>
      <c r="D141" t="s">
        <v>528</v>
      </c>
      <c r="E141" t="s">
        <v>477</v>
      </c>
      <c r="F141" t="s">
        <v>300</v>
      </c>
      <c r="G141" s="3">
        <f t="shared" si="2"/>
        <v>4.7619047619047616E-2</v>
      </c>
      <c r="H141" t="s">
        <v>530</v>
      </c>
      <c r="I141" s="3">
        <f>D141/(VLOOKUP(B141,'2023 Team'!$B$2:$G$33,3,FALSE))</f>
        <v>5.0359712230215826E-2</v>
      </c>
    </row>
    <row r="142" spans="1:9" x14ac:dyDescent="0.25">
      <c r="A142" t="s">
        <v>84</v>
      </c>
      <c r="B142" t="s">
        <v>44</v>
      </c>
      <c r="C142" t="s">
        <v>82</v>
      </c>
      <c r="D142" t="s">
        <v>528</v>
      </c>
      <c r="E142" t="s">
        <v>422</v>
      </c>
      <c r="F142" t="s">
        <v>417</v>
      </c>
      <c r="G142" s="3">
        <f t="shared" si="2"/>
        <v>0</v>
      </c>
      <c r="H142" t="s">
        <v>550</v>
      </c>
      <c r="I142" s="3">
        <f>D142/(VLOOKUP(B142,'2023 Team'!$B$2:$G$33,3,FALSE))</f>
        <v>4.40251572327044E-2</v>
      </c>
    </row>
    <row r="143" spans="1:9" x14ac:dyDescent="0.25">
      <c r="A143" t="s">
        <v>617</v>
      </c>
      <c r="B143" t="s">
        <v>40</v>
      </c>
      <c r="C143" t="s">
        <v>82</v>
      </c>
      <c r="D143" t="s">
        <v>524</v>
      </c>
      <c r="E143" t="s">
        <v>470</v>
      </c>
      <c r="F143" t="s">
        <v>417</v>
      </c>
      <c r="G143" s="3">
        <f t="shared" si="2"/>
        <v>0</v>
      </c>
      <c r="H143" t="s">
        <v>643</v>
      </c>
      <c r="I143" s="3">
        <f>D143/(VLOOKUP(B143,'2023 Team'!$B$2:$G$33,3,FALSE))</f>
        <v>4.8426150121065374E-2</v>
      </c>
    </row>
    <row r="144" spans="1:9" x14ac:dyDescent="0.25">
      <c r="A144" t="s">
        <v>1697</v>
      </c>
      <c r="B144" t="s">
        <v>58</v>
      </c>
      <c r="C144" t="s">
        <v>159</v>
      </c>
      <c r="D144" t="s">
        <v>524</v>
      </c>
      <c r="E144" t="s">
        <v>371</v>
      </c>
      <c r="F144" t="s">
        <v>417</v>
      </c>
      <c r="G144" s="3">
        <f t="shared" si="2"/>
        <v>0</v>
      </c>
      <c r="H144" t="s">
        <v>239</v>
      </c>
      <c r="I144" s="3">
        <f>D144/(VLOOKUP(B144,'2023 Team'!$B$2:$G$33,3,FALSE))</f>
        <v>3.9215686274509803E-2</v>
      </c>
    </row>
    <row r="145" spans="1:9" x14ac:dyDescent="0.25">
      <c r="A145" t="s">
        <v>489</v>
      </c>
      <c r="B145" t="s">
        <v>46</v>
      </c>
      <c r="C145" t="s">
        <v>159</v>
      </c>
      <c r="D145" t="s">
        <v>541</v>
      </c>
      <c r="E145" t="s">
        <v>491</v>
      </c>
      <c r="F145" t="s">
        <v>417</v>
      </c>
      <c r="G145" s="3">
        <f t="shared" si="2"/>
        <v>0</v>
      </c>
      <c r="H145" t="s">
        <v>516</v>
      </c>
      <c r="I145" s="3">
        <f>D145/(VLOOKUP(B145,'2023 Team'!$B$2:$G$33,3,FALSE))</f>
        <v>4.1666666666666664E-2</v>
      </c>
    </row>
    <row r="146" spans="1:9" x14ac:dyDescent="0.25">
      <c r="A146" t="s">
        <v>1698</v>
      </c>
      <c r="B146" t="s">
        <v>54</v>
      </c>
      <c r="C146" t="s">
        <v>159</v>
      </c>
      <c r="D146" t="s">
        <v>535</v>
      </c>
      <c r="E146" t="s">
        <v>450</v>
      </c>
      <c r="F146" t="s">
        <v>417</v>
      </c>
      <c r="G146" s="3">
        <f t="shared" si="2"/>
        <v>0</v>
      </c>
      <c r="H146" t="s">
        <v>385</v>
      </c>
      <c r="I146" s="3">
        <f>D146/(VLOOKUP(B146,'2023 Team'!$B$2:$G$33,3,FALSE))</f>
        <v>3.7444933920704845E-2</v>
      </c>
    </row>
    <row r="147" spans="1:9" x14ac:dyDescent="0.25">
      <c r="A147" t="s">
        <v>145</v>
      </c>
      <c r="B147" t="s">
        <v>40</v>
      </c>
      <c r="C147" t="s">
        <v>82</v>
      </c>
      <c r="D147" t="s">
        <v>535</v>
      </c>
      <c r="E147" t="s">
        <v>266</v>
      </c>
      <c r="F147" t="s">
        <v>300</v>
      </c>
      <c r="G147" s="3">
        <f t="shared" si="2"/>
        <v>5.8823529411764705E-2</v>
      </c>
      <c r="H147" t="s">
        <v>1699</v>
      </c>
      <c r="I147" s="3">
        <f>D147/(VLOOKUP(B147,'2023 Team'!$B$2:$G$33,3,FALSE))</f>
        <v>4.1162227602905568E-2</v>
      </c>
    </row>
    <row r="148" spans="1:9" x14ac:dyDescent="0.25">
      <c r="A148" t="s">
        <v>1555</v>
      </c>
      <c r="B148" t="s">
        <v>68</v>
      </c>
      <c r="C148" t="s">
        <v>82</v>
      </c>
      <c r="D148" t="s">
        <v>535</v>
      </c>
      <c r="E148" t="s">
        <v>1138</v>
      </c>
      <c r="F148" t="s">
        <v>300</v>
      </c>
      <c r="G148" s="3">
        <f t="shared" si="2"/>
        <v>5.8823529411764705E-2</v>
      </c>
      <c r="H148" t="s">
        <v>230</v>
      </c>
      <c r="I148" s="3">
        <f>D148/(VLOOKUP(B148,'2023 Team'!$B$2:$G$33,3,FALSE))</f>
        <v>3.8288288288288286E-2</v>
      </c>
    </row>
    <row r="149" spans="1:9" x14ac:dyDescent="0.25">
      <c r="A149" t="s">
        <v>120</v>
      </c>
      <c r="B149" t="s">
        <v>44</v>
      </c>
      <c r="C149" t="s">
        <v>82</v>
      </c>
      <c r="D149" t="s">
        <v>535</v>
      </c>
      <c r="E149" t="s">
        <v>1244</v>
      </c>
      <c r="F149" t="s">
        <v>300</v>
      </c>
      <c r="G149" s="3">
        <f t="shared" si="2"/>
        <v>5.8823529411764705E-2</v>
      </c>
      <c r="H149" t="s">
        <v>409</v>
      </c>
      <c r="I149" s="3">
        <f>D149/(VLOOKUP(B149,'2023 Team'!$B$2:$G$33,3,FALSE))</f>
        <v>3.5639412997903561E-2</v>
      </c>
    </row>
    <row r="150" spans="1:9" x14ac:dyDescent="0.25">
      <c r="A150" t="s">
        <v>1556</v>
      </c>
      <c r="B150" t="s">
        <v>50</v>
      </c>
      <c r="C150" t="s">
        <v>82</v>
      </c>
      <c r="D150" t="s">
        <v>535</v>
      </c>
      <c r="E150" t="s">
        <v>381</v>
      </c>
      <c r="F150" t="s">
        <v>300</v>
      </c>
      <c r="G150" s="3">
        <f t="shared" si="2"/>
        <v>5.8823529411764705E-2</v>
      </c>
      <c r="H150" t="s">
        <v>203</v>
      </c>
      <c r="I150" s="3">
        <f>D150/(VLOOKUP(B150,'2023 Team'!$B$2:$G$33,3,FALSE))</f>
        <v>4.0963855421686748E-2</v>
      </c>
    </row>
    <row r="151" spans="1:9" x14ac:dyDescent="0.25">
      <c r="A151" t="s">
        <v>1700</v>
      </c>
      <c r="B151" t="s">
        <v>50</v>
      </c>
      <c r="C151" t="s">
        <v>159</v>
      </c>
      <c r="D151" t="s">
        <v>193</v>
      </c>
      <c r="E151" t="s">
        <v>422</v>
      </c>
      <c r="F151" t="s">
        <v>300</v>
      </c>
      <c r="G151" s="3">
        <f t="shared" si="2"/>
        <v>6.25E-2</v>
      </c>
      <c r="H151" t="s">
        <v>208</v>
      </c>
      <c r="I151" s="3">
        <f>D151/(VLOOKUP(B151,'2023 Team'!$B$2:$G$33,3,FALSE))</f>
        <v>3.8554216867469883E-2</v>
      </c>
    </row>
    <row r="152" spans="1:9" x14ac:dyDescent="0.25">
      <c r="A152" t="s">
        <v>141</v>
      </c>
      <c r="B152" t="s">
        <v>60</v>
      </c>
      <c r="C152" t="s">
        <v>82</v>
      </c>
      <c r="D152" t="s">
        <v>193</v>
      </c>
      <c r="E152" t="s">
        <v>429</v>
      </c>
      <c r="F152" t="s">
        <v>289</v>
      </c>
      <c r="G152" s="3">
        <f t="shared" si="2"/>
        <v>0.125</v>
      </c>
      <c r="H152" t="s">
        <v>301</v>
      </c>
      <c r="I152" s="3">
        <f>D152/(VLOOKUP(B152,'2023 Team'!$B$2:$G$33,3,FALSE))</f>
        <v>3.2854209445585217E-2</v>
      </c>
    </row>
    <row r="153" spans="1:9" x14ac:dyDescent="0.25">
      <c r="A153" t="s">
        <v>567</v>
      </c>
      <c r="B153" t="s">
        <v>40</v>
      </c>
      <c r="C153" t="s">
        <v>159</v>
      </c>
      <c r="D153" t="s">
        <v>557</v>
      </c>
      <c r="E153" t="s">
        <v>559</v>
      </c>
      <c r="F153" t="s">
        <v>417</v>
      </c>
      <c r="G153" s="3">
        <f t="shared" si="2"/>
        <v>0</v>
      </c>
      <c r="H153" t="s">
        <v>420</v>
      </c>
      <c r="I153" s="3">
        <f>D153/(VLOOKUP(B153,'2023 Team'!$B$2:$G$33,3,FALSE))</f>
        <v>3.6319612590799029E-2</v>
      </c>
    </row>
    <row r="154" spans="1:9" x14ac:dyDescent="0.25">
      <c r="A154" t="s">
        <v>1560</v>
      </c>
      <c r="B154" t="s">
        <v>10</v>
      </c>
      <c r="C154" t="s">
        <v>82</v>
      </c>
      <c r="D154" t="s">
        <v>557</v>
      </c>
      <c r="E154" t="s">
        <v>352</v>
      </c>
      <c r="F154" t="s">
        <v>300</v>
      </c>
      <c r="G154" s="3">
        <f t="shared" si="2"/>
        <v>6.6666666666666666E-2</v>
      </c>
      <c r="H154" t="s">
        <v>1383</v>
      </c>
      <c r="I154" s="3">
        <f>D154/(VLOOKUP(B154,'2023 Team'!$B$2:$G$33,3,FALSE))</f>
        <v>2.8735632183908046E-2</v>
      </c>
    </row>
    <row r="155" spans="1:9" x14ac:dyDescent="0.25">
      <c r="A155" t="s">
        <v>130</v>
      </c>
      <c r="B155" t="s">
        <v>12</v>
      </c>
      <c r="C155" t="s">
        <v>82</v>
      </c>
      <c r="D155" t="s">
        <v>557</v>
      </c>
      <c r="E155" t="s">
        <v>433</v>
      </c>
      <c r="F155" t="s">
        <v>417</v>
      </c>
      <c r="G155" s="3">
        <f t="shared" si="2"/>
        <v>0</v>
      </c>
      <c r="H155" t="s">
        <v>221</v>
      </c>
      <c r="I155" s="3">
        <f>D155/(VLOOKUP(B155,'2023 Team'!$B$2:$G$33,3,FALSE))</f>
        <v>2.7726432532347505E-2</v>
      </c>
    </row>
    <row r="156" spans="1:9" x14ac:dyDescent="0.25">
      <c r="A156" t="s">
        <v>378</v>
      </c>
      <c r="B156" t="s">
        <v>66</v>
      </c>
      <c r="C156" t="s">
        <v>159</v>
      </c>
      <c r="D156" t="s">
        <v>557</v>
      </c>
      <c r="E156" t="s">
        <v>510</v>
      </c>
      <c r="F156" t="s">
        <v>417</v>
      </c>
      <c r="G156" s="3">
        <f t="shared" si="2"/>
        <v>0</v>
      </c>
      <c r="H156" t="s">
        <v>575</v>
      </c>
      <c r="I156" s="3">
        <f>D156/(VLOOKUP(B156,'2023 Team'!$B$2:$G$33,3,FALSE))</f>
        <v>3.4168564920273349E-2</v>
      </c>
    </row>
    <row r="157" spans="1:9" x14ac:dyDescent="0.25">
      <c r="A157" t="s">
        <v>629</v>
      </c>
      <c r="B157" t="s">
        <v>20</v>
      </c>
      <c r="C157" t="s">
        <v>159</v>
      </c>
      <c r="D157" t="s">
        <v>557</v>
      </c>
      <c r="E157" t="s">
        <v>497</v>
      </c>
      <c r="F157" t="s">
        <v>417</v>
      </c>
      <c r="G157" s="3">
        <f t="shared" si="2"/>
        <v>0</v>
      </c>
      <c r="H157" t="s">
        <v>243</v>
      </c>
      <c r="I157" s="3">
        <f>D157/(VLOOKUP(B157,'2023 Team'!$B$2:$G$33,3,FALSE))</f>
        <v>3.91644908616188E-2</v>
      </c>
    </row>
    <row r="158" spans="1:9" x14ac:dyDescent="0.25">
      <c r="A158" t="s">
        <v>1701</v>
      </c>
      <c r="B158" t="s">
        <v>16</v>
      </c>
      <c r="C158" t="s">
        <v>159</v>
      </c>
      <c r="D158" t="s">
        <v>344</v>
      </c>
      <c r="E158" t="s">
        <v>459</v>
      </c>
      <c r="F158" t="s">
        <v>417</v>
      </c>
      <c r="G158" s="3">
        <f t="shared" si="2"/>
        <v>0</v>
      </c>
      <c r="H158" t="s">
        <v>409</v>
      </c>
      <c r="I158" s="3">
        <f>D158/(VLOOKUP(B158,'2023 Team'!$B$2:$G$33,3,FALSE))</f>
        <v>3.1460674157303373E-2</v>
      </c>
    </row>
    <row r="159" spans="1:9" x14ac:dyDescent="0.25">
      <c r="A159" t="s">
        <v>110</v>
      </c>
      <c r="B159" t="s">
        <v>48</v>
      </c>
      <c r="C159" t="s">
        <v>82</v>
      </c>
      <c r="D159" t="s">
        <v>344</v>
      </c>
      <c r="E159" t="s">
        <v>500</v>
      </c>
      <c r="F159" t="s">
        <v>417</v>
      </c>
      <c r="G159" s="3">
        <f t="shared" si="2"/>
        <v>0</v>
      </c>
      <c r="H159" t="s">
        <v>1691</v>
      </c>
      <c r="I159" s="3">
        <f>D159/(VLOOKUP(B159,'2023 Team'!$B$2:$G$33,3,FALSE))</f>
        <v>3.5623409669211195E-2</v>
      </c>
    </row>
    <row r="160" spans="1:9" x14ac:dyDescent="0.25">
      <c r="A160" t="s">
        <v>711</v>
      </c>
      <c r="B160" t="s">
        <v>42</v>
      </c>
      <c r="C160" t="s">
        <v>163</v>
      </c>
      <c r="D160" t="s">
        <v>344</v>
      </c>
      <c r="E160" t="s">
        <v>369</v>
      </c>
      <c r="F160" t="s">
        <v>417</v>
      </c>
      <c r="G160" s="3">
        <f t="shared" si="2"/>
        <v>0</v>
      </c>
      <c r="H160" t="s">
        <v>1458</v>
      </c>
      <c r="I160" s="3">
        <f>D160/(VLOOKUP(B160,'2023 Team'!$B$2:$G$33,3,FALSE))</f>
        <v>3.248259860788863E-2</v>
      </c>
    </row>
    <row r="161" spans="1:9" x14ac:dyDescent="0.25">
      <c r="A161" t="s">
        <v>785</v>
      </c>
      <c r="B161" t="s">
        <v>24</v>
      </c>
      <c r="C161" t="s">
        <v>163</v>
      </c>
      <c r="D161" t="s">
        <v>344</v>
      </c>
      <c r="E161" t="s">
        <v>1098</v>
      </c>
      <c r="F161" t="s">
        <v>289</v>
      </c>
      <c r="G161" s="3">
        <f t="shared" si="2"/>
        <v>0.14285714285714285</v>
      </c>
      <c r="H161" t="s">
        <v>1328</v>
      </c>
      <c r="I161" s="3">
        <f>D161/(VLOOKUP(B161,'2023 Team'!$B$2:$G$33,3,FALSE))</f>
        <v>2.9914529914529916E-2</v>
      </c>
    </row>
    <row r="162" spans="1:9" x14ac:dyDescent="0.25">
      <c r="A162" t="s">
        <v>1563</v>
      </c>
      <c r="B162" t="s">
        <v>22</v>
      </c>
      <c r="C162" t="s">
        <v>82</v>
      </c>
      <c r="D162" t="s">
        <v>344</v>
      </c>
      <c r="E162" t="s">
        <v>422</v>
      </c>
      <c r="F162" t="s">
        <v>417</v>
      </c>
      <c r="G162" s="3">
        <f t="shared" si="2"/>
        <v>0</v>
      </c>
      <c r="H162" t="s">
        <v>243</v>
      </c>
      <c r="I162" s="3">
        <f>D162/(VLOOKUP(B162,'2023 Team'!$B$2:$G$33,3,FALSE))</f>
        <v>2.7027027027027029E-2</v>
      </c>
    </row>
    <row r="163" spans="1:9" x14ac:dyDescent="0.25">
      <c r="A163" t="s">
        <v>327</v>
      </c>
      <c r="B163" t="s">
        <v>30</v>
      </c>
      <c r="C163" t="s">
        <v>159</v>
      </c>
      <c r="D163" t="s">
        <v>344</v>
      </c>
      <c r="E163" t="s">
        <v>548</v>
      </c>
      <c r="F163" t="s">
        <v>417</v>
      </c>
      <c r="G163" s="3">
        <f t="shared" si="2"/>
        <v>0</v>
      </c>
      <c r="H163" t="s">
        <v>568</v>
      </c>
      <c r="I163" s="3">
        <f>D163/(VLOOKUP(B163,'2023 Team'!$B$2:$G$33,3,FALSE))</f>
        <v>3.1746031746031744E-2</v>
      </c>
    </row>
    <row r="164" spans="1:9" x14ac:dyDescent="0.25">
      <c r="A164" t="s">
        <v>1702</v>
      </c>
      <c r="B164" t="s">
        <v>34</v>
      </c>
      <c r="C164" t="s">
        <v>159</v>
      </c>
      <c r="D164" t="s">
        <v>234</v>
      </c>
      <c r="E164" t="s">
        <v>344</v>
      </c>
      <c r="F164" t="s">
        <v>417</v>
      </c>
      <c r="G164" s="3">
        <f t="shared" si="2"/>
        <v>0</v>
      </c>
      <c r="H164" t="s">
        <v>1703</v>
      </c>
      <c r="I164" s="3">
        <f>D164/(VLOOKUP(B164,'2023 Team'!$B$2:$G$33,3,FALSE))</f>
        <v>2.7139874739039668E-2</v>
      </c>
    </row>
    <row r="165" spans="1:9" x14ac:dyDescent="0.25">
      <c r="A165" t="s">
        <v>1702</v>
      </c>
      <c r="B165" t="s">
        <v>54</v>
      </c>
      <c r="C165" t="s">
        <v>159</v>
      </c>
      <c r="D165" t="s">
        <v>300</v>
      </c>
      <c r="E165" t="s">
        <v>289</v>
      </c>
      <c r="F165" t="s">
        <v>417</v>
      </c>
      <c r="G165" s="3">
        <f t="shared" si="2"/>
        <v>0</v>
      </c>
      <c r="H165" t="s">
        <v>643</v>
      </c>
      <c r="I165" s="3">
        <f>D165/(VLOOKUP(B165,'2023 Team'!$B$2:$G$33,3,FALSE))</f>
        <v>2.2026431718061676E-3</v>
      </c>
    </row>
    <row r="166" spans="1:9" x14ac:dyDescent="0.25">
      <c r="A166" t="s">
        <v>160</v>
      </c>
      <c r="B166" t="s">
        <v>14</v>
      </c>
      <c r="C166" t="s">
        <v>82</v>
      </c>
      <c r="D166" t="s">
        <v>234</v>
      </c>
      <c r="E166" t="s">
        <v>757</v>
      </c>
      <c r="F166" t="s">
        <v>417</v>
      </c>
      <c r="G166" s="3">
        <f t="shared" si="2"/>
        <v>0</v>
      </c>
      <c r="H166" t="s">
        <v>652</v>
      </c>
      <c r="I166" s="3">
        <f>D166/(VLOOKUP(B166,'2023 Team'!$B$2:$G$33,3,FALSE))</f>
        <v>2.5390625E-2</v>
      </c>
    </row>
    <row r="167" spans="1:9" x14ac:dyDescent="0.25">
      <c r="A167" t="s">
        <v>609</v>
      </c>
      <c r="B167" t="s">
        <v>34</v>
      </c>
      <c r="C167" t="s">
        <v>159</v>
      </c>
      <c r="D167" t="s">
        <v>234</v>
      </c>
      <c r="E167" t="s">
        <v>598</v>
      </c>
      <c r="F167" t="s">
        <v>417</v>
      </c>
      <c r="G167" s="3">
        <f t="shared" si="2"/>
        <v>0</v>
      </c>
      <c r="H167" t="s">
        <v>608</v>
      </c>
      <c r="I167" s="3">
        <f>D167/(VLOOKUP(B167,'2023 Team'!$B$2:$G$33,3,FALSE))</f>
        <v>2.7139874739039668E-2</v>
      </c>
    </row>
    <row r="168" spans="1:9" x14ac:dyDescent="0.25">
      <c r="A168" t="s">
        <v>1562</v>
      </c>
      <c r="B168" t="s">
        <v>22</v>
      </c>
      <c r="C168" t="s">
        <v>82</v>
      </c>
      <c r="D168" t="s">
        <v>234</v>
      </c>
      <c r="E168" t="s">
        <v>639</v>
      </c>
      <c r="F168" t="s">
        <v>417</v>
      </c>
      <c r="G168" s="3">
        <f t="shared" si="2"/>
        <v>0</v>
      </c>
      <c r="H168" t="s">
        <v>596</v>
      </c>
      <c r="I168" s="3">
        <f>D168/(VLOOKUP(B168,'2023 Team'!$B$2:$G$33,3,FALSE))</f>
        <v>2.5096525096525095E-2</v>
      </c>
    </row>
    <row r="169" spans="1:9" x14ac:dyDescent="0.25">
      <c r="A169" t="s">
        <v>1704</v>
      </c>
      <c r="B169" t="s">
        <v>14</v>
      </c>
      <c r="C169" t="s">
        <v>159</v>
      </c>
      <c r="D169" t="s">
        <v>198</v>
      </c>
      <c r="E169" t="s">
        <v>592</v>
      </c>
      <c r="F169" t="s">
        <v>417</v>
      </c>
      <c r="G169" s="3">
        <f t="shared" si="2"/>
        <v>0</v>
      </c>
      <c r="H169" t="s">
        <v>409</v>
      </c>
      <c r="I169" s="3">
        <f>D169/(VLOOKUP(B169,'2023 Team'!$B$2:$G$33,3,FALSE))</f>
        <v>2.34375E-2</v>
      </c>
    </row>
    <row r="170" spans="1:9" x14ac:dyDescent="0.25">
      <c r="A170" t="s">
        <v>604</v>
      </c>
      <c r="B170" t="s">
        <v>44</v>
      </c>
      <c r="C170" t="s">
        <v>163</v>
      </c>
      <c r="D170" t="s">
        <v>198</v>
      </c>
      <c r="E170" t="s">
        <v>559</v>
      </c>
      <c r="F170" t="s">
        <v>417</v>
      </c>
      <c r="G170" s="3">
        <f t="shared" si="2"/>
        <v>0</v>
      </c>
      <c r="H170" t="s">
        <v>656</v>
      </c>
      <c r="I170" s="3">
        <f>D170/(VLOOKUP(B170,'2023 Team'!$B$2:$G$33,3,FALSE))</f>
        <v>2.5157232704402517E-2</v>
      </c>
    </row>
    <row r="171" spans="1:9" x14ac:dyDescent="0.25">
      <c r="A171" t="s">
        <v>136</v>
      </c>
      <c r="B171" t="s">
        <v>24</v>
      </c>
      <c r="C171" t="s">
        <v>82</v>
      </c>
      <c r="D171" t="s">
        <v>198</v>
      </c>
      <c r="E171" t="s">
        <v>588</v>
      </c>
      <c r="F171" t="s">
        <v>417</v>
      </c>
      <c r="G171" s="3">
        <f t="shared" si="2"/>
        <v>0</v>
      </c>
      <c r="H171" t="s">
        <v>650</v>
      </c>
      <c r="I171" s="3">
        <f>D171/(VLOOKUP(B171,'2023 Team'!$B$2:$G$33,3,FALSE))</f>
        <v>2.564102564102564E-2</v>
      </c>
    </row>
    <row r="172" spans="1:9" x14ac:dyDescent="0.25">
      <c r="A172" t="s">
        <v>1705</v>
      </c>
      <c r="B172" t="s">
        <v>16</v>
      </c>
      <c r="C172" t="s">
        <v>163</v>
      </c>
      <c r="D172" t="s">
        <v>198</v>
      </c>
      <c r="E172" t="s">
        <v>433</v>
      </c>
      <c r="F172" t="s">
        <v>417</v>
      </c>
      <c r="G172" s="3">
        <f t="shared" si="2"/>
        <v>0</v>
      </c>
      <c r="H172" t="s">
        <v>243</v>
      </c>
      <c r="I172" s="3">
        <f>D172/(VLOOKUP(B172,'2023 Team'!$B$2:$G$33,3,FALSE))</f>
        <v>2.6966292134831461E-2</v>
      </c>
    </row>
    <row r="173" spans="1:9" x14ac:dyDescent="0.25">
      <c r="A173" t="s">
        <v>999</v>
      </c>
      <c r="B173" t="s">
        <v>60</v>
      </c>
      <c r="C173" t="s">
        <v>163</v>
      </c>
      <c r="D173" t="s">
        <v>266</v>
      </c>
      <c r="E173" t="s">
        <v>436</v>
      </c>
      <c r="F173" t="s">
        <v>300</v>
      </c>
      <c r="G173" s="3">
        <f t="shared" si="2"/>
        <v>9.0909090909090912E-2</v>
      </c>
      <c r="H173" t="s">
        <v>194</v>
      </c>
      <c r="I173" s="3">
        <f>D173/(VLOOKUP(B173,'2023 Team'!$B$2:$G$33,3,FALSE))</f>
        <v>2.2587268993839837E-2</v>
      </c>
    </row>
    <row r="174" spans="1:9" x14ac:dyDescent="0.25">
      <c r="A174" t="s">
        <v>1584</v>
      </c>
      <c r="B174" t="s">
        <v>32</v>
      </c>
      <c r="C174" t="s">
        <v>163</v>
      </c>
      <c r="D174" t="s">
        <v>266</v>
      </c>
      <c r="E174" t="s">
        <v>582</v>
      </c>
      <c r="F174" t="s">
        <v>417</v>
      </c>
      <c r="G174" s="3">
        <f t="shared" si="2"/>
        <v>0</v>
      </c>
      <c r="H174" t="s">
        <v>243</v>
      </c>
      <c r="I174" s="3">
        <f>D174/(VLOOKUP(B174,'2023 Team'!$B$2:$G$33,3,FALSE))</f>
        <v>2.4774774774774775E-2</v>
      </c>
    </row>
    <row r="175" spans="1:9" x14ac:dyDescent="0.25">
      <c r="A175" t="s">
        <v>1706</v>
      </c>
      <c r="B175" t="s">
        <v>58</v>
      </c>
      <c r="C175" t="s">
        <v>159</v>
      </c>
      <c r="D175" t="s">
        <v>266</v>
      </c>
      <c r="E175" t="s">
        <v>485</v>
      </c>
      <c r="F175" t="s">
        <v>417</v>
      </c>
      <c r="G175" s="3">
        <f t="shared" si="2"/>
        <v>0</v>
      </c>
      <c r="H175" t="s">
        <v>502</v>
      </c>
      <c r="I175" s="3">
        <f>D175/(VLOOKUP(B175,'2023 Team'!$B$2:$G$33,3,FALSE))</f>
        <v>2.1568627450980392E-2</v>
      </c>
    </row>
    <row r="176" spans="1:9" x14ac:dyDescent="0.25">
      <c r="A176" t="s">
        <v>675</v>
      </c>
      <c r="B176" t="s">
        <v>30</v>
      </c>
      <c r="C176" t="s">
        <v>163</v>
      </c>
      <c r="D176" t="s">
        <v>266</v>
      </c>
      <c r="E176" t="s">
        <v>346</v>
      </c>
      <c r="F176" t="s">
        <v>289</v>
      </c>
      <c r="G176" s="3">
        <f t="shared" si="2"/>
        <v>0.18181818181818182</v>
      </c>
      <c r="H176" t="s">
        <v>1130</v>
      </c>
      <c r="I176" s="3">
        <f>D176/(VLOOKUP(B176,'2023 Team'!$B$2:$G$33,3,FALSE))</f>
        <v>2.4943310657596373E-2</v>
      </c>
    </row>
    <row r="177" spans="1:9" x14ac:dyDescent="0.25">
      <c r="A177" t="s">
        <v>1561</v>
      </c>
      <c r="B177" t="s">
        <v>56</v>
      </c>
      <c r="C177" t="s">
        <v>82</v>
      </c>
      <c r="D177" t="s">
        <v>266</v>
      </c>
      <c r="E177" t="s">
        <v>592</v>
      </c>
      <c r="F177" t="s">
        <v>417</v>
      </c>
      <c r="G177" s="3">
        <f t="shared" si="2"/>
        <v>0</v>
      </c>
      <c r="H177" t="s">
        <v>262</v>
      </c>
      <c r="I177" s="3">
        <f>D177/(VLOOKUP(B177,'2023 Team'!$B$2:$G$33,3,FALSE))</f>
        <v>2.8350515463917526E-2</v>
      </c>
    </row>
    <row r="178" spans="1:9" x14ac:dyDescent="0.25">
      <c r="A178" t="s">
        <v>1586</v>
      </c>
      <c r="B178" t="s">
        <v>38</v>
      </c>
      <c r="C178" t="s">
        <v>163</v>
      </c>
      <c r="D178" t="s">
        <v>266</v>
      </c>
      <c r="E178" t="s">
        <v>493</v>
      </c>
      <c r="F178" t="s">
        <v>417</v>
      </c>
      <c r="G178" s="3">
        <f t="shared" si="2"/>
        <v>0</v>
      </c>
      <c r="H178" t="s">
        <v>385</v>
      </c>
      <c r="I178" s="3">
        <f>D178/(VLOOKUP(B178,'2023 Team'!$B$2:$G$33,3,FALSE))</f>
        <v>2.6378896882494004E-2</v>
      </c>
    </row>
    <row r="179" spans="1:9" x14ac:dyDescent="0.25">
      <c r="A179" t="s">
        <v>558</v>
      </c>
      <c r="B179" t="s">
        <v>24</v>
      </c>
      <c r="C179" t="s">
        <v>163</v>
      </c>
      <c r="D179" t="s">
        <v>266</v>
      </c>
      <c r="E179" t="s">
        <v>538</v>
      </c>
      <c r="F179" t="s">
        <v>300</v>
      </c>
      <c r="G179" s="3">
        <f t="shared" si="2"/>
        <v>9.0909090909090912E-2</v>
      </c>
      <c r="H179" t="s">
        <v>662</v>
      </c>
      <c r="I179" s="3">
        <f>D179/(VLOOKUP(B179,'2023 Team'!$B$2:$G$33,3,FALSE))</f>
        <v>2.3504273504273504E-2</v>
      </c>
    </row>
    <row r="180" spans="1:9" x14ac:dyDescent="0.25">
      <c r="A180" t="s">
        <v>1707</v>
      </c>
      <c r="B180" t="s">
        <v>8</v>
      </c>
      <c r="C180" t="s">
        <v>159</v>
      </c>
      <c r="D180" t="s">
        <v>266</v>
      </c>
      <c r="E180" t="s">
        <v>444</v>
      </c>
      <c r="F180" t="s">
        <v>417</v>
      </c>
      <c r="G180" s="3">
        <f t="shared" si="2"/>
        <v>0</v>
      </c>
      <c r="H180" t="s">
        <v>212</v>
      </c>
      <c r="I180" s="3">
        <f>D180/(VLOOKUP(B180,'2023 Team'!$B$2:$G$33,3,FALSE))</f>
        <v>2.3354564755838639E-2</v>
      </c>
    </row>
    <row r="181" spans="1:9" x14ac:dyDescent="0.25">
      <c r="A181" t="s">
        <v>710</v>
      </c>
      <c r="B181" t="s">
        <v>64</v>
      </c>
      <c r="C181" t="s">
        <v>159</v>
      </c>
      <c r="D181" t="s">
        <v>211</v>
      </c>
      <c r="E181" t="s">
        <v>476</v>
      </c>
      <c r="F181" t="s">
        <v>417</v>
      </c>
      <c r="G181" s="3">
        <f t="shared" si="2"/>
        <v>0</v>
      </c>
      <c r="H181" t="s">
        <v>262</v>
      </c>
      <c r="I181" s="3">
        <f>D181/(VLOOKUP(B181,'2023 Team'!$B$2:$G$33,3,FALSE))</f>
        <v>2.6178010471204188E-2</v>
      </c>
    </row>
    <row r="182" spans="1:9" x14ac:dyDescent="0.25">
      <c r="A182" t="s">
        <v>155</v>
      </c>
      <c r="B182" t="s">
        <v>48</v>
      </c>
      <c r="C182" t="s">
        <v>82</v>
      </c>
      <c r="D182" t="s">
        <v>211</v>
      </c>
      <c r="E182" t="s">
        <v>500</v>
      </c>
      <c r="F182" t="s">
        <v>417</v>
      </c>
      <c r="G182" s="3">
        <f t="shared" si="2"/>
        <v>0</v>
      </c>
      <c r="H182" t="s">
        <v>498</v>
      </c>
      <c r="I182" s="3">
        <f>D182/(VLOOKUP(B182,'2023 Team'!$B$2:$G$33,3,FALSE))</f>
        <v>2.5445292620865138E-2</v>
      </c>
    </row>
    <row r="183" spans="1:9" x14ac:dyDescent="0.25">
      <c r="A183" t="s">
        <v>137</v>
      </c>
      <c r="B183" t="s">
        <v>60</v>
      </c>
      <c r="C183" t="s">
        <v>82</v>
      </c>
      <c r="D183" t="s">
        <v>211</v>
      </c>
      <c r="E183" t="s">
        <v>225</v>
      </c>
      <c r="F183" t="s">
        <v>417</v>
      </c>
      <c r="G183" s="3">
        <f t="shared" si="2"/>
        <v>0</v>
      </c>
      <c r="H183" t="s">
        <v>669</v>
      </c>
      <c r="I183" s="3">
        <f>D183/(VLOOKUP(B183,'2023 Team'!$B$2:$G$33,3,FALSE))</f>
        <v>2.0533880903490759E-2</v>
      </c>
    </row>
    <row r="184" spans="1:9" x14ac:dyDescent="0.25">
      <c r="A184" t="s">
        <v>581</v>
      </c>
      <c r="B184" t="s">
        <v>40</v>
      </c>
      <c r="C184" t="s">
        <v>163</v>
      </c>
      <c r="D184" t="s">
        <v>211</v>
      </c>
      <c r="E184" t="s">
        <v>402</v>
      </c>
      <c r="F184" t="s">
        <v>417</v>
      </c>
      <c r="G184" s="3">
        <f t="shared" si="2"/>
        <v>0</v>
      </c>
      <c r="H184" t="s">
        <v>1489</v>
      </c>
      <c r="I184" s="3">
        <f>D184/(VLOOKUP(B184,'2023 Team'!$B$2:$G$33,3,FALSE))</f>
        <v>2.4213075060532687E-2</v>
      </c>
    </row>
    <row r="185" spans="1:9" x14ac:dyDescent="0.25">
      <c r="A185" t="s">
        <v>1708</v>
      </c>
      <c r="B185" t="s">
        <v>54</v>
      </c>
      <c r="C185" t="s">
        <v>159</v>
      </c>
      <c r="D185" t="s">
        <v>270</v>
      </c>
      <c r="E185" t="s">
        <v>541</v>
      </c>
      <c r="F185" t="s">
        <v>417</v>
      </c>
      <c r="G185" s="3">
        <f t="shared" si="2"/>
        <v>0</v>
      </c>
      <c r="H185" t="s">
        <v>637</v>
      </c>
      <c r="I185" s="3">
        <f>D185/(VLOOKUP(B185,'2023 Team'!$B$2:$G$33,3,FALSE))</f>
        <v>1.9823788546255508E-2</v>
      </c>
    </row>
    <row r="186" spans="1:9" x14ac:dyDescent="0.25">
      <c r="A186" t="s">
        <v>1709</v>
      </c>
      <c r="B186" t="s">
        <v>44</v>
      </c>
      <c r="C186" t="s">
        <v>159</v>
      </c>
      <c r="D186" t="s">
        <v>270</v>
      </c>
      <c r="E186" t="s">
        <v>541</v>
      </c>
      <c r="F186" t="s">
        <v>417</v>
      </c>
      <c r="G186" s="3">
        <f t="shared" si="2"/>
        <v>0</v>
      </c>
      <c r="H186" t="s">
        <v>637</v>
      </c>
      <c r="I186" s="3">
        <f>D186/(VLOOKUP(B186,'2023 Team'!$B$2:$G$33,3,FALSE))</f>
        <v>1.8867924528301886E-2</v>
      </c>
    </row>
    <row r="187" spans="1:9" x14ac:dyDescent="0.25">
      <c r="A187" t="s">
        <v>113</v>
      </c>
      <c r="B187" t="s">
        <v>22</v>
      </c>
      <c r="C187" t="s">
        <v>82</v>
      </c>
      <c r="D187" t="s">
        <v>270</v>
      </c>
      <c r="E187" t="s">
        <v>289</v>
      </c>
      <c r="F187" t="s">
        <v>417</v>
      </c>
      <c r="G187" s="3">
        <f t="shared" si="2"/>
        <v>0</v>
      </c>
      <c r="H187" t="s">
        <v>1710</v>
      </c>
      <c r="I187" s="3">
        <f>D187/(VLOOKUP(B187,'2023 Team'!$B$2:$G$33,3,FALSE))</f>
        <v>1.7374517374517374E-2</v>
      </c>
    </row>
    <row r="188" spans="1:9" x14ac:dyDescent="0.25">
      <c r="A188" t="s">
        <v>590</v>
      </c>
      <c r="B188" t="s">
        <v>26</v>
      </c>
      <c r="C188" t="s">
        <v>163</v>
      </c>
      <c r="D188" t="s">
        <v>270</v>
      </c>
      <c r="E188" t="s">
        <v>639</v>
      </c>
      <c r="F188" t="s">
        <v>417</v>
      </c>
      <c r="G188" s="3">
        <f t="shared" ref="G188:G251" si="3">F188/D188</f>
        <v>0</v>
      </c>
      <c r="H188" t="s">
        <v>409</v>
      </c>
      <c r="I188" s="3">
        <f>D188/(VLOOKUP(B188,'2023 Team'!$B$2:$G$33,3,FALSE))</f>
        <v>1.9955654101995565E-2</v>
      </c>
    </row>
    <row r="189" spans="1:9" x14ac:dyDescent="0.25">
      <c r="A189" t="s">
        <v>634</v>
      </c>
      <c r="B189" t="s">
        <v>22</v>
      </c>
      <c r="C189" t="s">
        <v>163</v>
      </c>
      <c r="D189" t="s">
        <v>270</v>
      </c>
      <c r="E189" t="s">
        <v>266</v>
      </c>
      <c r="F189" t="s">
        <v>417</v>
      </c>
      <c r="G189" s="3">
        <f t="shared" si="3"/>
        <v>0</v>
      </c>
      <c r="H189" t="s">
        <v>1711</v>
      </c>
      <c r="I189" s="3">
        <f>D189/(VLOOKUP(B189,'2023 Team'!$B$2:$G$33,3,FALSE))</f>
        <v>1.7374517374517374E-2</v>
      </c>
    </row>
    <row r="190" spans="1:9" x14ac:dyDescent="0.25">
      <c r="A190" t="s">
        <v>1038</v>
      </c>
      <c r="B190" t="s">
        <v>36</v>
      </c>
      <c r="C190" t="s">
        <v>163</v>
      </c>
      <c r="D190" t="s">
        <v>270</v>
      </c>
      <c r="E190" t="s">
        <v>510</v>
      </c>
      <c r="F190" t="s">
        <v>417</v>
      </c>
      <c r="G190" s="3">
        <f t="shared" si="3"/>
        <v>0</v>
      </c>
      <c r="H190" t="s">
        <v>603</v>
      </c>
      <c r="I190" s="3">
        <f>D190/(VLOOKUP(B190,'2023 Team'!$B$2:$G$33,3,FALSE))</f>
        <v>1.9867549668874173E-2</v>
      </c>
    </row>
    <row r="191" spans="1:9" x14ac:dyDescent="0.25">
      <c r="A191" t="s">
        <v>681</v>
      </c>
      <c r="B191" t="s">
        <v>54</v>
      </c>
      <c r="C191" t="s">
        <v>163</v>
      </c>
      <c r="D191" t="s">
        <v>270</v>
      </c>
      <c r="E191" t="s">
        <v>598</v>
      </c>
      <c r="F191" t="s">
        <v>300</v>
      </c>
      <c r="G191" s="3">
        <f t="shared" si="3"/>
        <v>0.1111111111111111</v>
      </c>
      <c r="H191" t="s">
        <v>1233</v>
      </c>
      <c r="I191" s="3">
        <f>D191/(VLOOKUP(B191,'2023 Team'!$B$2:$G$33,3,FALSE))</f>
        <v>1.9823788546255508E-2</v>
      </c>
    </row>
    <row r="192" spans="1:9" x14ac:dyDescent="0.25">
      <c r="A192" t="s">
        <v>782</v>
      </c>
      <c r="B192" t="s">
        <v>26</v>
      </c>
      <c r="C192" t="s">
        <v>82</v>
      </c>
      <c r="D192" t="s">
        <v>270</v>
      </c>
      <c r="E192" t="s">
        <v>225</v>
      </c>
      <c r="F192" t="s">
        <v>417</v>
      </c>
      <c r="G192" s="3">
        <f t="shared" si="3"/>
        <v>0</v>
      </c>
      <c r="H192" t="s">
        <v>628</v>
      </c>
      <c r="I192" s="3">
        <f>D192/(VLOOKUP(B192,'2023 Team'!$B$2:$G$33,3,FALSE))</f>
        <v>1.9955654101995565E-2</v>
      </c>
    </row>
    <row r="193" spans="1:9" x14ac:dyDescent="0.25">
      <c r="A193" t="s">
        <v>1565</v>
      </c>
      <c r="B193" t="s">
        <v>36</v>
      </c>
      <c r="C193" t="s">
        <v>82</v>
      </c>
      <c r="D193" t="s">
        <v>225</v>
      </c>
      <c r="E193" t="s">
        <v>467</v>
      </c>
      <c r="F193" t="s">
        <v>417</v>
      </c>
      <c r="G193" s="3">
        <f t="shared" si="3"/>
        <v>0</v>
      </c>
      <c r="H193" t="s">
        <v>230</v>
      </c>
      <c r="I193" s="3">
        <f>D193/(VLOOKUP(B193,'2023 Team'!$B$2:$G$33,3,FALSE))</f>
        <v>1.7660044150110375E-2</v>
      </c>
    </row>
    <row r="194" spans="1:9" x14ac:dyDescent="0.25">
      <c r="A194" t="s">
        <v>1712</v>
      </c>
      <c r="B194" t="s">
        <v>18</v>
      </c>
      <c r="C194" t="s">
        <v>613</v>
      </c>
      <c r="D194" t="s">
        <v>225</v>
      </c>
      <c r="E194" t="s">
        <v>507</v>
      </c>
      <c r="F194" t="s">
        <v>417</v>
      </c>
      <c r="G194" s="3">
        <f t="shared" si="3"/>
        <v>0</v>
      </c>
      <c r="H194" t="s">
        <v>409</v>
      </c>
      <c r="I194" s="3">
        <f>D194/(VLOOKUP(B194,'2023 Team'!$B$2:$G$33,3,FALSE))</f>
        <v>1.4981273408239701E-2</v>
      </c>
    </row>
    <row r="195" spans="1:9" x14ac:dyDescent="0.25">
      <c r="A195" t="s">
        <v>330</v>
      </c>
      <c r="B195" t="s">
        <v>12</v>
      </c>
      <c r="C195" t="s">
        <v>159</v>
      </c>
      <c r="D195" t="s">
        <v>225</v>
      </c>
      <c r="E195" t="s">
        <v>514</v>
      </c>
      <c r="F195" t="s">
        <v>300</v>
      </c>
      <c r="G195" s="3">
        <f t="shared" si="3"/>
        <v>0.125</v>
      </c>
      <c r="H195" t="s">
        <v>385</v>
      </c>
      <c r="I195" s="3">
        <f>D195/(VLOOKUP(B195,'2023 Team'!$B$2:$G$33,3,FALSE))</f>
        <v>1.4787430683918669E-2</v>
      </c>
    </row>
    <row r="196" spans="1:9" x14ac:dyDescent="0.25">
      <c r="A196" t="s">
        <v>624</v>
      </c>
      <c r="B196" t="s">
        <v>50</v>
      </c>
      <c r="C196" t="s">
        <v>163</v>
      </c>
      <c r="D196" t="s">
        <v>225</v>
      </c>
      <c r="E196" t="s">
        <v>454</v>
      </c>
      <c r="F196" t="s">
        <v>417</v>
      </c>
      <c r="G196" s="3">
        <f t="shared" si="3"/>
        <v>0</v>
      </c>
      <c r="H196" t="s">
        <v>216</v>
      </c>
      <c r="I196" s="3">
        <f>D196/(VLOOKUP(B196,'2023 Team'!$B$2:$G$33,3,FALSE))</f>
        <v>1.9277108433734941E-2</v>
      </c>
    </row>
    <row r="197" spans="1:9" x14ac:dyDescent="0.25">
      <c r="A197" t="s">
        <v>572</v>
      </c>
      <c r="B197" t="s">
        <v>12</v>
      </c>
      <c r="C197" t="s">
        <v>163</v>
      </c>
      <c r="D197" t="s">
        <v>225</v>
      </c>
      <c r="E197" t="s">
        <v>1244</v>
      </c>
      <c r="F197" t="s">
        <v>300</v>
      </c>
      <c r="G197" s="3">
        <f t="shared" si="3"/>
        <v>0.125</v>
      </c>
      <c r="H197" t="s">
        <v>648</v>
      </c>
      <c r="I197" s="3">
        <f>D197/(VLOOKUP(B197,'2023 Team'!$B$2:$G$33,3,FALSE))</f>
        <v>1.4787430683918669E-2</v>
      </c>
    </row>
    <row r="198" spans="1:9" x14ac:dyDescent="0.25">
      <c r="A198" t="s">
        <v>993</v>
      </c>
      <c r="B198" t="s">
        <v>56</v>
      </c>
      <c r="C198" t="s">
        <v>163</v>
      </c>
      <c r="D198" t="s">
        <v>225</v>
      </c>
      <c r="E198" t="s">
        <v>1125</v>
      </c>
      <c r="F198" t="s">
        <v>300</v>
      </c>
      <c r="G198" s="3">
        <f t="shared" si="3"/>
        <v>0.125</v>
      </c>
      <c r="H198" t="s">
        <v>717</v>
      </c>
      <c r="I198" s="3">
        <f>D198/(VLOOKUP(B198,'2023 Team'!$B$2:$G$33,3,FALSE))</f>
        <v>2.0618556701030927E-2</v>
      </c>
    </row>
    <row r="199" spans="1:9" x14ac:dyDescent="0.25">
      <c r="A199" t="s">
        <v>658</v>
      </c>
      <c r="B199" t="s">
        <v>18</v>
      </c>
      <c r="C199" t="s">
        <v>163</v>
      </c>
      <c r="D199" t="s">
        <v>225</v>
      </c>
      <c r="E199" t="s">
        <v>582</v>
      </c>
      <c r="F199" t="s">
        <v>417</v>
      </c>
      <c r="G199" s="3">
        <f t="shared" si="3"/>
        <v>0</v>
      </c>
      <c r="H199" t="s">
        <v>1687</v>
      </c>
      <c r="I199" s="3">
        <f>D199/(VLOOKUP(B199,'2023 Team'!$B$2:$G$33,3,FALSE))</f>
        <v>1.4981273408239701E-2</v>
      </c>
    </row>
    <row r="200" spans="1:9" x14ac:dyDescent="0.25">
      <c r="A200" t="s">
        <v>115</v>
      </c>
      <c r="B200" t="s">
        <v>58</v>
      </c>
      <c r="C200" t="s">
        <v>82</v>
      </c>
      <c r="D200" t="s">
        <v>225</v>
      </c>
      <c r="E200" t="s">
        <v>441</v>
      </c>
      <c r="F200" t="s">
        <v>417</v>
      </c>
      <c r="G200" s="3">
        <f t="shared" si="3"/>
        <v>0</v>
      </c>
      <c r="H200" t="s">
        <v>539</v>
      </c>
      <c r="I200" s="3">
        <f>D200/(VLOOKUP(B200,'2023 Team'!$B$2:$G$33,3,FALSE))</f>
        <v>1.5686274509803921E-2</v>
      </c>
    </row>
    <row r="201" spans="1:9" x14ac:dyDescent="0.25">
      <c r="A201" t="s">
        <v>595</v>
      </c>
      <c r="B201" t="s">
        <v>32</v>
      </c>
      <c r="C201" t="s">
        <v>159</v>
      </c>
      <c r="D201" t="s">
        <v>225</v>
      </c>
      <c r="E201" t="s">
        <v>467</v>
      </c>
      <c r="F201" t="s">
        <v>417</v>
      </c>
      <c r="G201" s="3">
        <f t="shared" si="3"/>
        <v>0</v>
      </c>
      <c r="H201" t="s">
        <v>230</v>
      </c>
      <c r="I201" s="3">
        <f>D201/(VLOOKUP(B201,'2023 Team'!$B$2:$G$33,3,FALSE))</f>
        <v>1.8018018018018018E-2</v>
      </c>
    </row>
    <row r="202" spans="1:9" x14ac:dyDescent="0.25">
      <c r="A202" t="s">
        <v>1713</v>
      </c>
      <c r="B202" t="s">
        <v>16</v>
      </c>
      <c r="C202" t="s">
        <v>163</v>
      </c>
      <c r="D202" t="s">
        <v>225</v>
      </c>
      <c r="E202" t="s">
        <v>1138</v>
      </c>
      <c r="F202" t="s">
        <v>300</v>
      </c>
      <c r="G202" s="3">
        <f t="shared" si="3"/>
        <v>0.125</v>
      </c>
      <c r="H202" t="s">
        <v>676</v>
      </c>
      <c r="I202" s="3">
        <f>D202/(VLOOKUP(B202,'2023 Team'!$B$2:$G$33,3,FALSE))</f>
        <v>1.7977528089887642E-2</v>
      </c>
    </row>
    <row r="203" spans="1:9" x14ac:dyDescent="0.25">
      <c r="A203" t="s">
        <v>759</v>
      </c>
      <c r="B203" t="s">
        <v>66</v>
      </c>
      <c r="C203" t="s">
        <v>163</v>
      </c>
      <c r="D203" t="s">
        <v>225</v>
      </c>
      <c r="E203" t="s">
        <v>1244</v>
      </c>
      <c r="F203" t="s">
        <v>417</v>
      </c>
      <c r="G203" s="3">
        <f t="shared" si="3"/>
        <v>0</v>
      </c>
      <c r="H203" t="s">
        <v>648</v>
      </c>
      <c r="I203" s="3">
        <f>D203/(VLOOKUP(B203,'2023 Team'!$B$2:$G$33,3,FALSE))</f>
        <v>1.8223234624145785E-2</v>
      </c>
    </row>
    <row r="204" spans="1:9" x14ac:dyDescent="0.25">
      <c r="A204" t="s">
        <v>146</v>
      </c>
      <c r="B204" t="s">
        <v>8</v>
      </c>
      <c r="C204" t="s">
        <v>82</v>
      </c>
      <c r="D204" t="s">
        <v>225</v>
      </c>
      <c r="E204" t="s">
        <v>639</v>
      </c>
      <c r="F204" t="s">
        <v>300</v>
      </c>
      <c r="G204" s="3">
        <f t="shared" si="3"/>
        <v>0.125</v>
      </c>
      <c r="H204" t="s">
        <v>323</v>
      </c>
      <c r="I204" s="3">
        <f>D204/(VLOOKUP(B204,'2023 Team'!$B$2:$G$33,3,FALSE))</f>
        <v>1.6985138004246284E-2</v>
      </c>
    </row>
    <row r="205" spans="1:9" x14ac:dyDescent="0.25">
      <c r="A205" t="s">
        <v>1572</v>
      </c>
      <c r="B205" t="s">
        <v>46</v>
      </c>
      <c r="C205" t="s">
        <v>82</v>
      </c>
      <c r="D205" t="s">
        <v>225</v>
      </c>
      <c r="E205" t="s">
        <v>1548</v>
      </c>
      <c r="F205" t="s">
        <v>417</v>
      </c>
      <c r="G205" s="3">
        <f t="shared" si="3"/>
        <v>0</v>
      </c>
      <c r="H205" t="s">
        <v>619</v>
      </c>
      <c r="I205" s="3">
        <f>D205/(VLOOKUP(B205,'2023 Team'!$B$2:$G$33,3,FALSE))</f>
        <v>1.7543859649122806E-2</v>
      </c>
    </row>
    <row r="206" spans="1:9" x14ac:dyDescent="0.25">
      <c r="A206" t="s">
        <v>1714</v>
      </c>
      <c r="B206" t="s">
        <v>26</v>
      </c>
      <c r="C206" t="s">
        <v>613</v>
      </c>
      <c r="D206" t="s">
        <v>207</v>
      </c>
      <c r="E206" t="s">
        <v>270</v>
      </c>
      <c r="F206" t="s">
        <v>417</v>
      </c>
      <c r="G206" s="3">
        <f t="shared" si="3"/>
        <v>0</v>
      </c>
      <c r="H206" t="s">
        <v>626</v>
      </c>
      <c r="I206" s="3">
        <f>D206/(VLOOKUP(B206,'2023 Team'!$B$2:$G$33,3,FALSE))</f>
        <v>1.5521064301552107E-2</v>
      </c>
    </row>
    <row r="207" spans="1:9" x14ac:dyDescent="0.25">
      <c r="A207" t="s">
        <v>1570</v>
      </c>
      <c r="B207" t="s">
        <v>22</v>
      </c>
      <c r="C207" t="s">
        <v>82</v>
      </c>
      <c r="D207" t="s">
        <v>207</v>
      </c>
      <c r="E207" t="s">
        <v>485</v>
      </c>
      <c r="F207" t="s">
        <v>417</v>
      </c>
      <c r="G207" s="3">
        <f t="shared" si="3"/>
        <v>0</v>
      </c>
      <c r="H207" t="s">
        <v>362</v>
      </c>
      <c r="I207" s="3">
        <f>D207/(VLOOKUP(B207,'2023 Team'!$B$2:$G$33,3,FALSE))</f>
        <v>1.3513513513513514E-2</v>
      </c>
    </row>
    <row r="208" spans="1:9" x14ac:dyDescent="0.25">
      <c r="A208" t="s">
        <v>1568</v>
      </c>
      <c r="B208" t="s">
        <v>38</v>
      </c>
      <c r="C208" t="s">
        <v>82</v>
      </c>
      <c r="D208" t="s">
        <v>207</v>
      </c>
      <c r="E208" t="s">
        <v>452</v>
      </c>
      <c r="F208" t="s">
        <v>417</v>
      </c>
      <c r="G208" s="3">
        <f t="shared" si="3"/>
        <v>0</v>
      </c>
      <c r="H208" t="s">
        <v>1687</v>
      </c>
      <c r="I208" s="3">
        <f>D208/(VLOOKUP(B208,'2023 Team'!$B$2:$G$33,3,FALSE))</f>
        <v>1.6786570743405275E-2</v>
      </c>
    </row>
    <row r="209" spans="1:9" x14ac:dyDescent="0.25">
      <c r="A209" t="s">
        <v>722</v>
      </c>
      <c r="B209" t="s">
        <v>28</v>
      </c>
      <c r="C209" t="s">
        <v>163</v>
      </c>
      <c r="D209" t="s">
        <v>207</v>
      </c>
      <c r="E209" t="s">
        <v>536</v>
      </c>
      <c r="F209" t="s">
        <v>417</v>
      </c>
      <c r="G209" s="3">
        <f t="shared" si="3"/>
        <v>0</v>
      </c>
      <c r="H209" t="s">
        <v>1331</v>
      </c>
      <c r="I209" s="3">
        <f>D209/(VLOOKUP(B209,'2023 Team'!$B$2:$G$33,3,FALSE))</f>
        <v>1.4E-2</v>
      </c>
    </row>
    <row r="210" spans="1:9" x14ac:dyDescent="0.25">
      <c r="A210" t="s">
        <v>828</v>
      </c>
      <c r="B210" t="s">
        <v>70</v>
      </c>
      <c r="C210" t="s">
        <v>163</v>
      </c>
      <c r="D210" t="s">
        <v>207</v>
      </c>
      <c r="E210" t="s">
        <v>470</v>
      </c>
      <c r="F210" t="s">
        <v>300</v>
      </c>
      <c r="G210" s="3">
        <f t="shared" si="3"/>
        <v>0.14285714285714285</v>
      </c>
      <c r="H210" t="s">
        <v>516</v>
      </c>
      <c r="I210" s="3">
        <f>D210/(VLOOKUP(B210,'2023 Team'!$B$2:$G$33,3,FALSE))</f>
        <v>1.9498607242339833E-2</v>
      </c>
    </row>
    <row r="211" spans="1:9" x14ac:dyDescent="0.25">
      <c r="A211" t="s">
        <v>1715</v>
      </c>
      <c r="B211" t="s">
        <v>18</v>
      </c>
      <c r="C211" t="s">
        <v>163</v>
      </c>
      <c r="D211" t="s">
        <v>207</v>
      </c>
      <c r="E211" t="s">
        <v>454</v>
      </c>
      <c r="F211" t="s">
        <v>417</v>
      </c>
      <c r="G211" s="3">
        <f t="shared" si="3"/>
        <v>0</v>
      </c>
      <c r="H211" t="s">
        <v>420</v>
      </c>
      <c r="I211" s="3">
        <f>D211/(VLOOKUP(B211,'2023 Team'!$B$2:$G$33,3,FALSE))</f>
        <v>1.3108614232209739E-2</v>
      </c>
    </row>
    <row r="212" spans="1:9" x14ac:dyDescent="0.25">
      <c r="A212" t="s">
        <v>621</v>
      </c>
      <c r="B212" t="s">
        <v>52</v>
      </c>
      <c r="C212" t="s">
        <v>163</v>
      </c>
      <c r="D212" t="s">
        <v>207</v>
      </c>
      <c r="E212" t="s">
        <v>461</v>
      </c>
      <c r="F212" t="s">
        <v>417</v>
      </c>
      <c r="G212" s="3">
        <f t="shared" si="3"/>
        <v>0</v>
      </c>
      <c r="H212" t="s">
        <v>492</v>
      </c>
      <c r="I212" s="3">
        <f>D212/(VLOOKUP(B212,'2023 Team'!$B$2:$G$33,3,FALSE))</f>
        <v>1.4583333333333334E-2</v>
      </c>
    </row>
    <row r="213" spans="1:9" x14ac:dyDescent="0.25">
      <c r="A213" t="s">
        <v>1716</v>
      </c>
      <c r="B213" t="s">
        <v>62</v>
      </c>
      <c r="C213" t="s">
        <v>159</v>
      </c>
      <c r="D213" t="s">
        <v>247</v>
      </c>
      <c r="E213" t="s">
        <v>528</v>
      </c>
      <c r="F213" t="s">
        <v>417</v>
      </c>
      <c r="G213" s="3">
        <f t="shared" si="3"/>
        <v>0</v>
      </c>
      <c r="H213" t="s">
        <v>555</v>
      </c>
      <c r="I213" s="3">
        <f>D213/(VLOOKUP(B213,'2023 Team'!$B$2:$G$33,3,FALSE))</f>
        <v>1.2024048096192385E-2</v>
      </c>
    </row>
    <row r="214" spans="1:9" x14ac:dyDescent="0.25">
      <c r="A214" t="s">
        <v>1569</v>
      </c>
      <c r="B214" t="s">
        <v>48</v>
      </c>
      <c r="C214" t="s">
        <v>82</v>
      </c>
      <c r="D214" t="s">
        <v>247</v>
      </c>
      <c r="E214" t="s">
        <v>344</v>
      </c>
      <c r="F214" t="s">
        <v>417</v>
      </c>
      <c r="G214" s="3">
        <f t="shared" si="3"/>
        <v>0</v>
      </c>
      <c r="H214" t="s">
        <v>596</v>
      </c>
      <c r="I214" s="3">
        <f>D214/(VLOOKUP(B214,'2023 Team'!$B$2:$G$33,3,FALSE))</f>
        <v>1.5267175572519083E-2</v>
      </c>
    </row>
    <row r="215" spans="1:9" x14ac:dyDescent="0.25">
      <c r="A215" t="s">
        <v>944</v>
      </c>
      <c r="B215" t="s">
        <v>46</v>
      </c>
      <c r="C215" t="s">
        <v>163</v>
      </c>
      <c r="D215" t="s">
        <v>247</v>
      </c>
      <c r="E215" t="s">
        <v>557</v>
      </c>
      <c r="F215" t="s">
        <v>417</v>
      </c>
      <c r="G215" s="3">
        <f t="shared" si="3"/>
        <v>0</v>
      </c>
      <c r="H215" t="s">
        <v>498</v>
      </c>
      <c r="I215" s="3">
        <f>D215/(VLOOKUP(B215,'2023 Team'!$B$2:$G$33,3,FALSE))</f>
        <v>1.3157894736842105E-2</v>
      </c>
    </row>
    <row r="216" spans="1:9" x14ac:dyDescent="0.25">
      <c r="A216" t="s">
        <v>566</v>
      </c>
      <c r="B216" t="s">
        <v>24</v>
      </c>
      <c r="C216" t="s">
        <v>159</v>
      </c>
      <c r="D216" t="s">
        <v>247</v>
      </c>
      <c r="E216" t="s">
        <v>541</v>
      </c>
      <c r="F216" t="s">
        <v>300</v>
      </c>
      <c r="G216" s="3">
        <f t="shared" si="3"/>
        <v>0.16666666666666666</v>
      </c>
      <c r="H216" t="s">
        <v>512</v>
      </c>
      <c r="I216" s="3">
        <f>D216/(VLOOKUP(B216,'2023 Team'!$B$2:$G$33,3,FALSE))</f>
        <v>1.282051282051282E-2</v>
      </c>
    </row>
    <row r="217" spans="1:9" x14ac:dyDescent="0.25">
      <c r="A217" t="s">
        <v>926</v>
      </c>
      <c r="B217" t="s">
        <v>44</v>
      </c>
      <c r="C217" t="s">
        <v>163</v>
      </c>
      <c r="D217" t="s">
        <v>220</v>
      </c>
      <c r="E217" t="s">
        <v>493</v>
      </c>
      <c r="F217" t="s">
        <v>417</v>
      </c>
      <c r="G217" s="3">
        <f t="shared" si="3"/>
        <v>0</v>
      </c>
      <c r="H217" t="s">
        <v>574</v>
      </c>
      <c r="I217" s="3">
        <f>D217/(VLOOKUP(B217,'2023 Team'!$B$2:$G$33,3,FALSE))</f>
        <v>1.0482180293501049E-2</v>
      </c>
    </row>
    <row r="218" spans="1:9" x14ac:dyDescent="0.25">
      <c r="A218" t="s">
        <v>741</v>
      </c>
      <c r="B218" t="s">
        <v>32</v>
      </c>
      <c r="C218" t="s">
        <v>613</v>
      </c>
      <c r="D218" t="s">
        <v>220</v>
      </c>
      <c r="E218" t="s">
        <v>314</v>
      </c>
      <c r="F218" t="s">
        <v>300</v>
      </c>
      <c r="G218" s="3">
        <f t="shared" si="3"/>
        <v>0.2</v>
      </c>
      <c r="H218" t="s">
        <v>1699</v>
      </c>
      <c r="I218" s="3">
        <f>D218/(VLOOKUP(B218,'2023 Team'!$B$2:$G$33,3,FALSE))</f>
        <v>1.1261261261261261E-2</v>
      </c>
    </row>
    <row r="219" spans="1:9" x14ac:dyDescent="0.25">
      <c r="A219" t="s">
        <v>1717</v>
      </c>
      <c r="B219" t="s">
        <v>32</v>
      </c>
      <c r="C219" t="s">
        <v>755</v>
      </c>
      <c r="D219" t="s">
        <v>220</v>
      </c>
      <c r="E219" t="s">
        <v>510</v>
      </c>
      <c r="F219" t="s">
        <v>417</v>
      </c>
      <c r="G219" s="3">
        <f t="shared" si="3"/>
        <v>0</v>
      </c>
      <c r="H219" t="s">
        <v>243</v>
      </c>
      <c r="I219" s="3">
        <f>D219/(VLOOKUP(B219,'2023 Team'!$B$2:$G$33,3,FALSE))</f>
        <v>1.1261261261261261E-2</v>
      </c>
    </row>
    <row r="220" spans="1:9" x14ac:dyDescent="0.25">
      <c r="A220" t="s">
        <v>1718</v>
      </c>
      <c r="B220" t="s">
        <v>52</v>
      </c>
      <c r="C220" t="s">
        <v>163</v>
      </c>
      <c r="D220" t="s">
        <v>220</v>
      </c>
      <c r="E220" t="s">
        <v>475</v>
      </c>
      <c r="F220" t="s">
        <v>417</v>
      </c>
      <c r="G220" s="3">
        <f t="shared" si="3"/>
        <v>0</v>
      </c>
      <c r="H220" t="s">
        <v>1687</v>
      </c>
      <c r="I220" s="3">
        <f>D220/(VLOOKUP(B220,'2023 Team'!$B$2:$G$33,3,FALSE))</f>
        <v>1.0416666666666666E-2</v>
      </c>
    </row>
    <row r="221" spans="1:9" x14ac:dyDescent="0.25">
      <c r="A221" t="s">
        <v>886</v>
      </c>
      <c r="B221" t="s">
        <v>22</v>
      </c>
      <c r="C221" t="s">
        <v>153</v>
      </c>
      <c r="D221" t="s">
        <v>220</v>
      </c>
      <c r="E221" t="s">
        <v>225</v>
      </c>
      <c r="F221" t="s">
        <v>417</v>
      </c>
      <c r="G221" s="3">
        <f t="shared" si="3"/>
        <v>0</v>
      </c>
      <c r="H221" t="s">
        <v>594</v>
      </c>
      <c r="I221" s="3">
        <f>D221/(VLOOKUP(B221,'2023 Team'!$B$2:$G$33,3,FALSE))</f>
        <v>9.6525096525096523E-3</v>
      </c>
    </row>
    <row r="222" spans="1:9" x14ac:dyDescent="0.25">
      <c r="A222" t="s">
        <v>187</v>
      </c>
      <c r="B222" t="s">
        <v>68</v>
      </c>
      <c r="C222" t="s">
        <v>163</v>
      </c>
      <c r="D222" t="s">
        <v>220</v>
      </c>
      <c r="E222" t="s">
        <v>202</v>
      </c>
      <c r="F222" t="s">
        <v>417</v>
      </c>
      <c r="G222" s="3">
        <f t="shared" si="3"/>
        <v>0</v>
      </c>
      <c r="H222" t="s">
        <v>262</v>
      </c>
      <c r="I222" s="3">
        <f>D222/(VLOOKUP(B222,'2023 Team'!$B$2:$G$33,3,FALSE))</f>
        <v>1.1261261261261261E-2</v>
      </c>
    </row>
    <row r="223" spans="1:9" x14ac:dyDescent="0.25">
      <c r="A223" t="s">
        <v>820</v>
      </c>
      <c r="B223" t="s">
        <v>24</v>
      </c>
      <c r="C223" t="s">
        <v>163</v>
      </c>
      <c r="D223" t="s">
        <v>220</v>
      </c>
      <c r="E223" t="s">
        <v>467</v>
      </c>
      <c r="F223" t="s">
        <v>417</v>
      </c>
      <c r="G223" s="3">
        <f t="shared" si="3"/>
        <v>0</v>
      </c>
      <c r="H223" t="s">
        <v>648</v>
      </c>
      <c r="I223" s="3">
        <f>D223/(VLOOKUP(B223,'2023 Team'!$B$2:$G$33,3,FALSE))</f>
        <v>1.0683760683760684E-2</v>
      </c>
    </row>
    <row r="224" spans="1:9" x14ac:dyDescent="0.25">
      <c r="A224" t="s">
        <v>1719</v>
      </c>
      <c r="B224" t="s">
        <v>46</v>
      </c>
      <c r="C224" t="s">
        <v>163</v>
      </c>
      <c r="D224" t="s">
        <v>220</v>
      </c>
      <c r="E224" t="s">
        <v>514</v>
      </c>
      <c r="F224" t="s">
        <v>417</v>
      </c>
      <c r="G224" s="3">
        <f t="shared" si="3"/>
        <v>0</v>
      </c>
      <c r="H224" t="s">
        <v>230</v>
      </c>
      <c r="I224" s="3">
        <f>D224/(VLOOKUP(B224,'2023 Team'!$B$2:$G$33,3,FALSE))</f>
        <v>1.0964912280701754E-2</v>
      </c>
    </row>
    <row r="225" spans="1:9" x14ac:dyDescent="0.25">
      <c r="A225" t="s">
        <v>690</v>
      </c>
      <c r="B225" t="s">
        <v>32</v>
      </c>
      <c r="C225" t="s">
        <v>163</v>
      </c>
      <c r="D225" t="s">
        <v>220</v>
      </c>
      <c r="E225" t="s">
        <v>554</v>
      </c>
      <c r="F225" t="s">
        <v>417</v>
      </c>
      <c r="G225" s="3">
        <f t="shared" si="3"/>
        <v>0</v>
      </c>
      <c r="H225" t="s">
        <v>579</v>
      </c>
      <c r="I225" s="3">
        <f>D225/(VLOOKUP(B225,'2023 Team'!$B$2:$G$33,3,FALSE))</f>
        <v>1.1261261261261261E-2</v>
      </c>
    </row>
    <row r="226" spans="1:9" x14ac:dyDescent="0.25">
      <c r="A226" t="s">
        <v>718</v>
      </c>
      <c r="B226" t="s">
        <v>62</v>
      </c>
      <c r="C226" t="s">
        <v>613</v>
      </c>
      <c r="D226" t="s">
        <v>220</v>
      </c>
      <c r="E226" t="s">
        <v>247</v>
      </c>
      <c r="F226" t="s">
        <v>417</v>
      </c>
      <c r="G226" s="3">
        <f t="shared" si="3"/>
        <v>0</v>
      </c>
      <c r="H226" t="s">
        <v>1711</v>
      </c>
      <c r="I226" s="3">
        <f>D226/(VLOOKUP(B226,'2023 Team'!$B$2:$G$33,3,FALSE))</f>
        <v>1.002004008016032E-2</v>
      </c>
    </row>
    <row r="227" spans="1:9" x14ac:dyDescent="0.25">
      <c r="A227" t="s">
        <v>156</v>
      </c>
      <c r="B227" t="s">
        <v>64</v>
      </c>
      <c r="C227" t="s">
        <v>82</v>
      </c>
      <c r="D227" t="s">
        <v>220</v>
      </c>
      <c r="E227" t="s">
        <v>344</v>
      </c>
      <c r="F227" t="s">
        <v>417</v>
      </c>
      <c r="G227" s="3">
        <f t="shared" si="3"/>
        <v>0</v>
      </c>
      <c r="H227" t="s">
        <v>385</v>
      </c>
      <c r="I227" s="3">
        <f>D227/(VLOOKUP(B227,'2023 Team'!$B$2:$G$33,3,FALSE))</f>
        <v>1.3089005235602094E-2</v>
      </c>
    </row>
    <row r="228" spans="1:9" x14ac:dyDescent="0.25">
      <c r="A228" t="s">
        <v>561</v>
      </c>
      <c r="B228" t="s">
        <v>48</v>
      </c>
      <c r="C228" t="s">
        <v>159</v>
      </c>
      <c r="D228" t="s">
        <v>220</v>
      </c>
      <c r="E228" t="s">
        <v>234</v>
      </c>
      <c r="F228" t="s">
        <v>417</v>
      </c>
      <c r="G228" s="3">
        <f t="shared" si="3"/>
        <v>0</v>
      </c>
      <c r="H228" t="s">
        <v>603</v>
      </c>
      <c r="I228" s="3">
        <f>D228/(VLOOKUP(B228,'2023 Team'!$B$2:$G$33,3,FALSE))</f>
        <v>1.2722646310432569E-2</v>
      </c>
    </row>
    <row r="229" spans="1:9" x14ac:dyDescent="0.25">
      <c r="A229" t="s">
        <v>1720</v>
      </c>
      <c r="B229" t="s">
        <v>48</v>
      </c>
      <c r="C229" t="s">
        <v>163</v>
      </c>
      <c r="D229" t="s">
        <v>220</v>
      </c>
      <c r="E229" t="s">
        <v>535</v>
      </c>
      <c r="F229" t="s">
        <v>417</v>
      </c>
      <c r="G229" s="3">
        <f t="shared" si="3"/>
        <v>0</v>
      </c>
      <c r="H229" t="s">
        <v>301</v>
      </c>
      <c r="I229" s="3">
        <f>D229/(VLOOKUP(B229,'2023 Team'!$B$2:$G$33,3,FALSE))</f>
        <v>1.2722646310432569E-2</v>
      </c>
    </row>
    <row r="230" spans="1:9" x14ac:dyDescent="0.25">
      <c r="A230" t="s">
        <v>142</v>
      </c>
      <c r="B230" t="s">
        <v>68</v>
      </c>
      <c r="C230" t="s">
        <v>82</v>
      </c>
      <c r="D230" t="s">
        <v>220</v>
      </c>
      <c r="E230" t="s">
        <v>528</v>
      </c>
      <c r="F230" t="s">
        <v>417</v>
      </c>
      <c r="G230" s="3">
        <f t="shared" si="3"/>
        <v>0</v>
      </c>
      <c r="H230" t="s">
        <v>293</v>
      </c>
      <c r="I230" s="3">
        <f>D230/(VLOOKUP(B230,'2023 Team'!$B$2:$G$33,3,FALSE))</f>
        <v>1.1261261261261261E-2</v>
      </c>
    </row>
    <row r="231" spans="1:9" x14ac:dyDescent="0.25">
      <c r="A231" t="s">
        <v>132</v>
      </c>
      <c r="B231" t="s">
        <v>52</v>
      </c>
      <c r="C231" t="s">
        <v>82</v>
      </c>
      <c r="D231" t="s">
        <v>220</v>
      </c>
      <c r="E231" t="s">
        <v>1545</v>
      </c>
      <c r="F231" t="s">
        <v>417</v>
      </c>
      <c r="G231" s="3">
        <f t="shared" si="3"/>
        <v>0</v>
      </c>
      <c r="H231" t="s">
        <v>1721</v>
      </c>
      <c r="I231" s="3">
        <f>D231/(VLOOKUP(B231,'2023 Team'!$B$2:$G$33,3,FALSE))</f>
        <v>1.0416666666666666E-2</v>
      </c>
    </row>
    <row r="232" spans="1:9" x14ac:dyDescent="0.25">
      <c r="A232" t="s">
        <v>1722</v>
      </c>
      <c r="B232" t="s">
        <v>36</v>
      </c>
      <c r="C232" t="s">
        <v>163</v>
      </c>
      <c r="D232" t="s">
        <v>229</v>
      </c>
      <c r="E232" t="s">
        <v>649</v>
      </c>
      <c r="F232" t="s">
        <v>417</v>
      </c>
      <c r="G232" s="3">
        <f t="shared" si="3"/>
        <v>0</v>
      </c>
      <c r="H232" t="s">
        <v>589</v>
      </c>
      <c r="I232" s="3">
        <f>D232/(VLOOKUP(B232,'2023 Team'!$B$2:$G$33,3,FALSE))</f>
        <v>8.8300220750551876E-3</v>
      </c>
    </row>
    <row r="233" spans="1:9" x14ac:dyDescent="0.25">
      <c r="A233" t="s">
        <v>1723</v>
      </c>
      <c r="B233" t="s">
        <v>40</v>
      </c>
      <c r="C233" t="s">
        <v>159</v>
      </c>
      <c r="D233" t="s">
        <v>229</v>
      </c>
      <c r="E233" t="s">
        <v>493</v>
      </c>
      <c r="F233" t="s">
        <v>300</v>
      </c>
      <c r="G233" s="3">
        <f t="shared" si="3"/>
        <v>0.25</v>
      </c>
      <c r="H233" t="s">
        <v>611</v>
      </c>
      <c r="I233" s="3">
        <f>D233/(VLOOKUP(B233,'2023 Team'!$B$2:$G$33,3,FALSE))</f>
        <v>9.6852300242130755E-3</v>
      </c>
    </row>
    <row r="234" spans="1:9" x14ac:dyDescent="0.25">
      <c r="A234" t="s">
        <v>1564</v>
      </c>
      <c r="B234" t="s">
        <v>56</v>
      </c>
      <c r="C234" t="s">
        <v>82</v>
      </c>
      <c r="D234" t="s">
        <v>229</v>
      </c>
      <c r="E234" t="s">
        <v>220</v>
      </c>
      <c r="F234" t="s">
        <v>417</v>
      </c>
      <c r="G234" s="3">
        <f t="shared" si="3"/>
        <v>0</v>
      </c>
      <c r="H234" t="s">
        <v>626</v>
      </c>
      <c r="I234" s="3">
        <f>D234/(VLOOKUP(B234,'2023 Team'!$B$2:$G$33,3,FALSE))</f>
        <v>1.0309278350515464E-2</v>
      </c>
    </row>
    <row r="235" spans="1:9" x14ac:dyDescent="0.25">
      <c r="A235" t="s">
        <v>1724</v>
      </c>
      <c r="B235" t="s">
        <v>42</v>
      </c>
      <c r="C235" t="s">
        <v>159</v>
      </c>
      <c r="D235" t="s">
        <v>229</v>
      </c>
      <c r="E235" t="s">
        <v>247</v>
      </c>
      <c r="F235" t="s">
        <v>417</v>
      </c>
      <c r="G235" s="3">
        <f t="shared" si="3"/>
        <v>0</v>
      </c>
      <c r="H235" t="s">
        <v>575</v>
      </c>
      <c r="I235" s="3">
        <f>D235/(VLOOKUP(B235,'2023 Team'!$B$2:$G$33,3,FALSE))</f>
        <v>9.2807424593967514E-3</v>
      </c>
    </row>
    <row r="236" spans="1:9" x14ac:dyDescent="0.25">
      <c r="A236" t="s">
        <v>837</v>
      </c>
      <c r="B236" t="s">
        <v>12</v>
      </c>
      <c r="C236" t="s">
        <v>163</v>
      </c>
      <c r="D236" t="s">
        <v>229</v>
      </c>
      <c r="E236" t="s">
        <v>557</v>
      </c>
      <c r="F236" t="s">
        <v>417</v>
      </c>
      <c r="G236" s="3">
        <f t="shared" si="3"/>
        <v>0</v>
      </c>
      <c r="H236" t="s">
        <v>323</v>
      </c>
      <c r="I236" s="3">
        <f>D236/(VLOOKUP(B236,'2023 Team'!$B$2:$G$33,3,FALSE))</f>
        <v>7.3937153419593345E-3</v>
      </c>
    </row>
    <row r="237" spans="1:9" x14ac:dyDescent="0.25">
      <c r="A237" t="s">
        <v>1025</v>
      </c>
      <c r="B237" t="s">
        <v>66</v>
      </c>
      <c r="C237" t="s">
        <v>163</v>
      </c>
      <c r="D237" t="s">
        <v>229</v>
      </c>
      <c r="E237" t="s">
        <v>480</v>
      </c>
      <c r="F237" t="s">
        <v>300</v>
      </c>
      <c r="G237" s="3">
        <f t="shared" si="3"/>
        <v>0.25</v>
      </c>
      <c r="H237" t="s">
        <v>723</v>
      </c>
      <c r="I237" s="3">
        <f>D237/(VLOOKUP(B237,'2023 Team'!$B$2:$G$33,3,FALSE))</f>
        <v>9.1116173120728925E-3</v>
      </c>
    </row>
    <row r="238" spans="1:9" x14ac:dyDescent="0.25">
      <c r="A238" t="s">
        <v>1725</v>
      </c>
      <c r="B238" t="s">
        <v>22</v>
      </c>
      <c r="C238" t="s">
        <v>163</v>
      </c>
      <c r="D238" t="s">
        <v>229</v>
      </c>
      <c r="E238" t="s">
        <v>485</v>
      </c>
      <c r="F238" t="s">
        <v>417</v>
      </c>
      <c r="G238" s="3">
        <f t="shared" si="3"/>
        <v>0</v>
      </c>
      <c r="H238" t="s">
        <v>1383</v>
      </c>
      <c r="I238" s="3">
        <f>D238/(VLOOKUP(B238,'2023 Team'!$B$2:$G$33,3,FALSE))</f>
        <v>7.7220077220077222E-3</v>
      </c>
    </row>
    <row r="239" spans="1:9" x14ac:dyDescent="0.25">
      <c r="A239" t="s">
        <v>1726</v>
      </c>
      <c r="B239" t="s">
        <v>14</v>
      </c>
      <c r="C239" t="s">
        <v>163</v>
      </c>
      <c r="D239" t="s">
        <v>229</v>
      </c>
      <c r="E239" t="s">
        <v>417</v>
      </c>
      <c r="F239" t="s">
        <v>417</v>
      </c>
      <c r="G239" s="3">
        <f t="shared" si="3"/>
        <v>0</v>
      </c>
      <c r="H239" t="s">
        <v>504</v>
      </c>
      <c r="I239" s="3">
        <f>D239/(VLOOKUP(B239,'2023 Team'!$B$2:$G$33,3,FALSE))</f>
        <v>7.8125E-3</v>
      </c>
    </row>
    <row r="240" spans="1:9" x14ac:dyDescent="0.25">
      <c r="A240" t="s">
        <v>654</v>
      </c>
      <c r="B240" t="s">
        <v>40</v>
      </c>
      <c r="C240" t="s">
        <v>163</v>
      </c>
      <c r="D240" t="s">
        <v>229</v>
      </c>
      <c r="E240" t="s">
        <v>487</v>
      </c>
      <c r="F240" t="s">
        <v>289</v>
      </c>
      <c r="G240" s="3">
        <f t="shared" si="3"/>
        <v>0.5</v>
      </c>
      <c r="H240" t="s">
        <v>389</v>
      </c>
      <c r="I240" s="3">
        <f>D240/(VLOOKUP(B240,'2023 Team'!$B$2:$G$33,3,FALSE))</f>
        <v>9.6852300242130755E-3</v>
      </c>
    </row>
    <row r="241" spans="1:9" x14ac:dyDescent="0.25">
      <c r="A241" t="s">
        <v>167</v>
      </c>
      <c r="B241" t="s">
        <v>18</v>
      </c>
      <c r="C241" t="s">
        <v>163</v>
      </c>
      <c r="D241" t="s">
        <v>229</v>
      </c>
      <c r="E241" t="s">
        <v>528</v>
      </c>
      <c r="F241" t="s">
        <v>300</v>
      </c>
      <c r="G241" s="3">
        <f t="shared" si="3"/>
        <v>0.25</v>
      </c>
      <c r="H241" t="s">
        <v>492</v>
      </c>
      <c r="I241" s="3">
        <f>D241/(VLOOKUP(B241,'2023 Team'!$B$2:$G$33,3,FALSE))</f>
        <v>7.4906367041198503E-3</v>
      </c>
    </row>
    <row r="242" spans="1:9" x14ac:dyDescent="0.25">
      <c r="A242" t="s">
        <v>689</v>
      </c>
      <c r="B242" t="s">
        <v>28</v>
      </c>
      <c r="C242" t="s">
        <v>163</v>
      </c>
      <c r="D242" t="s">
        <v>229</v>
      </c>
      <c r="E242" t="s">
        <v>487</v>
      </c>
      <c r="F242" t="s">
        <v>417</v>
      </c>
      <c r="G242" s="3">
        <f t="shared" si="3"/>
        <v>0</v>
      </c>
      <c r="H242" t="s">
        <v>389</v>
      </c>
      <c r="I242" s="3">
        <f>D242/(VLOOKUP(B242,'2023 Team'!$B$2:$G$33,3,FALSE))</f>
        <v>8.0000000000000002E-3</v>
      </c>
    </row>
    <row r="243" spans="1:9" x14ac:dyDescent="0.25">
      <c r="A243" t="s">
        <v>739</v>
      </c>
      <c r="B243" t="s">
        <v>30</v>
      </c>
      <c r="C243" t="s">
        <v>163</v>
      </c>
      <c r="D243" t="s">
        <v>229</v>
      </c>
      <c r="E243" t="s">
        <v>266</v>
      </c>
      <c r="F243" t="s">
        <v>417</v>
      </c>
      <c r="G243" s="3">
        <f t="shared" si="3"/>
        <v>0</v>
      </c>
      <c r="H243" t="s">
        <v>385</v>
      </c>
      <c r="I243" s="3">
        <f>D243/(VLOOKUP(B243,'2023 Team'!$B$2:$G$33,3,FALSE))</f>
        <v>9.0702947845804991E-3</v>
      </c>
    </row>
    <row r="244" spans="1:9" x14ac:dyDescent="0.25">
      <c r="A244" t="s">
        <v>986</v>
      </c>
      <c r="B244" t="s">
        <v>56</v>
      </c>
      <c r="C244" t="s">
        <v>163</v>
      </c>
      <c r="D244" t="s">
        <v>229</v>
      </c>
      <c r="E244" t="s">
        <v>417</v>
      </c>
      <c r="F244" t="s">
        <v>417</v>
      </c>
      <c r="G244" s="3">
        <f t="shared" si="3"/>
        <v>0</v>
      </c>
      <c r="H244" t="s">
        <v>504</v>
      </c>
      <c r="I244" s="3">
        <f>D244/(VLOOKUP(B244,'2023 Team'!$B$2:$G$33,3,FALSE))</f>
        <v>1.0309278350515464E-2</v>
      </c>
    </row>
    <row r="245" spans="1:9" x14ac:dyDescent="0.25">
      <c r="A245" t="s">
        <v>1727</v>
      </c>
      <c r="B245" t="s">
        <v>36</v>
      </c>
      <c r="C245" t="s">
        <v>82</v>
      </c>
      <c r="D245" t="s">
        <v>314</v>
      </c>
      <c r="E245" t="s">
        <v>687</v>
      </c>
      <c r="F245" t="s">
        <v>417</v>
      </c>
      <c r="G245" s="3">
        <f t="shared" si="3"/>
        <v>0</v>
      </c>
      <c r="H245" t="s">
        <v>652</v>
      </c>
      <c r="I245" s="3">
        <f>D245/(VLOOKUP(B245,'2023 Team'!$B$2:$G$33,3,FALSE))</f>
        <v>6.6225165562913907E-3</v>
      </c>
    </row>
    <row r="246" spans="1:9" x14ac:dyDescent="0.25">
      <c r="A246" t="s">
        <v>94</v>
      </c>
      <c r="B246" t="s">
        <v>70</v>
      </c>
      <c r="C246" t="s">
        <v>82</v>
      </c>
      <c r="D246" t="s">
        <v>314</v>
      </c>
      <c r="E246" t="s">
        <v>541</v>
      </c>
      <c r="F246" t="s">
        <v>417</v>
      </c>
      <c r="G246" s="3">
        <f t="shared" si="3"/>
        <v>0</v>
      </c>
      <c r="H246" t="s">
        <v>488</v>
      </c>
      <c r="I246" s="3">
        <f>D246/(VLOOKUP(B246,'2023 Team'!$B$2:$G$33,3,FALSE))</f>
        <v>8.356545961002786E-3</v>
      </c>
    </row>
    <row r="247" spans="1:9" x14ac:dyDescent="0.25">
      <c r="A247" t="s">
        <v>1728</v>
      </c>
      <c r="B247" t="s">
        <v>40</v>
      </c>
      <c r="C247" t="s">
        <v>163</v>
      </c>
      <c r="D247" t="s">
        <v>314</v>
      </c>
      <c r="E247" t="s">
        <v>202</v>
      </c>
      <c r="F247" t="s">
        <v>417</v>
      </c>
      <c r="G247" s="3">
        <f t="shared" si="3"/>
        <v>0</v>
      </c>
      <c r="H247" t="s">
        <v>389</v>
      </c>
      <c r="I247" s="3">
        <f>D247/(VLOOKUP(B247,'2023 Team'!$B$2:$G$33,3,FALSE))</f>
        <v>7.2639225181598066E-3</v>
      </c>
    </row>
    <row r="248" spans="1:9" x14ac:dyDescent="0.25">
      <c r="A248" t="s">
        <v>693</v>
      </c>
      <c r="B248" t="s">
        <v>20</v>
      </c>
      <c r="C248" t="s">
        <v>163</v>
      </c>
      <c r="D248" t="s">
        <v>314</v>
      </c>
      <c r="E248" t="s">
        <v>1545</v>
      </c>
      <c r="F248" t="s">
        <v>417</v>
      </c>
      <c r="G248" s="3">
        <f t="shared" si="3"/>
        <v>0</v>
      </c>
      <c r="H248" t="s">
        <v>768</v>
      </c>
      <c r="I248" s="3">
        <f>D248/(VLOOKUP(B248,'2023 Team'!$B$2:$G$33,3,FALSE))</f>
        <v>7.832898172323759E-3</v>
      </c>
    </row>
    <row r="249" spans="1:9" x14ac:dyDescent="0.25">
      <c r="A249" t="s">
        <v>1573</v>
      </c>
      <c r="B249" t="s">
        <v>30</v>
      </c>
      <c r="C249" t="s">
        <v>82</v>
      </c>
      <c r="D249" t="s">
        <v>314</v>
      </c>
      <c r="E249" t="s">
        <v>649</v>
      </c>
      <c r="F249" t="s">
        <v>417</v>
      </c>
      <c r="G249" s="3">
        <f t="shared" si="3"/>
        <v>0</v>
      </c>
      <c r="H249" t="s">
        <v>584</v>
      </c>
      <c r="I249" s="3">
        <f>D249/(VLOOKUP(B249,'2023 Team'!$B$2:$G$33,3,FALSE))</f>
        <v>6.8027210884353739E-3</v>
      </c>
    </row>
    <row r="250" spans="1:9" x14ac:dyDescent="0.25">
      <c r="A250" t="s">
        <v>140</v>
      </c>
      <c r="B250" t="s">
        <v>16</v>
      </c>
      <c r="C250" t="s">
        <v>82</v>
      </c>
      <c r="D250" t="s">
        <v>314</v>
      </c>
      <c r="E250" t="s">
        <v>198</v>
      </c>
      <c r="F250" t="s">
        <v>417</v>
      </c>
      <c r="G250" s="3">
        <f t="shared" si="3"/>
        <v>0</v>
      </c>
      <c r="H250" t="s">
        <v>235</v>
      </c>
      <c r="I250" s="3">
        <f>D250/(VLOOKUP(B250,'2023 Team'!$B$2:$G$33,3,FALSE))</f>
        <v>6.7415730337078653E-3</v>
      </c>
    </row>
    <row r="251" spans="1:9" x14ac:dyDescent="0.25">
      <c r="A251" t="s">
        <v>1729</v>
      </c>
      <c r="B251" t="s">
        <v>42</v>
      </c>
      <c r="C251" t="s">
        <v>153</v>
      </c>
      <c r="D251" t="s">
        <v>314</v>
      </c>
      <c r="E251" t="s">
        <v>211</v>
      </c>
      <c r="F251" t="s">
        <v>417</v>
      </c>
      <c r="G251" s="3">
        <f t="shared" si="3"/>
        <v>0</v>
      </c>
      <c r="H251" t="s">
        <v>409</v>
      </c>
      <c r="I251" s="3">
        <f>D251/(VLOOKUP(B251,'2023 Team'!$B$2:$G$33,3,FALSE))</f>
        <v>6.9605568445475635E-3</v>
      </c>
    </row>
    <row r="252" spans="1:9" x14ac:dyDescent="0.25">
      <c r="A252" t="s">
        <v>1730</v>
      </c>
      <c r="B252" t="s">
        <v>70</v>
      </c>
      <c r="C252" t="s">
        <v>159</v>
      </c>
      <c r="D252" t="s">
        <v>314</v>
      </c>
      <c r="E252" t="s">
        <v>507</v>
      </c>
      <c r="F252" t="s">
        <v>417</v>
      </c>
      <c r="G252" s="3">
        <f t="shared" ref="G252:G313" si="4">F252/D252</f>
        <v>0</v>
      </c>
      <c r="H252" t="s">
        <v>1381</v>
      </c>
      <c r="I252" s="3">
        <f>D252/(VLOOKUP(B252,'2023 Team'!$B$2:$G$33,3,FALSE))</f>
        <v>8.356545961002786E-3</v>
      </c>
    </row>
    <row r="253" spans="1:9" x14ac:dyDescent="0.25">
      <c r="A253" t="s">
        <v>1567</v>
      </c>
      <c r="B253" t="s">
        <v>40</v>
      </c>
      <c r="C253" t="s">
        <v>82</v>
      </c>
      <c r="D253" t="s">
        <v>314</v>
      </c>
      <c r="E253" t="s">
        <v>687</v>
      </c>
      <c r="F253" t="s">
        <v>417</v>
      </c>
      <c r="G253" s="3">
        <f t="shared" si="4"/>
        <v>0</v>
      </c>
      <c r="H253" t="s">
        <v>652</v>
      </c>
      <c r="I253" s="3">
        <f>D253/(VLOOKUP(B253,'2023 Team'!$B$2:$G$33,3,FALSE))</f>
        <v>7.2639225181598066E-3</v>
      </c>
    </row>
    <row r="254" spans="1:9" x14ac:dyDescent="0.25">
      <c r="A254" t="s">
        <v>715</v>
      </c>
      <c r="B254" t="s">
        <v>42</v>
      </c>
      <c r="C254" t="s">
        <v>163</v>
      </c>
      <c r="D254" t="s">
        <v>314</v>
      </c>
      <c r="E254" t="s">
        <v>270</v>
      </c>
      <c r="F254" t="s">
        <v>417</v>
      </c>
      <c r="G254" s="3">
        <f t="shared" si="4"/>
        <v>0</v>
      </c>
      <c r="H254" t="s">
        <v>502</v>
      </c>
      <c r="I254" s="3">
        <f>D254/(VLOOKUP(B254,'2023 Team'!$B$2:$G$33,3,FALSE))</f>
        <v>6.9605568445475635E-3</v>
      </c>
    </row>
    <row r="255" spans="1:9" x14ac:dyDescent="0.25">
      <c r="A255" t="s">
        <v>168</v>
      </c>
      <c r="B255" t="s">
        <v>18</v>
      </c>
      <c r="C255" t="s">
        <v>153</v>
      </c>
      <c r="D255" t="s">
        <v>314</v>
      </c>
      <c r="E255" t="s">
        <v>289</v>
      </c>
      <c r="F255" t="s">
        <v>417</v>
      </c>
      <c r="G255" s="3">
        <f t="shared" si="4"/>
        <v>0</v>
      </c>
      <c r="H255" t="s">
        <v>601</v>
      </c>
      <c r="I255" s="3">
        <f>D255/(VLOOKUP(B255,'2023 Team'!$B$2:$G$33,3,FALSE))</f>
        <v>5.6179775280898875E-3</v>
      </c>
    </row>
    <row r="256" spans="1:9" x14ac:dyDescent="0.25">
      <c r="A256" t="s">
        <v>407</v>
      </c>
      <c r="B256" t="s">
        <v>28</v>
      </c>
      <c r="C256" t="s">
        <v>159</v>
      </c>
      <c r="D256" t="s">
        <v>314</v>
      </c>
      <c r="E256" t="s">
        <v>234</v>
      </c>
      <c r="F256" t="s">
        <v>417</v>
      </c>
      <c r="G256" s="3">
        <f t="shared" si="4"/>
        <v>0</v>
      </c>
      <c r="H256" t="s">
        <v>239</v>
      </c>
      <c r="I256" s="3">
        <f>D256/(VLOOKUP(B256,'2023 Team'!$B$2:$G$33,3,FALSE))</f>
        <v>6.0000000000000001E-3</v>
      </c>
    </row>
    <row r="257" spans="1:9" x14ac:dyDescent="0.25">
      <c r="A257" t="s">
        <v>806</v>
      </c>
      <c r="B257" t="s">
        <v>62</v>
      </c>
      <c r="C257" t="s">
        <v>163</v>
      </c>
      <c r="D257" t="s">
        <v>314</v>
      </c>
      <c r="E257" t="s">
        <v>639</v>
      </c>
      <c r="F257" t="s">
        <v>417</v>
      </c>
      <c r="G257" s="3">
        <f t="shared" si="4"/>
        <v>0</v>
      </c>
      <c r="H257" t="s">
        <v>662</v>
      </c>
      <c r="I257" s="3">
        <f>D257/(VLOOKUP(B257,'2023 Team'!$B$2:$G$33,3,FALSE))</f>
        <v>6.0120240480961923E-3</v>
      </c>
    </row>
    <row r="258" spans="1:9" x14ac:dyDescent="0.25">
      <c r="A258" t="s">
        <v>1731</v>
      </c>
      <c r="B258" t="s">
        <v>34</v>
      </c>
      <c r="C258" t="s">
        <v>163</v>
      </c>
      <c r="D258" t="s">
        <v>314</v>
      </c>
      <c r="E258" t="s">
        <v>344</v>
      </c>
      <c r="F258" t="s">
        <v>417</v>
      </c>
      <c r="G258" s="3">
        <f t="shared" si="4"/>
        <v>0</v>
      </c>
      <c r="H258" t="s">
        <v>362</v>
      </c>
      <c r="I258" s="3">
        <f>D258/(VLOOKUP(B258,'2023 Team'!$B$2:$G$33,3,FALSE))</f>
        <v>6.2630480167014616E-3</v>
      </c>
    </row>
    <row r="259" spans="1:9" x14ac:dyDescent="0.25">
      <c r="A259" t="s">
        <v>646</v>
      </c>
      <c r="B259" t="s">
        <v>30</v>
      </c>
      <c r="C259" t="s">
        <v>163</v>
      </c>
      <c r="D259" t="s">
        <v>314</v>
      </c>
      <c r="E259" t="s">
        <v>528</v>
      </c>
      <c r="F259" t="s">
        <v>417</v>
      </c>
      <c r="G259" s="3">
        <f t="shared" si="4"/>
        <v>0</v>
      </c>
      <c r="H259" t="s">
        <v>648</v>
      </c>
      <c r="I259" s="3">
        <f>D259/(VLOOKUP(B259,'2023 Team'!$B$2:$G$33,3,FALSE))</f>
        <v>6.8027210884353739E-3</v>
      </c>
    </row>
    <row r="260" spans="1:9" x14ac:dyDescent="0.25">
      <c r="A260" t="s">
        <v>1732</v>
      </c>
      <c r="B260" t="s">
        <v>50</v>
      </c>
      <c r="C260" t="s">
        <v>159</v>
      </c>
      <c r="D260" t="s">
        <v>314</v>
      </c>
      <c r="E260" t="s">
        <v>270</v>
      </c>
      <c r="F260" t="s">
        <v>417</v>
      </c>
      <c r="G260" s="3">
        <f t="shared" si="4"/>
        <v>0</v>
      </c>
      <c r="H260" t="s">
        <v>502</v>
      </c>
      <c r="I260" s="3">
        <f>D260/(VLOOKUP(B260,'2023 Team'!$B$2:$G$33,3,FALSE))</f>
        <v>7.2289156626506026E-3</v>
      </c>
    </row>
    <row r="261" spans="1:9" x14ac:dyDescent="0.25">
      <c r="A261" t="s">
        <v>720</v>
      </c>
      <c r="B261" t="s">
        <v>38</v>
      </c>
      <c r="C261" t="s">
        <v>163</v>
      </c>
      <c r="D261" t="s">
        <v>314</v>
      </c>
      <c r="E261" t="s">
        <v>510</v>
      </c>
      <c r="F261" t="s">
        <v>417</v>
      </c>
      <c r="G261" s="3">
        <f t="shared" si="4"/>
        <v>0</v>
      </c>
      <c r="H261" t="s">
        <v>1489</v>
      </c>
      <c r="I261" s="3">
        <f>D261/(VLOOKUP(B261,'2023 Team'!$B$2:$G$33,3,FALSE))</f>
        <v>7.1942446043165471E-3</v>
      </c>
    </row>
    <row r="262" spans="1:9" x14ac:dyDescent="0.25">
      <c r="A262" t="s">
        <v>1733</v>
      </c>
      <c r="B262" t="s">
        <v>28</v>
      </c>
      <c r="C262" t="s">
        <v>159</v>
      </c>
      <c r="D262" t="s">
        <v>314</v>
      </c>
      <c r="E262" t="s">
        <v>220</v>
      </c>
      <c r="F262" t="s">
        <v>417</v>
      </c>
      <c r="G262" s="3">
        <f t="shared" si="4"/>
        <v>0</v>
      </c>
      <c r="H262" t="s">
        <v>478</v>
      </c>
      <c r="I262" s="3">
        <f>D262/(VLOOKUP(B262,'2023 Team'!$B$2:$G$33,3,FALSE))</f>
        <v>6.0000000000000001E-3</v>
      </c>
    </row>
    <row r="263" spans="1:9" x14ac:dyDescent="0.25">
      <c r="A263" t="s">
        <v>1734</v>
      </c>
      <c r="B263" t="s">
        <v>66</v>
      </c>
      <c r="C263" t="s">
        <v>163</v>
      </c>
      <c r="D263" t="s">
        <v>314</v>
      </c>
      <c r="E263" t="s">
        <v>514</v>
      </c>
      <c r="F263" t="s">
        <v>417</v>
      </c>
      <c r="G263" s="3">
        <f t="shared" si="4"/>
        <v>0</v>
      </c>
      <c r="H263" t="s">
        <v>691</v>
      </c>
      <c r="I263" s="3">
        <f>D263/(VLOOKUP(B263,'2023 Team'!$B$2:$G$33,3,FALSE))</f>
        <v>6.8337129840546698E-3</v>
      </c>
    </row>
    <row r="264" spans="1:9" x14ac:dyDescent="0.25">
      <c r="A264" t="s">
        <v>859</v>
      </c>
      <c r="B264" t="s">
        <v>60</v>
      </c>
      <c r="C264" t="s">
        <v>163</v>
      </c>
      <c r="D264" t="s">
        <v>314</v>
      </c>
      <c r="E264" t="s">
        <v>202</v>
      </c>
      <c r="F264" t="s">
        <v>417</v>
      </c>
      <c r="G264" s="3">
        <f t="shared" si="4"/>
        <v>0</v>
      </c>
      <c r="H264" t="s">
        <v>389</v>
      </c>
      <c r="I264" s="3">
        <f>D264/(VLOOKUP(B264,'2023 Team'!$B$2:$G$33,3,FALSE))</f>
        <v>6.1601642710472282E-3</v>
      </c>
    </row>
    <row r="265" spans="1:9" x14ac:dyDescent="0.25">
      <c r="A265" t="s">
        <v>183</v>
      </c>
      <c r="B265" t="s">
        <v>44</v>
      </c>
      <c r="C265" t="s">
        <v>82</v>
      </c>
      <c r="D265" t="s">
        <v>314</v>
      </c>
      <c r="E265" t="s">
        <v>541</v>
      </c>
      <c r="F265" t="s">
        <v>417</v>
      </c>
      <c r="G265" s="3">
        <f t="shared" si="4"/>
        <v>0</v>
      </c>
      <c r="H265" t="s">
        <v>488</v>
      </c>
      <c r="I265" s="3">
        <f>D265/(VLOOKUP(B265,'2023 Team'!$B$2:$G$33,3,FALSE))</f>
        <v>6.2893081761006293E-3</v>
      </c>
    </row>
    <row r="266" spans="1:9" x14ac:dyDescent="0.25">
      <c r="A266" t="s">
        <v>913</v>
      </c>
      <c r="B266" t="s">
        <v>50</v>
      </c>
      <c r="C266" t="s">
        <v>163</v>
      </c>
      <c r="D266" t="s">
        <v>314</v>
      </c>
      <c r="E266" t="s">
        <v>582</v>
      </c>
      <c r="F266" t="s">
        <v>417</v>
      </c>
      <c r="G266" s="3">
        <f t="shared" si="4"/>
        <v>0</v>
      </c>
      <c r="H266" t="s">
        <v>1541</v>
      </c>
      <c r="I266" s="3">
        <f>D266/(VLOOKUP(B266,'2023 Team'!$B$2:$G$33,3,FALSE))</f>
        <v>7.2289156626506026E-3</v>
      </c>
    </row>
    <row r="267" spans="1:9" x14ac:dyDescent="0.25">
      <c r="A267" t="s">
        <v>175</v>
      </c>
      <c r="B267" t="s">
        <v>46</v>
      </c>
      <c r="C267" t="s">
        <v>163</v>
      </c>
      <c r="D267" t="s">
        <v>314</v>
      </c>
      <c r="E267" t="s">
        <v>198</v>
      </c>
      <c r="F267" t="s">
        <v>417</v>
      </c>
      <c r="G267" s="3">
        <f t="shared" si="4"/>
        <v>0</v>
      </c>
      <c r="H267" t="s">
        <v>235</v>
      </c>
      <c r="I267" s="3">
        <f>D267/(VLOOKUP(B267,'2023 Team'!$B$2:$G$33,3,FALSE))</f>
        <v>6.5789473684210523E-3</v>
      </c>
    </row>
    <row r="268" spans="1:9" x14ac:dyDescent="0.25">
      <c r="A268" t="s">
        <v>1735</v>
      </c>
      <c r="B268" t="s">
        <v>68</v>
      </c>
      <c r="C268" t="s">
        <v>159</v>
      </c>
      <c r="D268" t="s">
        <v>314</v>
      </c>
      <c r="E268" t="s">
        <v>266</v>
      </c>
      <c r="F268" t="s">
        <v>417</v>
      </c>
      <c r="G268" s="3">
        <f t="shared" si="4"/>
        <v>0</v>
      </c>
      <c r="H268" t="s">
        <v>221</v>
      </c>
      <c r="I268" s="3">
        <f>D268/(VLOOKUP(B268,'2023 Team'!$B$2:$G$33,3,FALSE))</f>
        <v>6.7567567567567571E-3</v>
      </c>
    </row>
    <row r="269" spans="1:9" x14ac:dyDescent="0.25">
      <c r="A269" t="s">
        <v>642</v>
      </c>
      <c r="B269" t="s">
        <v>28</v>
      </c>
      <c r="C269" t="s">
        <v>163</v>
      </c>
      <c r="D269" t="s">
        <v>314</v>
      </c>
      <c r="E269" t="s">
        <v>503</v>
      </c>
      <c r="F269" t="s">
        <v>300</v>
      </c>
      <c r="G269" s="3">
        <f t="shared" si="4"/>
        <v>0.33333333333333331</v>
      </c>
      <c r="H269" t="s">
        <v>1233</v>
      </c>
      <c r="I269" s="3">
        <f>D269/(VLOOKUP(B269,'2023 Team'!$B$2:$G$33,3,FALSE))</f>
        <v>6.0000000000000001E-3</v>
      </c>
    </row>
    <row r="270" spans="1:9" x14ac:dyDescent="0.25">
      <c r="A270" t="s">
        <v>916</v>
      </c>
      <c r="B270" t="s">
        <v>42</v>
      </c>
      <c r="C270" t="s">
        <v>163</v>
      </c>
      <c r="D270" t="s">
        <v>289</v>
      </c>
      <c r="E270" t="s">
        <v>247</v>
      </c>
      <c r="F270" t="s">
        <v>417</v>
      </c>
      <c r="G270" s="3">
        <f t="shared" si="4"/>
        <v>0</v>
      </c>
      <c r="H270" t="s">
        <v>502</v>
      </c>
      <c r="I270" s="3">
        <f>D270/(VLOOKUP(B270,'2023 Team'!$B$2:$G$33,3,FALSE))</f>
        <v>4.6403712296983757E-3</v>
      </c>
    </row>
    <row r="271" spans="1:9" x14ac:dyDescent="0.25">
      <c r="A271" t="s">
        <v>1736</v>
      </c>
      <c r="B271" t="s">
        <v>56</v>
      </c>
      <c r="C271" t="s">
        <v>613</v>
      </c>
      <c r="D271" t="s">
        <v>289</v>
      </c>
      <c r="E271" t="s">
        <v>229</v>
      </c>
      <c r="F271" t="s">
        <v>300</v>
      </c>
      <c r="G271" s="3">
        <f t="shared" si="4"/>
        <v>0.5</v>
      </c>
      <c r="H271" t="s">
        <v>643</v>
      </c>
      <c r="I271" s="3">
        <f>D271/(VLOOKUP(B271,'2023 Team'!$B$2:$G$33,3,FALSE))</f>
        <v>5.1546391752577319E-3</v>
      </c>
    </row>
    <row r="272" spans="1:9" x14ac:dyDescent="0.25">
      <c r="A272" t="s">
        <v>1582</v>
      </c>
      <c r="B272" t="s">
        <v>20</v>
      </c>
      <c r="C272" t="s">
        <v>163</v>
      </c>
      <c r="D272" t="s">
        <v>289</v>
      </c>
      <c r="E272" t="s">
        <v>266</v>
      </c>
      <c r="F272" t="s">
        <v>417</v>
      </c>
      <c r="G272" s="3">
        <f t="shared" si="4"/>
        <v>0</v>
      </c>
      <c r="H272" t="s">
        <v>445</v>
      </c>
      <c r="I272" s="3">
        <f>D272/(VLOOKUP(B272,'2023 Team'!$B$2:$G$33,3,FALSE))</f>
        <v>5.2219321148825066E-3</v>
      </c>
    </row>
    <row r="273" spans="1:9" x14ac:dyDescent="0.25">
      <c r="A273" t="s">
        <v>147</v>
      </c>
      <c r="B273" t="s">
        <v>28</v>
      </c>
      <c r="C273" t="s">
        <v>82</v>
      </c>
      <c r="D273" t="s">
        <v>289</v>
      </c>
      <c r="E273" t="s">
        <v>649</v>
      </c>
      <c r="F273" t="s">
        <v>417</v>
      </c>
      <c r="G273" s="3">
        <f t="shared" si="4"/>
        <v>0</v>
      </c>
      <c r="H273" t="s">
        <v>652</v>
      </c>
      <c r="I273" s="3">
        <f>D273/(VLOOKUP(B273,'2023 Team'!$B$2:$G$33,3,FALSE))</f>
        <v>4.0000000000000001E-3</v>
      </c>
    </row>
    <row r="274" spans="1:9" x14ac:dyDescent="0.25">
      <c r="A274" t="s">
        <v>907</v>
      </c>
      <c r="B274" t="s">
        <v>8</v>
      </c>
      <c r="C274" t="s">
        <v>163</v>
      </c>
      <c r="D274" t="s">
        <v>289</v>
      </c>
      <c r="E274" t="s">
        <v>510</v>
      </c>
      <c r="F274" t="s">
        <v>417</v>
      </c>
      <c r="G274" s="3">
        <f t="shared" si="4"/>
        <v>0</v>
      </c>
      <c r="H274" t="s">
        <v>1181</v>
      </c>
      <c r="I274" s="3">
        <f>D274/(VLOOKUP(B274,'2023 Team'!$B$2:$G$33,3,FALSE))</f>
        <v>4.246284501061571E-3</v>
      </c>
    </row>
    <row r="275" spans="1:9" x14ac:dyDescent="0.25">
      <c r="A275" t="s">
        <v>1737</v>
      </c>
      <c r="B275" t="s">
        <v>56</v>
      </c>
      <c r="C275" t="s">
        <v>755</v>
      </c>
      <c r="D275" t="s">
        <v>289</v>
      </c>
      <c r="E275" t="s">
        <v>314</v>
      </c>
      <c r="F275" t="s">
        <v>417</v>
      </c>
      <c r="G275" s="3">
        <f t="shared" si="4"/>
        <v>0</v>
      </c>
      <c r="H275" t="s">
        <v>575</v>
      </c>
      <c r="I275" s="3">
        <f>D275/(VLOOKUP(B275,'2023 Team'!$B$2:$G$33,3,FALSE))</f>
        <v>5.1546391752577319E-3</v>
      </c>
    </row>
    <row r="276" spans="1:9" x14ac:dyDescent="0.25">
      <c r="A276" t="s">
        <v>942</v>
      </c>
      <c r="B276" t="s">
        <v>64</v>
      </c>
      <c r="C276" t="s">
        <v>163</v>
      </c>
      <c r="D276" t="s">
        <v>289</v>
      </c>
      <c r="E276" t="s">
        <v>220</v>
      </c>
      <c r="F276" t="s">
        <v>417</v>
      </c>
      <c r="G276" s="3">
        <f t="shared" si="4"/>
        <v>0</v>
      </c>
      <c r="H276" t="s">
        <v>498</v>
      </c>
      <c r="I276" s="3">
        <f>D276/(VLOOKUP(B276,'2023 Team'!$B$2:$G$33,3,FALSE))</f>
        <v>5.235602094240838E-3</v>
      </c>
    </row>
    <row r="277" spans="1:9" x14ac:dyDescent="0.25">
      <c r="A277" t="s">
        <v>1738</v>
      </c>
      <c r="B277" t="s">
        <v>20</v>
      </c>
      <c r="C277" t="s">
        <v>159</v>
      </c>
      <c r="D277" t="s">
        <v>289</v>
      </c>
      <c r="E277" t="s">
        <v>198</v>
      </c>
      <c r="F277" t="s">
        <v>417</v>
      </c>
      <c r="G277" s="3">
        <f t="shared" si="4"/>
        <v>0</v>
      </c>
      <c r="H277" t="s">
        <v>389</v>
      </c>
      <c r="I277" s="3">
        <f>D277/(VLOOKUP(B277,'2023 Team'!$B$2:$G$33,3,FALSE))</f>
        <v>5.2219321148825066E-3</v>
      </c>
    </row>
    <row r="278" spans="1:9" x14ac:dyDescent="0.25">
      <c r="A278" t="s">
        <v>1739</v>
      </c>
      <c r="B278" t="s">
        <v>34</v>
      </c>
      <c r="C278" t="s">
        <v>159</v>
      </c>
      <c r="D278" t="s">
        <v>289</v>
      </c>
      <c r="E278" t="s">
        <v>211</v>
      </c>
      <c r="F278" t="s">
        <v>417</v>
      </c>
      <c r="G278" s="3">
        <f t="shared" si="4"/>
        <v>0</v>
      </c>
      <c r="H278" t="s">
        <v>258</v>
      </c>
      <c r="I278" s="3">
        <f>D278/(VLOOKUP(B278,'2023 Team'!$B$2:$G$33,3,FALSE))</f>
        <v>4.1753653444676405E-3</v>
      </c>
    </row>
    <row r="279" spans="1:9" x14ac:dyDescent="0.25">
      <c r="A279" t="s">
        <v>813</v>
      </c>
      <c r="B279" t="s">
        <v>68</v>
      </c>
      <c r="C279" t="s">
        <v>163</v>
      </c>
      <c r="D279" t="s">
        <v>289</v>
      </c>
      <c r="E279" t="s">
        <v>270</v>
      </c>
      <c r="F279" t="s">
        <v>417</v>
      </c>
      <c r="G279" s="3">
        <f t="shared" si="4"/>
        <v>0</v>
      </c>
      <c r="H279" t="s">
        <v>255</v>
      </c>
      <c r="I279" s="3">
        <f>D279/(VLOOKUP(B279,'2023 Team'!$B$2:$G$33,3,FALSE))</f>
        <v>4.5045045045045045E-3</v>
      </c>
    </row>
    <row r="280" spans="1:9" x14ac:dyDescent="0.25">
      <c r="A280" t="s">
        <v>695</v>
      </c>
      <c r="B280" t="s">
        <v>46</v>
      </c>
      <c r="C280" t="s">
        <v>613</v>
      </c>
      <c r="D280" t="s">
        <v>289</v>
      </c>
      <c r="E280" t="s">
        <v>417</v>
      </c>
      <c r="F280" t="s">
        <v>417</v>
      </c>
      <c r="G280" s="3">
        <f t="shared" si="4"/>
        <v>0</v>
      </c>
      <c r="H280" t="s">
        <v>504</v>
      </c>
      <c r="I280" s="3">
        <f>D280/(VLOOKUP(B280,'2023 Team'!$B$2:$G$33,3,FALSE))</f>
        <v>4.3859649122807015E-3</v>
      </c>
    </row>
    <row r="281" spans="1:9" x14ac:dyDescent="0.25">
      <c r="A281" t="s">
        <v>848</v>
      </c>
      <c r="B281" t="s">
        <v>20</v>
      </c>
      <c r="C281" t="s">
        <v>163</v>
      </c>
      <c r="D281" t="s">
        <v>289</v>
      </c>
      <c r="E281" t="s">
        <v>234</v>
      </c>
      <c r="F281" t="s">
        <v>417</v>
      </c>
      <c r="G281" s="3">
        <f t="shared" si="4"/>
        <v>0</v>
      </c>
      <c r="H281" t="s">
        <v>539</v>
      </c>
      <c r="I281" s="3">
        <f>D281/(VLOOKUP(B281,'2023 Team'!$B$2:$G$33,3,FALSE))</f>
        <v>5.2219321148825066E-3</v>
      </c>
    </row>
    <row r="282" spans="1:9" x14ac:dyDescent="0.25">
      <c r="A282" t="s">
        <v>1566</v>
      </c>
      <c r="B282" t="s">
        <v>32</v>
      </c>
      <c r="C282" t="s">
        <v>82</v>
      </c>
      <c r="D282" t="s">
        <v>289</v>
      </c>
      <c r="E282" t="s">
        <v>300</v>
      </c>
      <c r="F282" t="s">
        <v>417</v>
      </c>
      <c r="G282" s="3">
        <f t="shared" si="4"/>
        <v>0</v>
      </c>
      <c r="H282" t="s">
        <v>565</v>
      </c>
      <c r="I282" s="3">
        <f>D282/(VLOOKUP(B282,'2023 Team'!$B$2:$G$33,3,FALSE))</f>
        <v>4.5045045045045045E-3</v>
      </c>
    </row>
    <row r="283" spans="1:9" x14ac:dyDescent="0.25">
      <c r="A283" t="s">
        <v>122</v>
      </c>
      <c r="B283" t="s">
        <v>32</v>
      </c>
      <c r="C283" t="s">
        <v>82</v>
      </c>
      <c r="D283" t="s">
        <v>289</v>
      </c>
      <c r="E283" t="s">
        <v>270</v>
      </c>
      <c r="F283" t="s">
        <v>417</v>
      </c>
      <c r="G283" s="3">
        <f t="shared" si="4"/>
        <v>0</v>
      </c>
      <c r="H283" t="s">
        <v>255</v>
      </c>
      <c r="I283" s="3">
        <f>D283/(VLOOKUP(B283,'2023 Team'!$B$2:$G$33,3,FALSE))</f>
        <v>4.5045045045045045E-3</v>
      </c>
    </row>
    <row r="284" spans="1:9" x14ac:dyDescent="0.25">
      <c r="A284" t="s">
        <v>807</v>
      </c>
      <c r="B284" t="s">
        <v>18</v>
      </c>
      <c r="C284" t="s">
        <v>163</v>
      </c>
      <c r="D284" t="s">
        <v>289</v>
      </c>
      <c r="E284" t="s">
        <v>220</v>
      </c>
      <c r="F284" t="s">
        <v>417</v>
      </c>
      <c r="G284" s="3">
        <f t="shared" si="4"/>
        <v>0</v>
      </c>
      <c r="H284" t="s">
        <v>498</v>
      </c>
      <c r="I284" s="3">
        <f>D284/(VLOOKUP(B284,'2023 Team'!$B$2:$G$33,3,FALSE))</f>
        <v>3.7453183520599251E-3</v>
      </c>
    </row>
    <row r="285" spans="1:9" x14ac:dyDescent="0.25">
      <c r="A285" t="s">
        <v>731</v>
      </c>
      <c r="B285" t="s">
        <v>68</v>
      </c>
      <c r="C285" t="s">
        <v>163</v>
      </c>
      <c r="D285" t="s">
        <v>289</v>
      </c>
      <c r="E285" t="s">
        <v>470</v>
      </c>
      <c r="F285" t="s">
        <v>417</v>
      </c>
      <c r="G285" s="3">
        <f t="shared" si="4"/>
        <v>0</v>
      </c>
      <c r="H285" t="s">
        <v>1740</v>
      </c>
      <c r="I285" s="3">
        <f>D285/(VLOOKUP(B285,'2023 Team'!$B$2:$G$33,3,FALSE))</f>
        <v>4.5045045045045045E-3</v>
      </c>
    </row>
    <row r="286" spans="1:9" x14ac:dyDescent="0.25">
      <c r="A286" t="s">
        <v>1034</v>
      </c>
      <c r="B286" t="s">
        <v>68</v>
      </c>
      <c r="C286" t="s">
        <v>153</v>
      </c>
      <c r="D286" t="s">
        <v>289</v>
      </c>
      <c r="E286" t="s">
        <v>247</v>
      </c>
      <c r="F286" t="s">
        <v>417</v>
      </c>
      <c r="G286" s="3">
        <f t="shared" si="4"/>
        <v>0</v>
      </c>
      <c r="H286" t="s">
        <v>502</v>
      </c>
      <c r="I286" s="3">
        <f>D286/(VLOOKUP(B286,'2023 Team'!$B$2:$G$33,3,FALSE))</f>
        <v>4.5045045045045045E-3</v>
      </c>
    </row>
    <row r="287" spans="1:9" x14ac:dyDescent="0.25">
      <c r="A287" t="s">
        <v>1585</v>
      </c>
      <c r="B287" t="s">
        <v>18</v>
      </c>
      <c r="C287" t="s">
        <v>82</v>
      </c>
      <c r="D287" t="s">
        <v>289</v>
      </c>
      <c r="E287" t="s">
        <v>651</v>
      </c>
      <c r="F287" t="s">
        <v>417</v>
      </c>
      <c r="G287" s="3">
        <f t="shared" si="4"/>
        <v>0</v>
      </c>
      <c r="H287" t="s">
        <v>768</v>
      </c>
      <c r="I287" s="3">
        <f>D287/(VLOOKUP(B287,'2023 Team'!$B$2:$G$33,3,FALSE))</f>
        <v>3.7453183520599251E-3</v>
      </c>
    </row>
    <row r="288" spans="1:9" x14ac:dyDescent="0.25">
      <c r="A288" t="s">
        <v>612</v>
      </c>
      <c r="B288" t="s">
        <v>52</v>
      </c>
      <c r="C288" t="s">
        <v>613</v>
      </c>
      <c r="D288" t="s">
        <v>289</v>
      </c>
      <c r="E288" t="s">
        <v>198</v>
      </c>
      <c r="F288" t="s">
        <v>417</v>
      </c>
      <c r="G288" s="3">
        <f t="shared" si="4"/>
        <v>0</v>
      </c>
      <c r="H288" t="s">
        <v>389</v>
      </c>
      <c r="I288" s="3">
        <f>D288/(VLOOKUP(B288,'2023 Team'!$B$2:$G$33,3,FALSE))</f>
        <v>4.1666666666666666E-3</v>
      </c>
    </row>
    <row r="289" spans="1:9" x14ac:dyDescent="0.25">
      <c r="A289" t="s">
        <v>1574</v>
      </c>
      <c r="B289" t="s">
        <v>28</v>
      </c>
      <c r="C289" t="s">
        <v>186</v>
      </c>
      <c r="D289" t="s">
        <v>289</v>
      </c>
      <c r="E289" t="s">
        <v>314</v>
      </c>
      <c r="F289" t="s">
        <v>417</v>
      </c>
      <c r="G289" s="3">
        <f t="shared" si="4"/>
        <v>0</v>
      </c>
      <c r="H289" t="s">
        <v>575</v>
      </c>
      <c r="I289" s="3">
        <f>D289/(VLOOKUP(B289,'2023 Team'!$B$2:$G$33,3,FALSE))</f>
        <v>4.0000000000000001E-3</v>
      </c>
    </row>
    <row r="290" spans="1:9" x14ac:dyDescent="0.25">
      <c r="A290" t="s">
        <v>1002</v>
      </c>
      <c r="B290" t="s">
        <v>44</v>
      </c>
      <c r="C290" t="s">
        <v>163</v>
      </c>
      <c r="D290" t="s">
        <v>289</v>
      </c>
      <c r="E290" t="s">
        <v>270</v>
      </c>
      <c r="F290" t="s">
        <v>417</v>
      </c>
      <c r="G290" s="3">
        <f t="shared" si="4"/>
        <v>0</v>
      </c>
      <c r="H290" t="s">
        <v>255</v>
      </c>
      <c r="I290" s="3">
        <f>D290/(VLOOKUP(B290,'2023 Team'!$B$2:$G$33,3,FALSE))</f>
        <v>4.1928721174004195E-3</v>
      </c>
    </row>
    <row r="291" spans="1:9" x14ac:dyDescent="0.25">
      <c r="A291" t="s">
        <v>1741</v>
      </c>
      <c r="B291" t="s">
        <v>12</v>
      </c>
      <c r="C291" t="s">
        <v>159</v>
      </c>
      <c r="D291" t="s">
        <v>300</v>
      </c>
      <c r="E291" t="s">
        <v>417</v>
      </c>
      <c r="F291" t="s">
        <v>417</v>
      </c>
      <c r="G291" s="3">
        <f t="shared" si="4"/>
        <v>0</v>
      </c>
      <c r="H291" t="s">
        <v>504</v>
      </c>
      <c r="I291" s="3">
        <f>D291/(VLOOKUP(B291,'2023 Team'!$B$2:$G$33,3,FALSE))</f>
        <v>1.8484288354898336E-3</v>
      </c>
    </row>
    <row r="292" spans="1:9" x14ac:dyDescent="0.25">
      <c r="A292" t="s">
        <v>1741</v>
      </c>
      <c r="B292" t="s">
        <v>30</v>
      </c>
      <c r="C292" t="s">
        <v>159</v>
      </c>
      <c r="D292" t="s">
        <v>300</v>
      </c>
      <c r="E292" t="s">
        <v>417</v>
      </c>
      <c r="F292" t="s">
        <v>417</v>
      </c>
      <c r="G292" s="3">
        <f t="shared" si="4"/>
        <v>0</v>
      </c>
      <c r="H292" t="s">
        <v>504</v>
      </c>
      <c r="I292" s="3">
        <f>D292/(VLOOKUP(B292,'2023 Team'!$B$2:$G$33,3,FALSE))</f>
        <v>2.2675736961451248E-3</v>
      </c>
    </row>
    <row r="293" spans="1:9" x14ac:dyDescent="0.25">
      <c r="A293" t="s">
        <v>697</v>
      </c>
      <c r="B293" t="s">
        <v>48</v>
      </c>
      <c r="C293" t="s">
        <v>163</v>
      </c>
      <c r="D293" t="s">
        <v>300</v>
      </c>
      <c r="E293" t="s">
        <v>289</v>
      </c>
      <c r="F293" t="s">
        <v>417</v>
      </c>
      <c r="G293" s="3">
        <f t="shared" si="4"/>
        <v>0</v>
      </c>
      <c r="H293" t="s">
        <v>643</v>
      </c>
      <c r="I293" s="3">
        <f>D293/(VLOOKUP(B293,'2023 Team'!$B$2:$G$33,3,FALSE))</f>
        <v>2.5445292620865142E-3</v>
      </c>
    </row>
    <row r="294" spans="1:9" x14ac:dyDescent="0.25">
      <c r="A294" t="s">
        <v>571</v>
      </c>
      <c r="B294" t="s">
        <v>12</v>
      </c>
      <c r="C294" t="s">
        <v>153</v>
      </c>
      <c r="D294" t="s">
        <v>300</v>
      </c>
      <c r="E294" t="s">
        <v>417</v>
      </c>
      <c r="F294" t="s">
        <v>417</v>
      </c>
      <c r="G294" s="3">
        <f t="shared" si="4"/>
        <v>0</v>
      </c>
      <c r="H294" t="s">
        <v>504</v>
      </c>
      <c r="I294" s="3">
        <f>D294/(VLOOKUP(B294,'2023 Team'!$B$2:$G$33,3,FALSE))</f>
        <v>1.8484288354898336E-3</v>
      </c>
    </row>
    <row r="295" spans="1:9" x14ac:dyDescent="0.25">
      <c r="A295" t="s">
        <v>812</v>
      </c>
      <c r="B295" t="s">
        <v>12</v>
      </c>
      <c r="C295" t="s">
        <v>163</v>
      </c>
      <c r="D295" t="s">
        <v>300</v>
      </c>
      <c r="E295" t="s">
        <v>202</v>
      </c>
      <c r="F295" t="s">
        <v>417</v>
      </c>
      <c r="G295" s="3">
        <f t="shared" si="4"/>
        <v>0</v>
      </c>
      <c r="H295" t="s">
        <v>1742</v>
      </c>
      <c r="I295" s="3">
        <f>D295/(VLOOKUP(B295,'2023 Team'!$B$2:$G$33,3,FALSE))</f>
        <v>1.8484288354898336E-3</v>
      </c>
    </row>
    <row r="296" spans="1:9" x14ac:dyDescent="0.25">
      <c r="A296" t="s">
        <v>885</v>
      </c>
      <c r="B296" t="s">
        <v>46</v>
      </c>
      <c r="C296" t="s">
        <v>163</v>
      </c>
      <c r="D296" t="s">
        <v>300</v>
      </c>
      <c r="E296" t="s">
        <v>266</v>
      </c>
      <c r="F296" t="s">
        <v>417</v>
      </c>
      <c r="G296" s="3">
        <f t="shared" si="4"/>
        <v>0</v>
      </c>
      <c r="H296" t="s">
        <v>779</v>
      </c>
      <c r="I296" s="3">
        <f>D296/(VLOOKUP(B296,'2023 Team'!$B$2:$G$33,3,FALSE))</f>
        <v>2.1929824561403508E-3</v>
      </c>
    </row>
    <row r="297" spans="1:9" x14ac:dyDescent="0.25">
      <c r="A297" t="s">
        <v>1007</v>
      </c>
      <c r="B297" t="s">
        <v>64</v>
      </c>
      <c r="C297" t="s">
        <v>163</v>
      </c>
      <c r="D297" t="s">
        <v>300</v>
      </c>
      <c r="E297" t="s">
        <v>314</v>
      </c>
      <c r="F297" t="s">
        <v>300</v>
      </c>
      <c r="G297" s="3">
        <f t="shared" si="4"/>
        <v>1</v>
      </c>
      <c r="H297" t="s">
        <v>502</v>
      </c>
      <c r="I297" s="3">
        <f>D297/(VLOOKUP(B297,'2023 Team'!$B$2:$G$33,3,FALSE))</f>
        <v>2.617801047120419E-3</v>
      </c>
    </row>
    <row r="298" spans="1:9" x14ac:dyDescent="0.25">
      <c r="A298" t="s">
        <v>1014</v>
      </c>
      <c r="B298" t="s">
        <v>50</v>
      </c>
      <c r="C298" t="s">
        <v>163</v>
      </c>
      <c r="D298" t="s">
        <v>300</v>
      </c>
      <c r="E298" t="s">
        <v>229</v>
      </c>
      <c r="F298" t="s">
        <v>417</v>
      </c>
      <c r="G298" s="3">
        <f t="shared" si="4"/>
        <v>0</v>
      </c>
      <c r="H298" t="s">
        <v>235</v>
      </c>
      <c r="I298" s="3">
        <f>D298/(VLOOKUP(B298,'2023 Team'!$B$2:$G$33,3,FALSE))</f>
        <v>2.4096385542168677E-3</v>
      </c>
    </row>
    <row r="299" spans="1:9" x14ac:dyDescent="0.25">
      <c r="A299" t="s">
        <v>638</v>
      </c>
      <c r="B299" t="s">
        <v>70</v>
      </c>
      <c r="C299" t="s">
        <v>163</v>
      </c>
      <c r="D299" t="s">
        <v>300</v>
      </c>
      <c r="E299" t="s">
        <v>417</v>
      </c>
      <c r="F299" t="s">
        <v>417</v>
      </c>
      <c r="G299" s="3">
        <f t="shared" si="4"/>
        <v>0</v>
      </c>
      <c r="H299" t="s">
        <v>504</v>
      </c>
      <c r="I299" s="3">
        <f>D299/(VLOOKUP(B299,'2023 Team'!$B$2:$G$33,3,FALSE))</f>
        <v>2.7855153203342618E-3</v>
      </c>
    </row>
    <row r="300" spans="1:9" x14ac:dyDescent="0.25">
      <c r="A300" t="s">
        <v>1042</v>
      </c>
      <c r="B300" t="s">
        <v>32</v>
      </c>
      <c r="C300" t="s">
        <v>163</v>
      </c>
      <c r="D300" t="s">
        <v>300</v>
      </c>
      <c r="E300" t="s">
        <v>663</v>
      </c>
      <c r="F300" t="s">
        <v>417</v>
      </c>
      <c r="G300" s="3">
        <f t="shared" si="4"/>
        <v>0</v>
      </c>
      <c r="H300" t="s">
        <v>652</v>
      </c>
      <c r="I300" s="3">
        <f>D300/(VLOOKUP(B300,'2023 Team'!$B$2:$G$33,3,FALSE))</f>
        <v>2.2522522522522522E-3</v>
      </c>
    </row>
    <row r="301" spans="1:9" x14ac:dyDescent="0.25">
      <c r="A301" t="s">
        <v>1743</v>
      </c>
      <c r="B301" t="s">
        <v>28</v>
      </c>
      <c r="C301" t="s">
        <v>613</v>
      </c>
      <c r="D301" t="s">
        <v>300</v>
      </c>
      <c r="E301" t="s">
        <v>417</v>
      </c>
      <c r="F301" t="s">
        <v>417</v>
      </c>
      <c r="G301" s="3">
        <f t="shared" si="4"/>
        <v>0</v>
      </c>
      <c r="H301" t="s">
        <v>504</v>
      </c>
      <c r="I301" s="3">
        <f>D301/(VLOOKUP(B301,'2023 Team'!$B$2:$G$33,3,FALSE))</f>
        <v>2E-3</v>
      </c>
    </row>
    <row r="302" spans="1:9" x14ac:dyDescent="0.25">
      <c r="A302" t="s">
        <v>725</v>
      </c>
      <c r="B302" t="s">
        <v>32</v>
      </c>
      <c r="C302" t="s">
        <v>163</v>
      </c>
      <c r="D302" t="s">
        <v>300</v>
      </c>
      <c r="E302" t="s">
        <v>207</v>
      </c>
      <c r="F302" t="s">
        <v>417</v>
      </c>
      <c r="G302" s="3">
        <f t="shared" si="4"/>
        <v>0</v>
      </c>
      <c r="H302" t="s">
        <v>648</v>
      </c>
      <c r="I302" s="3">
        <f>D302/(VLOOKUP(B302,'2023 Team'!$B$2:$G$33,3,FALSE))</f>
        <v>2.2522522522522522E-3</v>
      </c>
    </row>
    <row r="303" spans="1:9" x14ac:dyDescent="0.25">
      <c r="A303" t="s">
        <v>766</v>
      </c>
      <c r="B303" t="s">
        <v>56</v>
      </c>
      <c r="C303" t="s">
        <v>153</v>
      </c>
      <c r="D303" t="s">
        <v>300</v>
      </c>
      <c r="E303" t="s">
        <v>417</v>
      </c>
      <c r="F303" t="s">
        <v>417</v>
      </c>
      <c r="G303" s="3">
        <f t="shared" si="4"/>
        <v>0</v>
      </c>
      <c r="H303" t="s">
        <v>504</v>
      </c>
      <c r="I303" s="3">
        <f>D303/(VLOOKUP(B303,'2023 Team'!$B$2:$G$33,3,FALSE))</f>
        <v>2.5773195876288659E-3</v>
      </c>
    </row>
    <row r="304" spans="1:9" x14ac:dyDescent="0.25">
      <c r="A304" t="s">
        <v>1744</v>
      </c>
      <c r="B304" t="s">
        <v>54</v>
      </c>
      <c r="C304" t="s">
        <v>159</v>
      </c>
      <c r="D304" t="s">
        <v>300</v>
      </c>
      <c r="E304" t="s">
        <v>300</v>
      </c>
      <c r="F304" t="s">
        <v>417</v>
      </c>
      <c r="G304" s="3">
        <f t="shared" si="4"/>
        <v>0</v>
      </c>
      <c r="H304" t="s">
        <v>614</v>
      </c>
      <c r="I304" s="3">
        <f>D304/(VLOOKUP(B304,'2023 Team'!$B$2:$G$33,3,FALSE))</f>
        <v>2.2026431718061676E-3</v>
      </c>
    </row>
    <row r="305" spans="1:9" x14ac:dyDescent="0.25">
      <c r="A305" t="s">
        <v>821</v>
      </c>
      <c r="B305" t="s">
        <v>14</v>
      </c>
      <c r="C305" t="s">
        <v>163</v>
      </c>
      <c r="D305" t="s">
        <v>300</v>
      </c>
      <c r="E305" t="s">
        <v>649</v>
      </c>
      <c r="F305" t="s">
        <v>417</v>
      </c>
      <c r="G305" s="3">
        <f t="shared" si="4"/>
        <v>0</v>
      </c>
      <c r="H305" t="s">
        <v>768</v>
      </c>
      <c r="I305" s="3">
        <f>D305/(VLOOKUP(B305,'2023 Team'!$B$2:$G$33,3,FALSE))</f>
        <v>1.953125E-3</v>
      </c>
    </row>
    <row r="306" spans="1:9" x14ac:dyDescent="0.25">
      <c r="A306" t="s">
        <v>965</v>
      </c>
      <c r="B306" t="s">
        <v>14</v>
      </c>
      <c r="C306" t="s">
        <v>163</v>
      </c>
      <c r="D306" t="s">
        <v>300</v>
      </c>
      <c r="E306" t="s">
        <v>220</v>
      </c>
      <c r="F306" t="s">
        <v>417</v>
      </c>
      <c r="G306" s="3">
        <f t="shared" si="4"/>
        <v>0</v>
      </c>
      <c r="H306" t="s">
        <v>258</v>
      </c>
      <c r="I306" s="3">
        <f>D306/(VLOOKUP(B306,'2023 Team'!$B$2:$G$33,3,FALSE))</f>
        <v>1.953125E-3</v>
      </c>
    </row>
    <row r="307" spans="1:9" x14ac:dyDescent="0.25">
      <c r="A307" t="s">
        <v>636</v>
      </c>
      <c r="B307" t="s">
        <v>8</v>
      </c>
      <c r="C307" t="s">
        <v>163</v>
      </c>
      <c r="D307" t="s">
        <v>300</v>
      </c>
      <c r="E307" t="s">
        <v>220</v>
      </c>
      <c r="F307" t="s">
        <v>417</v>
      </c>
      <c r="G307" s="3">
        <f t="shared" si="4"/>
        <v>0</v>
      </c>
      <c r="H307" t="s">
        <v>258</v>
      </c>
      <c r="I307" s="3">
        <f>D307/(VLOOKUP(B307,'2023 Team'!$B$2:$G$33,3,FALSE))</f>
        <v>2.1231422505307855E-3</v>
      </c>
    </row>
    <row r="308" spans="1:9" x14ac:dyDescent="0.25">
      <c r="A308" t="s">
        <v>1745</v>
      </c>
      <c r="B308" t="s">
        <v>8</v>
      </c>
      <c r="C308" t="s">
        <v>165</v>
      </c>
      <c r="D308" t="s">
        <v>300</v>
      </c>
      <c r="E308" t="s">
        <v>211</v>
      </c>
      <c r="F308" t="s">
        <v>417</v>
      </c>
      <c r="G308" s="3">
        <f t="shared" si="4"/>
        <v>0</v>
      </c>
      <c r="H308" t="s">
        <v>662</v>
      </c>
      <c r="I308" s="3">
        <f>D308/(VLOOKUP(B308,'2023 Team'!$B$2:$G$33,3,FALSE))</f>
        <v>2.1231422505307855E-3</v>
      </c>
    </row>
    <row r="309" spans="1:9" x14ac:dyDescent="0.25">
      <c r="A309" t="s">
        <v>994</v>
      </c>
      <c r="B309" t="s">
        <v>58</v>
      </c>
      <c r="C309" t="s">
        <v>153</v>
      </c>
      <c r="D309" t="s">
        <v>300</v>
      </c>
      <c r="E309" t="s">
        <v>300</v>
      </c>
      <c r="F309" t="s">
        <v>417</v>
      </c>
      <c r="G309" s="3">
        <f t="shared" si="4"/>
        <v>0</v>
      </c>
      <c r="H309" t="s">
        <v>614</v>
      </c>
      <c r="I309" s="3">
        <f>D309/(VLOOKUP(B309,'2023 Team'!$B$2:$G$33,3,FALSE))</f>
        <v>1.9607843137254902E-3</v>
      </c>
    </row>
    <row r="310" spans="1:9" x14ac:dyDescent="0.25">
      <c r="A310" t="s">
        <v>995</v>
      </c>
      <c r="B310" t="s">
        <v>34</v>
      </c>
      <c r="C310" t="s">
        <v>153</v>
      </c>
      <c r="D310" t="s">
        <v>300</v>
      </c>
      <c r="E310" t="s">
        <v>289</v>
      </c>
      <c r="F310" t="s">
        <v>417</v>
      </c>
      <c r="G310" s="3">
        <f t="shared" si="4"/>
        <v>0</v>
      </c>
      <c r="H310" t="s">
        <v>643</v>
      </c>
      <c r="I310" s="3">
        <f>D310/(VLOOKUP(B310,'2023 Team'!$B$2:$G$33,3,FALSE))</f>
        <v>2.0876826722338203E-3</v>
      </c>
    </row>
    <row r="311" spans="1:9" x14ac:dyDescent="0.25">
      <c r="A311" t="s">
        <v>909</v>
      </c>
      <c r="B311" t="s">
        <v>38</v>
      </c>
      <c r="C311" t="s">
        <v>153</v>
      </c>
      <c r="D311" t="s">
        <v>300</v>
      </c>
      <c r="E311" t="s">
        <v>300</v>
      </c>
      <c r="F311" t="s">
        <v>417</v>
      </c>
      <c r="G311" s="3">
        <f t="shared" si="4"/>
        <v>0</v>
      </c>
      <c r="H311" t="s">
        <v>614</v>
      </c>
      <c r="I311" s="3">
        <f>D311/(VLOOKUP(B311,'2023 Team'!$B$2:$G$33,3,FALSE))</f>
        <v>2.3980815347721821E-3</v>
      </c>
    </row>
    <row r="312" spans="1:9" x14ac:dyDescent="0.25">
      <c r="A312" t="s">
        <v>674</v>
      </c>
      <c r="B312" t="s">
        <v>48</v>
      </c>
      <c r="C312" t="s">
        <v>613</v>
      </c>
      <c r="D312" t="s">
        <v>300</v>
      </c>
      <c r="E312" t="s">
        <v>207</v>
      </c>
      <c r="F312" t="s">
        <v>417</v>
      </c>
      <c r="G312" s="3">
        <f t="shared" si="4"/>
        <v>0</v>
      </c>
      <c r="H312" t="s">
        <v>648</v>
      </c>
      <c r="I312" s="3">
        <f>D312/(VLOOKUP(B312,'2023 Team'!$B$2:$G$33,3,FALSE))</f>
        <v>2.5445292620865142E-3</v>
      </c>
    </row>
    <row r="313" spans="1:9" x14ac:dyDescent="0.25">
      <c r="A313" t="s">
        <v>822</v>
      </c>
      <c r="B313" t="s">
        <v>56</v>
      </c>
      <c r="C313" t="s">
        <v>163</v>
      </c>
      <c r="D313" t="s">
        <v>417</v>
      </c>
      <c r="E313" t="s">
        <v>417</v>
      </c>
      <c r="F313" t="s">
        <v>417</v>
      </c>
      <c r="G313" s="3" t="e">
        <f t="shared" si="4"/>
        <v>#DIV/0!</v>
      </c>
      <c r="I313" s="3">
        <f>D313/(VLOOKUP(B313,'2023 Team'!$B$2:$G$33,3,FALSE))</f>
        <v>0</v>
      </c>
    </row>
    <row r="314" spans="1:9" x14ac:dyDescent="0.25">
      <c r="A314" t="s">
        <v>822</v>
      </c>
      <c r="B314" t="s">
        <v>38</v>
      </c>
      <c r="C314" t="s">
        <v>163</v>
      </c>
      <c r="D314" t="s">
        <v>300</v>
      </c>
      <c r="E314" t="s">
        <v>314</v>
      </c>
      <c r="F314" t="s">
        <v>417</v>
      </c>
      <c r="G314" s="3">
        <f t="shared" ref="G314:G376" si="5">F314/D314</f>
        <v>0</v>
      </c>
      <c r="H314" t="s">
        <v>502</v>
      </c>
      <c r="I314" s="3">
        <f>D314/(VLOOKUP(B314,'2023 Team'!$B$2:$G$33,3,FALSE))</f>
        <v>2.3980815347721821E-3</v>
      </c>
    </row>
    <row r="315" spans="1:9" x14ac:dyDescent="0.25">
      <c r="A315" t="s">
        <v>1580</v>
      </c>
      <c r="B315" t="s">
        <v>16</v>
      </c>
      <c r="C315" t="s">
        <v>165</v>
      </c>
      <c r="D315" t="s">
        <v>300</v>
      </c>
      <c r="E315" t="s">
        <v>1746</v>
      </c>
      <c r="F315" t="s">
        <v>417</v>
      </c>
      <c r="G315" s="3">
        <f t="shared" si="5"/>
        <v>0</v>
      </c>
      <c r="H315" t="s">
        <v>1747</v>
      </c>
      <c r="I315" s="3">
        <f>D315/(VLOOKUP(B315,'2023 Team'!$B$2:$G$33,3,FALSE))</f>
        <v>2.2471910112359553E-3</v>
      </c>
    </row>
    <row r="316" spans="1:9" x14ac:dyDescent="0.25">
      <c r="A316" t="s">
        <v>1748</v>
      </c>
      <c r="B316" t="s">
        <v>24</v>
      </c>
      <c r="C316" t="s">
        <v>153</v>
      </c>
      <c r="D316" t="s">
        <v>300</v>
      </c>
      <c r="E316" t="s">
        <v>417</v>
      </c>
      <c r="F316" t="s">
        <v>417</v>
      </c>
      <c r="G316" s="3">
        <f t="shared" si="5"/>
        <v>0</v>
      </c>
      <c r="H316" t="s">
        <v>504</v>
      </c>
      <c r="I316" s="3">
        <f>D316/(VLOOKUP(B316,'2023 Team'!$B$2:$G$33,3,FALSE))</f>
        <v>2.136752136752137E-3</v>
      </c>
    </row>
    <row r="317" spans="1:9" x14ac:dyDescent="0.25">
      <c r="A317" t="s">
        <v>556</v>
      </c>
      <c r="B317" t="s">
        <v>60</v>
      </c>
      <c r="C317" t="s">
        <v>153</v>
      </c>
      <c r="D317" t="s">
        <v>300</v>
      </c>
      <c r="E317" t="s">
        <v>417</v>
      </c>
      <c r="F317" t="s">
        <v>417</v>
      </c>
      <c r="G317" s="3">
        <f t="shared" si="5"/>
        <v>0</v>
      </c>
      <c r="H317" t="s">
        <v>504</v>
      </c>
      <c r="I317" s="3">
        <f>D317/(VLOOKUP(B317,'2023 Team'!$B$2:$G$33,3,FALSE))</f>
        <v>2.0533880903490761E-3</v>
      </c>
    </row>
    <row r="318" spans="1:9" x14ac:dyDescent="0.25">
      <c r="A318" t="s">
        <v>802</v>
      </c>
      <c r="B318" t="s">
        <v>10</v>
      </c>
      <c r="C318" t="s">
        <v>163</v>
      </c>
      <c r="D318" t="s">
        <v>300</v>
      </c>
      <c r="E318" t="s">
        <v>417</v>
      </c>
      <c r="F318" t="s">
        <v>417</v>
      </c>
      <c r="G318" s="3">
        <f t="shared" si="5"/>
        <v>0</v>
      </c>
      <c r="H318" t="s">
        <v>504</v>
      </c>
      <c r="I318" s="3">
        <f>D318/(VLOOKUP(B318,'2023 Team'!$B$2:$G$33,3,FALSE))</f>
        <v>1.9157088122605363E-3</v>
      </c>
    </row>
    <row r="319" spans="1:9" x14ac:dyDescent="0.25">
      <c r="A319" t="s">
        <v>1749</v>
      </c>
      <c r="B319" t="s">
        <v>68</v>
      </c>
      <c r="C319" t="s">
        <v>980</v>
      </c>
      <c r="D319" t="s">
        <v>300</v>
      </c>
      <c r="E319" t="s">
        <v>289</v>
      </c>
      <c r="F319" t="s">
        <v>417</v>
      </c>
      <c r="G319" s="3">
        <f t="shared" si="5"/>
        <v>0</v>
      </c>
      <c r="H319" t="s">
        <v>643</v>
      </c>
      <c r="I319" s="3">
        <f>D319/(VLOOKUP(B319,'2023 Team'!$B$2:$G$33,3,FALSE))</f>
        <v>2.2522522522522522E-3</v>
      </c>
    </row>
    <row r="320" spans="1:9" x14ac:dyDescent="0.25">
      <c r="A320" t="s">
        <v>544</v>
      </c>
      <c r="B320" t="s">
        <v>34</v>
      </c>
      <c r="C320" t="s">
        <v>159</v>
      </c>
      <c r="D320" t="s">
        <v>300</v>
      </c>
      <c r="E320" t="s">
        <v>300</v>
      </c>
      <c r="F320" t="s">
        <v>417</v>
      </c>
      <c r="G320" s="3">
        <f t="shared" si="5"/>
        <v>0</v>
      </c>
      <c r="H320" t="s">
        <v>614</v>
      </c>
      <c r="I320" s="3">
        <f>D320/(VLOOKUP(B320,'2023 Team'!$B$2:$G$33,3,FALSE))</f>
        <v>2.0876826722338203E-3</v>
      </c>
    </row>
    <row r="321" spans="1:9" x14ac:dyDescent="0.25">
      <c r="A321" t="s">
        <v>1750</v>
      </c>
      <c r="B321" t="s">
        <v>66</v>
      </c>
      <c r="C321" t="s">
        <v>163</v>
      </c>
      <c r="D321" t="s">
        <v>300</v>
      </c>
      <c r="E321" t="s">
        <v>417</v>
      </c>
      <c r="F321" t="s">
        <v>417</v>
      </c>
      <c r="G321" s="3">
        <f t="shared" si="5"/>
        <v>0</v>
      </c>
      <c r="H321" t="s">
        <v>504</v>
      </c>
      <c r="I321" s="3">
        <f>D321/(VLOOKUP(B321,'2023 Team'!$B$2:$G$33,3,FALSE))</f>
        <v>2.2779043280182231E-3</v>
      </c>
    </row>
    <row r="322" spans="1:9" x14ac:dyDescent="0.25">
      <c r="A322" t="s">
        <v>700</v>
      </c>
      <c r="B322" t="s">
        <v>48</v>
      </c>
      <c r="C322" t="s">
        <v>163</v>
      </c>
      <c r="D322" t="s">
        <v>300</v>
      </c>
      <c r="E322" t="s">
        <v>1751</v>
      </c>
      <c r="F322" t="s">
        <v>417</v>
      </c>
      <c r="G322" s="3">
        <f t="shared" si="5"/>
        <v>0</v>
      </c>
      <c r="H322" t="s">
        <v>1752</v>
      </c>
      <c r="I322" s="3">
        <f>D322/(VLOOKUP(B322,'2023 Team'!$B$2:$G$33,3,FALSE))</f>
        <v>2.5445292620865142E-3</v>
      </c>
    </row>
    <row r="323" spans="1:9" x14ac:dyDescent="0.25">
      <c r="A323" t="s">
        <v>1031</v>
      </c>
      <c r="B323" t="s">
        <v>44</v>
      </c>
      <c r="C323" t="s">
        <v>163</v>
      </c>
      <c r="D323" t="s">
        <v>300</v>
      </c>
      <c r="E323" t="s">
        <v>229</v>
      </c>
      <c r="F323" t="s">
        <v>417</v>
      </c>
      <c r="G323" s="3">
        <f t="shared" si="5"/>
        <v>0</v>
      </c>
      <c r="H323" t="s">
        <v>235</v>
      </c>
      <c r="I323" s="3">
        <f>D323/(VLOOKUP(B323,'2023 Team'!$B$2:$G$33,3,FALSE))</f>
        <v>2.0964360587002098E-3</v>
      </c>
    </row>
    <row r="324" spans="1:9" x14ac:dyDescent="0.25">
      <c r="A324" t="s">
        <v>1031</v>
      </c>
      <c r="B324" t="s">
        <v>10</v>
      </c>
      <c r="C324" t="s">
        <v>163</v>
      </c>
      <c r="D324" t="s">
        <v>417</v>
      </c>
      <c r="E324" t="s">
        <v>417</v>
      </c>
      <c r="F324" t="s">
        <v>417</v>
      </c>
      <c r="G324" s="3" t="e">
        <f t="shared" si="5"/>
        <v>#DIV/0!</v>
      </c>
      <c r="I324" s="3">
        <f>D324/(VLOOKUP(B324,'2023 Team'!$B$2:$G$33,3,FALSE))</f>
        <v>0</v>
      </c>
    </row>
    <row r="325" spans="1:9" x14ac:dyDescent="0.25">
      <c r="A325" t="s">
        <v>1753</v>
      </c>
      <c r="B325" t="s">
        <v>32</v>
      </c>
      <c r="C325" t="s">
        <v>165</v>
      </c>
      <c r="D325" t="s">
        <v>300</v>
      </c>
      <c r="E325" t="s">
        <v>1754</v>
      </c>
      <c r="F325" t="s">
        <v>417</v>
      </c>
      <c r="G325" s="3">
        <f t="shared" si="5"/>
        <v>0</v>
      </c>
      <c r="H325" t="s">
        <v>1755</v>
      </c>
      <c r="I325" s="3">
        <f>D325/(VLOOKUP(B325,'2023 Team'!$B$2:$G$33,3,FALSE))</f>
        <v>2.2522522522522522E-3</v>
      </c>
    </row>
    <row r="326" spans="1:9" x14ac:dyDescent="0.25">
      <c r="A326" t="s">
        <v>888</v>
      </c>
      <c r="B326" t="s">
        <v>36</v>
      </c>
      <c r="C326" t="s">
        <v>163</v>
      </c>
      <c r="D326" t="s">
        <v>300</v>
      </c>
      <c r="E326" t="s">
        <v>247</v>
      </c>
      <c r="F326" t="s">
        <v>417</v>
      </c>
      <c r="G326" s="3">
        <f t="shared" si="5"/>
        <v>0</v>
      </c>
      <c r="H326" t="s">
        <v>389</v>
      </c>
      <c r="I326" s="3">
        <f>D326/(VLOOKUP(B326,'2023 Team'!$B$2:$G$33,3,FALSE))</f>
        <v>2.2075055187637969E-3</v>
      </c>
    </row>
    <row r="327" spans="1:9" x14ac:dyDescent="0.25">
      <c r="A327" t="s">
        <v>770</v>
      </c>
      <c r="B327" t="s">
        <v>62</v>
      </c>
      <c r="C327" t="s">
        <v>153</v>
      </c>
      <c r="D327" t="s">
        <v>300</v>
      </c>
      <c r="E327" t="s">
        <v>289</v>
      </c>
      <c r="F327" t="s">
        <v>417</v>
      </c>
      <c r="G327" s="3">
        <f t="shared" si="5"/>
        <v>0</v>
      </c>
      <c r="H327" t="s">
        <v>643</v>
      </c>
      <c r="I327" s="3">
        <f>D327/(VLOOKUP(B327,'2023 Team'!$B$2:$G$33,3,FALSE))</f>
        <v>2.004008016032064E-3</v>
      </c>
    </row>
    <row r="328" spans="1:9" x14ac:dyDescent="0.25">
      <c r="A328" t="s">
        <v>181</v>
      </c>
      <c r="B328" t="s">
        <v>44</v>
      </c>
      <c r="C328" t="s">
        <v>163</v>
      </c>
      <c r="D328" t="s">
        <v>300</v>
      </c>
      <c r="E328" t="s">
        <v>687</v>
      </c>
      <c r="F328" t="s">
        <v>417</v>
      </c>
      <c r="G328" s="3">
        <f t="shared" si="5"/>
        <v>0</v>
      </c>
      <c r="H328" t="s">
        <v>771</v>
      </c>
      <c r="I328" s="3">
        <f>D328/(VLOOKUP(B328,'2023 Team'!$B$2:$G$33,3,FALSE))</f>
        <v>2.0964360587002098E-3</v>
      </c>
    </row>
    <row r="329" spans="1:9" x14ac:dyDescent="0.25">
      <c r="A329" t="s">
        <v>873</v>
      </c>
      <c r="B329" t="s">
        <v>28</v>
      </c>
      <c r="C329" t="s">
        <v>153</v>
      </c>
      <c r="D329" t="s">
        <v>300</v>
      </c>
      <c r="E329" t="s">
        <v>229</v>
      </c>
      <c r="F329" t="s">
        <v>417</v>
      </c>
      <c r="G329" s="3">
        <f t="shared" si="5"/>
        <v>0</v>
      </c>
      <c r="H329" t="s">
        <v>235</v>
      </c>
      <c r="I329" s="3">
        <f>D329/(VLOOKUP(B329,'2023 Team'!$B$2:$G$33,3,FALSE))</f>
        <v>2E-3</v>
      </c>
    </row>
    <row r="330" spans="1:9" x14ac:dyDescent="0.25">
      <c r="A330" t="s">
        <v>677</v>
      </c>
      <c r="B330" t="s">
        <v>32</v>
      </c>
      <c r="C330" t="s">
        <v>163</v>
      </c>
      <c r="D330" t="s">
        <v>300</v>
      </c>
      <c r="E330" t="s">
        <v>229</v>
      </c>
      <c r="F330" t="s">
        <v>417</v>
      </c>
      <c r="G330" s="3">
        <f t="shared" si="5"/>
        <v>0</v>
      </c>
      <c r="H330" t="s">
        <v>235</v>
      </c>
      <c r="I330" s="3">
        <f>D330/(VLOOKUP(B330,'2023 Team'!$B$2:$G$33,3,FALSE))</f>
        <v>2.2522522522522522E-3</v>
      </c>
    </row>
    <row r="331" spans="1:9" x14ac:dyDescent="0.25">
      <c r="A331" t="s">
        <v>1756</v>
      </c>
      <c r="B331" t="s">
        <v>42</v>
      </c>
      <c r="C331" t="s">
        <v>186</v>
      </c>
      <c r="D331" t="s">
        <v>300</v>
      </c>
      <c r="E331" t="s">
        <v>417</v>
      </c>
      <c r="F331" t="s">
        <v>417</v>
      </c>
      <c r="G331" s="3">
        <f t="shared" si="5"/>
        <v>0</v>
      </c>
      <c r="H331" t="s">
        <v>504</v>
      </c>
      <c r="I331" s="3">
        <f>D331/(VLOOKUP(B331,'2023 Team'!$B$2:$G$33,3,FALSE))</f>
        <v>2.3201856148491878E-3</v>
      </c>
    </row>
    <row r="332" spans="1:9" x14ac:dyDescent="0.25">
      <c r="A332" t="s">
        <v>1757</v>
      </c>
      <c r="B332" t="s">
        <v>30</v>
      </c>
      <c r="C332" t="s">
        <v>647</v>
      </c>
      <c r="D332" t="s">
        <v>300</v>
      </c>
      <c r="E332" t="s">
        <v>266</v>
      </c>
      <c r="F332" t="s">
        <v>417</v>
      </c>
      <c r="G332" s="3">
        <f t="shared" si="5"/>
        <v>0</v>
      </c>
      <c r="H332" t="s">
        <v>779</v>
      </c>
      <c r="I332" s="3">
        <f>D332/(VLOOKUP(B332,'2023 Team'!$B$2:$G$33,3,FALSE))</f>
        <v>2.2675736961451248E-3</v>
      </c>
    </row>
    <row r="333" spans="1:9" x14ac:dyDescent="0.25">
      <c r="A333" t="s">
        <v>827</v>
      </c>
      <c r="B333" t="s">
        <v>42</v>
      </c>
      <c r="C333" t="s">
        <v>163</v>
      </c>
      <c r="D333" t="s">
        <v>300</v>
      </c>
      <c r="E333" t="s">
        <v>247</v>
      </c>
      <c r="F333" t="s">
        <v>417</v>
      </c>
      <c r="G333" s="3">
        <f t="shared" si="5"/>
        <v>0</v>
      </c>
      <c r="H333" t="s">
        <v>389</v>
      </c>
      <c r="I333" s="3">
        <f>D333/(VLOOKUP(B333,'2023 Team'!$B$2:$G$33,3,FALSE))</f>
        <v>2.3201856148491878E-3</v>
      </c>
    </row>
    <row r="334" spans="1:9" x14ac:dyDescent="0.25">
      <c r="A334" t="s">
        <v>808</v>
      </c>
      <c r="B334" t="s">
        <v>10</v>
      </c>
      <c r="C334" t="s">
        <v>153</v>
      </c>
      <c r="D334" t="s">
        <v>300</v>
      </c>
      <c r="E334" t="s">
        <v>651</v>
      </c>
      <c r="F334" t="s">
        <v>417</v>
      </c>
      <c r="G334" s="3">
        <f t="shared" si="5"/>
        <v>0</v>
      </c>
      <c r="H334" t="s">
        <v>743</v>
      </c>
      <c r="I334" s="3">
        <f>D334/(VLOOKUP(B334,'2023 Team'!$B$2:$G$33,3,FALSE))</f>
        <v>1.9157088122605363E-3</v>
      </c>
    </row>
    <row r="335" spans="1:9" x14ac:dyDescent="0.25">
      <c r="A335" t="s">
        <v>1758</v>
      </c>
      <c r="B335" t="s">
        <v>50</v>
      </c>
      <c r="C335" t="s">
        <v>163</v>
      </c>
      <c r="D335" t="s">
        <v>300</v>
      </c>
      <c r="E335" t="s">
        <v>535</v>
      </c>
      <c r="F335" t="s">
        <v>417</v>
      </c>
      <c r="G335" s="3">
        <f t="shared" si="5"/>
        <v>0</v>
      </c>
      <c r="H335" t="s">
        <v>1541</v>
      </c>
      <c r="I335" s="3">
        <f>D335/(VLOOKUP(B335,'2023 Team'!$B$2:$G$33,3,FALSE))</f>
        <v>2.4096385542168677E-3</v>
      </c>
    </row>
    <row r="336" spans="1:9" x14ac:dyDescent="0.25">
      <c r="A336" t="s">
        <v>657</v>
      </c>
      <c r="B336" t="s">
        <v>38</v>
      </c>
      <c r="C336" t="s">
        <v>163</v>
      </c>
      <c r="D336" t="s">
        <v>300</v>
      </c>
      <c r="E336" t="s">
        <v>687</v>
      </c>
      <c r="F336" t="s">
        <v>417</v>
      </c>
      <c r="G336" s="3">
        <f t="shared" si="5"/>
        <v>0</v>
      </c>
      <c r="H336" t="s">
        <v>771</v>
      </c>
      <c r="I336" s="3">
        <f>D336/(VLOOKUP(B336,'2023 Team'!$B$2:$G$33,3,FALSE))</f>
        <v>2.3980815347721821E-3</v>
      </c>
    </row>
    <row r="337" spans="1:9" x14ac:dyDescent="0.25">
      <c r="A337" t="s">
        <v>773</v>
      </c>
      <c r="B337" t="s">
        <v>44</v>
      </c>
      <c r="C337" t="s">
        <v>163</v>
      </c>
      <c r="D337" t="s">
        <v>300</v>
      </c>
      <c r="E337" t="s">
        <v>510</v>
      </c>
      <c r="F337" t="s">
        <v>417</v>
      </c>
      <c r="G337" s="3">
        <f t="shared" si="5"/>
        <v>0</v>
      </c>
      <c r="H337" t="s">
        <v>1759</v>
      </c>
      <c r="I337" s="3">
        <f>D337/(VLOOKUP(B337,'2023 Team'!$B$2:$G$33,3,FALSE))</f>
        <v>2.0964360587002098E-3</v>
      </c>
    </row>
    <row r="338" spans="1:9" x14ac:dyDescent="0.25">
      <c r="A338" t="s">
        <v>1760</v>
      </c>
      <c r="B338" t="s">
        <v>30</v>
      </c>
      <c r="C338" t="s">
        <v>159</v>
      </c>
      <c r="D338" t="s">
        <v>300</v>
      </c>
      <c r="E338" t="s">
        <v>289</v>
      </c>
      <c r="F338" t="s">
        <v>417</v>
      </c>
      <c r="G338" s="3">
        <f t="shared" si="5"/>
        <v>0</v>
      </c>
      <c r="H338" t="s">
        <v>643</v>
      </c>
      <c r="I338" s="3">
        <f>D338/(VLOOKUP(B338,'2023 Team'!$B$2:$G$33,3,FALSE))</f>
        <v>2.2675736961451248E-3</v>
      </c>
    </row>
    <row r="339" spans="1:9" x14ac:dyDescent="0.25">
      <c r="A339" t="s">
        <v>744</v>
      </c>
      <c r="B339" t="s">
        <v>14</v>
      </c>
      <c r="C339" t="s">
        <v>163</v>
      </c>
      <c r="D339" t="s">
        <v>300</v>
      </c>
      <c r="E339" t="s">
        <v>211</v>
      </c>
      <c r="F339" t="s">
        <v>417</v>
      </c>
      <c r="G339" s="3">
        <f t="shared" si="5"/>
        <v>0</v>
      </c>
      <c r="H339" t="s">
        <v>662</v>
      </c>
      <c r="I339" s="3">
        <f>D339/(VLOOKUP(B339,'2023 Team'!$B$2:$G$33,3,FALSE))</f>
        <v>1.953125E-3</v>
      </c>
    </row>
    <row r="340" spans="1:9" x14ac:dyDescent="0.25">
      <c r="A340" t="s">
        <v>665</v>
      </c>
      <c r="B340" t="s">
        <v>54</v>
      </c>
      <c r="C340" t="s">
        <v>163</v>
      </c>
      <c r="D340" t="s">
        <v>300</v>
      </c>
      <c r="E340" t="s">
        <v>247</v>
      </c>
      <c r="F340" t="s">
        <v>417</v>
      </c>
      <c r="G340" s="3">
        <f t="shared" si="5"/>
        <v>0</v>
      </c>
      <c r="H340" t="s">
        <v>389</v>
      </c>
      <c r="I340" s="3">
        <f>D340/(VLOOKUP(B340,'2023 Team'!$B$2:$G$33,3,FALSE))</f>
        <v>2.2026431718061676E-3</v>
      </c>
    </row>
    <row r="341" spans="1:9" x14ac:dyDescent="0.25">
      <c r="A341" t="s">
        <v>798</v>
      </c>
      <c r="B341" t="s">
        <v>32</v>
      </c>
      <c r="C341" t="s">
        <v>163</v>
      </c>
      <c r="D341" t="s">
        <v>300</v>
      </c>
      <c r="E341" t="s">
        <v>300</v>
      </c>
      <c r="F341" t="s">
        <v>417</v>
      </c>
      <c r="G341" s="3">
        <f t="shared" si="5"/>
        <v>0</v>
      </c>
      <c r="H341" t="s">
        <v>614</v>
      </c>
      <c r="I341" s="3">
        <f>D341/(VLOOKUP(B341,'2023 Team'!$B$2:$G$33,3,FALSE))</f>
        <v>2.2522522522522522E-3</v>
      </c>
    </row>
    <row r="342" spans="1:9" x14ac:dyDescent="0.25">
      <c r="A342" t="s">
        <v>610</v>
      </c>
      <c r="B342" t="s">
        <v>10</v>
      </c>
      <c r="C342" t="s">
        <v>153</v>
      </c>
      <c r="D342" t="s">
        <v>300</v>
      </c>
      <c r="E342" t="s">
        <v>417</v>
      </c>
      <c r="F342" t="s">
        <v>417</v>
      </c>
      <c r="G342" s="3">
        <f t="shared" si="5"/>
        <v>0</v>
      </c>
      <c r="H342" t="s">
        <v>504</v>
      </c>
      <c r="I342" s="3">
        <f>D342/(VLOOKUP(B342,'2023 Team'!$B$2:$G$33,3,FALSE))</f>
        <v>1.9157088122605363E-3</v>
      </c>
    </row>
    <row r="343" spans="1:9" x14ac:dyDescent="0.25">
      <c r="A343" t="s">
        <v>1761</v>
      </c>
      <c r="B343" t="s">
        <v>68</v>
      </c>
      <c r="C343" t="s">
        <v>165</v>
      </c>
      <c r="D343" t="s">
        <v>300</v>
      </c>
      <c r="E343" t="s">
        <v>1746</v>
      </c>
      <c r="F343" t="s">
        <v>417</v>
      </c>
      <c r="G343" s="3">
        <f t="shared" si="5"/>
        <v>0</v>
      </c>
      <c r="H343" t="s">
        <v>1747</v>
      </c>
      <c r="I343" s="3">
        <f>D343/(VLOOKUP(B343,'2023 Team'!$B$2:$G$33,3,FALSE))</f>
        <v>2.2522522522522522E-3</v>
      </c>
    </row>
    <row r="344" spans="1:9" x14ac:dyDescent="0.25">
      <c r="A344" t="s">
        <v>1762</v>
      </c>
      <c r="B344" t="s">
        <v>18</v>
      </c>
      <c r="C344" t="s">
        <v>163</v>
      </c>
      <c r="D344" t="s">
        <v>300</v>
      </c>
      <c r="E344" t="s">
        <v>649</v>
      </c>
      <c r="F344" t="s">
        <v>417</v>
      </c>
      <c r="G344" s="3">
        <f t="shared" si="5"/>
        <v>0</v>
      </c>
      <c r="H344" t="s">
        <v>768</v>
      </c>
      <c r="I344" s="3">
        <f>D344/(VLOOKUP(B344,'2023 Team'!$B$2:$G$33,3,FALSE))</f>
        <v>1.8726591760299626E-3</v>
      </c>
    </row>
    <row r="345" spans="1:9" x14ac:dyDescent="0.25">
      <c r="A345" t="s">
        <v>952</v>
      </c>
      <c r="B345" t="s">
        <v>16</v>
      </c>
      <c r="C345" t="s">
        <v>163</v>
      </c>
      <c r="D345" t="s">
        <v>300</v>
      </c>
      <c r="E345" t="s">
        <v>247</v>
      </c>
      <c r="F345" t="s">
        <v>417</v>
      </c>
      <c r="G345" s="3">
        <f t="shared" si="5"/>
        <v>0</v>
      </c>
      <c r="H345" t="s">
        <v>389</v>
      </c>
      <c r="I345" s="3">
        <f>D345/(VLOOKUP(B345,'2023 Team'!$B$2:$G$33,3,FALSE))</f>
        <v>2.2471910112359553E-3</v>
      </c>
    </row>
    <row r="346" spans="1:9" x14ac:dyDescent="0.25">
      <c r="A346" t="s">
        <v>1763</v>
      </c>
      <c r="B346" t="s">
        <v>70</v>
      </c>
      <c r="C346" t="s">
        <v>153</v>
      </c>
      <c r="D346" t="s">
        <v>300</v>
      </c>
      <c r="E346" t="s">
        <v>289</v>
      </c>
      <c r="F346" t="s">
        <v>417</v>
      </c>
      <c r="G346" s="3">
        <f t="shared" si="5"/>
        <v>0</v>
      </c>
      <c r="H346" t="s">
        <v>643</v>
      </c>
      <c r="I346" s="3">
        <f>D346/(VLOOKUP(B346,'2023 Team'!$B$2:$G$33,3,FALSE))</f>
        <v>2.7855153203342618E-3</v>
      </c>
    </row>
    <row r="347" spans="1:9" x14ac:dyDescent="0.25">
      <c r="A347" t="s">
        <v>854</v>
      </c>
      <c r="B347" t="s">
        <v>22</v>
      </c>
      <c r="C347" t="s">
        <v>163</v>
      </c>
      <c r="D347" t="s">
        <v>300</v>
      </c>
      <c r="E347" t="s">
        <v>225</v>
      </c>
      <c r="F347" t="s">
        <v>417</v>
      </c>
      <c r="G347" s="3">
        <f t="shared" si="5"/>
        <v>0</v>
      </c>
      <c r="H347" t="s">
        <v>531</v>
      </c>
      <c r="I347" s="3">
        <f>D347/(VLOOKUP(B347,'2023 Team'!$B$2:$G$33,3,FALSE))</f>
        <v>1.9305019305019305E-3</v>
      </c>
    </row>
    <row r="348" spans="1:9" x14ac:dyDescent="0.25">
      <c r="A348" t="s">
        <v>1587</v>
      </c>
      <c r="B348" t="s">
        <v>66</v>
      </c>
      <c r="C348" t="s">
        <v>82</v>
      </c>
      <c r="D348" t="s">
        <v>300</v>
      </c>
      <c r="E348" t="s">
        <v>663</v>
      </c>
      <c r="F348" t="s">
        <v>417</v>
      </c>
      <c r="G348" s="3">
        <f t="shared" si="5"/>
        <v>0</v>
      </c>
      <c r="H348" t="s">
        <v>652</v>
      </c>
      <c r="I348" s="3">
        <f>D348/(VLOOKUP(B348,'2023 Team'!$B$2:$G$33,3,FALSE))</f>
        <v>2.2779043280182231E-3</v>
      </c>
    </row>
    <row r="349" spans="1:9" x14ac:dyDescent="0.25">
      <c r="A349" t="s">
        <v>1764</v>
      </c>
      <c r="B349" t="s">
        <v>8</v>
      </c>
      <c r="C349" t="s">
        <v>186</v>
      </c>
      <c r="D349" t="s">
        <v>300</v>
      </c>
      <c r="E349" t="s">
        <v>289</v>
      </c>
      <c r="F349" t="s">
        <v>417</v>
      </c>
      <c r="G349" s="3">
        <f t="shared" si="5"/>
        <v>0</v>
      </c>
      <c r="H349" t="s">
        <v>643</v>
      </c>
      <c r="I349" s="3">
        <f>D349/(VLOOKUP(B349,'2023 Team'!$B$2:$G$33,3,FALSE))</f>
        <v>2.1231422505307855E-3</v>
      </c>
    </row>
    <row r="350" spans="1:9" x14ac:dyDescent="0.25">
      <c r="A350" t="s">
        <v>1765</v>
      </c>
      <c r="B350" t="s">
        <v>70</v>
      </c>
      <c r="C350" t="s">
        <v>165</v>
      </c>
      <c r="D350" t="s">
        <v>300</v>
      </c>
      <c r="E350" t="s">
        <v>417</v>
      </c>
      <c r="F350" t="s">
        <v>417</v>
      </c>
      <c r="G350" s="3">
        <f t="shared" si="5"/>
        <v>0</v>
      </c>
      <c r="H350" t="s">
        <v>504</v>
      </c>
      <c r="I350" s="3">
        <f>D350/(VLOOKUP(B350,'2023 Team'!$B$2:$G$33,3,FALSE))</f>
        <v>2.7855153203342618E-3</v>
      </c>
    </row>
    <row r="351" spans="1:9" x14ac:dyDescent="0.25">
      <c r="A351" t="s">
        <v>740</v>
      </c>
      <c r="B351" t="s">
        <v>30</v>
      </c>
      <c r="C351" t="s">
        <v>163</v>
      </c>
      <c r="D351" t="s">
        <v>300</v>
      </c>
      <c r="E351" t="s">
        <v>300</v>
      </c>
      <c r="F351" t="s">
        <v>417</v>
      </c>
      <c r="G351" s="3">
        <f t="shared" si="5"/>
        <v>0</v>
      </c>
      <c r="H351" t="s">
        <v>614</v>
      </c>
      <c r="I351" s="3">
        <f>D351/(VLOOKUP(B351,'2023 Team'!$B$2:$G$33,3,FALSE))</f>
        <v>2.2675736961451248E-3</v>
      </c>
    </row>
    <row r="352" spans="1:9" x14ac:dyDescent="0.25">
      <c r="A352" t="s">
        <v>1766</v>
      </c>
      <c r="B352" t="s">
        <v>70</v>
      </c>
      <c r="C352" t="s">
        <v>159</v>
      </c>
      <c r="D352" t="s">
        <v>300</v>
      </c>
      <c r="E352" t="s">
        <v>649</v>
      </c>
      <c r="F352" t="s">
        <v>417</v>
      </c>
      <c r="G352" s="3">
        <f t="shared" si="5"/>
        <v>0</v>
      </c>
      <c r="H352" t="s">
        <v>768</v>
      </c>
      <c r="I352" s="3">
        <f>D352/(VLOOKUP(B352,'2023 Team'!$B$2:$G$33,3,FALSE))</f>
        <v>2.7855153203342618E-3</v>
      </c>
    </row>
    <row r="353" spans="1:9" x14ac:dyDescent="0.25">
      <c r="A353" t="s">
        <v>1767</v>
      </c>
      <c r="B353" t="s">
        <v>42</v>
      </c>
      <c r="C353" t="s">
        <v>163</v>
      </c>
      <c r="D353" t="s">
        <v>300</v>
      </c>
      <c r="E353" t="s">
        <v>314</v>
      </c>
      <c r="F353" t="s">
        <v>417</v>
      </c>
      <c r="G353" s="3">
        <f t="shared" si="5"/>
        <v>0</v>
      </c>
      <c r="H353" t="s">
        <v>502</v>
      </c>
      <c r="I353" s="3">
        <f>D353/(VLOOKUP(B353,'2023 Team'!$B$2:$G$33,3,FALSE))</f>
        <v>2.3201856148491878E-3</v>
      </c>
    </row>
    <row r="354" spans="1:9" x14ac:dyDescent="0.25">
      <c r="A354" t="s">
        <v>1768</v>
      </c>
      <c r="B354" t="s">
        <v>32</v>
      </c>
      <c r="C354" t="s">
        <v>163</v>
      </c>
      <c r="D354" t="s">
        <v>300</v>
      </c>
      <c r="E354" t="s">
        <v>207</v>
      </c>
      <c r="F354" t="s">
        <v>417</v>
      </c>
      <c r="G354" s="3">
        <f t="shared" si="5"/>
        <v>0</v>
      </c>
      <c r="H354" t="s">
        <v>648</v>
      </c>
      <c r="I354" s="3">
        <f>D354/(VLOOKUP(B354,'2023 Team'!$B$2:$G$33,3,FALSE))</f>
        <v>2.2522522522522522E-3</v>
      </c>
    </row>
    <row r="355" spans="1:9" x14ac:dyDescent="0.25">
      <c r="A355" t="s">
        <v>1575</v>
      </c>
      <c r="B355" t="s">
        <v>10</v>
      </c>
      <c r="C355" t="s">
        <v>82</v>
      </c>
      <c r="D355" t="s">
        <v>300</v>
      </c>
      <c r="E355" t="s">
        <v>247</v>
      </c>
      <c r="F355" t="s">
        <v>417</v>
      </c>
      <c r="G355" s="3">
        <f t="shared" si="5"/>
        <v>0</v>
      </c>
      <c r="H355" t="s">
        <v>389</v>
      </c>
      <c r="I355" s="3">
        <f>D355/(VLOOKUP(B355,'2023 Team'!$B$2:$G$33,3,FALSE))</f>
        <v>1.9157088122605363E-3</v>
      </c>
    </row>
    <row r="356" spans="1:9" x14ac:dyDescent="0.25">
      <c r="A356" t="s">
        <v>1769</v>
      </c>
      <c r="B356" t="s">
        <v>68</v>
      </c>
      <c r="C356" t="s">
        <v>165</v>
      </c>
      <c r="D356" t="s">
        <v>300</v>
      </c>
      <c r="E356" t="s">
        <v>417</v>
      </c>
      <c r="F356" t="s">
        <v>417</v>
      </c>
      <c r="G356" s="3">
        <f t="shared" si="5"/>
        <v>0</v>
      </c>
      <c r="H356" t="s">
        <v>504</v>
      </c>
      <c r="I356" s="3">
        <f>D356/(VLOOKUP(B356,'2023 Team'!$B$2:$G$33,3,FALSE))</f>
        <v>2.2522522522522522E-3</v>
      </c>
    </row>
    <row r="357" spans="1:9" x14ac:dyDescent="0.25">
      <c r="A357" t="s">
        <v>924</v>
      </c>
      <c r="B357" t="s">
        <v>40</v>
      </c>
      <c r="C357" t="s">
        <v>163</v>
      </c>
      <c r="D357" t="s">
        <v>417</v>
      </c>
      <c r="E357" t="s">
        <v>417</v>
      </c>
      <c r="F357" t="s">
        <v>417</v>
      </c>
      <c r="G357" s="3" t="e">
        <f t="shared" si="5"/>
        <v>#DIV/0!</v>
      </c>
      <c r="I357" s="3">
        <f>D357/(VLOOKUP(B357,'2023 Team'!$B$2:$G$33,3,FALSE))</f>
        <v>0</v>
      </c>
    </row>
    <row r="358" spans="1:9" x14ac:dyDescent="0.25">
      <c r="A358" t="s">
        <v>863</v>
      </c>
      <c r="B358" t="s">
        <v>26</v>
      </c>
      <c r="C358" t="s">
        <v>153</v>
      </c>
      <c r="D358" t="s">
        <v>417</v>
      </c>
      <c r="E358" t="s">
        <v>417</v>
      </c>
      <c r="F358" t="s">
        <v>417</v>
      </c>
      <c r="G358" s="3" t="e">
        <f t="shared" si="5"/>
        <v>#DIV/0!</v>
      </c>
      <c r="I358" s="3">
        <f>D358/(VLOOKUP(B358,'2023 Team'!$B$2:$G$33,3,FALSE))</f>
        <v>0</v>
      </c>
    </row>
    <row r="359" spans="1:9" x14ac:dyDescent="0.25">
      <c r="A359" t="s">
        <v>1770</v>
      </c>
      <c r="B359" t="s">
        <v>12</v>
      </c>
      <c r="C359" t="s">
        <v>163</v>
      </c>
      <c r="D359" t="s">
        <v>417</v>
      </c>
      <c r="E359" t="s">
        <v>417</v>
      </c>
      <c r="F359" t="s">
        <v>417</v>
      </c>
      <c r="G359" s="3" t="e">
        <f t="shared" si="5"/>
        <v>#DIV/0!</v>
      </c>
      <c r="I359" s="3">
        <f>D359/(VLOOKUP(B359,'2023 Team'!$B$2:$G$33,3,FALSE))</f>
        <v>0</v>
      </c>
    </row>
    <row r="360" spans="1:9" x14ac:dyDescent="0.25">
      <c r="A360" t="s">
        <v>1771</v>
      </c>
      <c r="B360" t="s">
        <v>62</v>
      </c>
      <c r="C360" t="s">
        <v>163</v>
      </c>
      <c r="D360" t="s">
        <v>417</v>
      </c>
      <c r="E360" t="s">
        <v>417</v>
      </c>
      <c r="F360" t="s">
        <v>417</v>
      </c>
      <c r="G360" s="3" t="e">
        <f t="shared" si="5"/>
        <v>#DIV/0!</v>
      </c>
      <c r="I360" s="3">
        <f>D360/(VLOOKUP(B360,'2023 Team'!$B$2:$G$33,3,FALSE))</f>
        <v>0</v>
      </c>
    </row>
    <row r="361" spans="1:9" x14ac:dyDescent="0.25">
      <c r="A361" t="s">
        <v>1772</v>
      </c>
      <c r="B361" t="s">
        <v>22</v>
      </c>
      <c r="C361" t="s">
        <v>153</v>
      </c>
      <c r="D361" t="s">
        <v>417</v>
      </c>
      <c r="E361" t="s">
        <v>417</v>
      </c>
      <c r="F361" t="s">
        <v>417</v>
      </c>
      <c r="G361" s="3" t="e">
        <f t="shared" si="5"/>
        <v>#DIV/0!</v>
      </c>
      <c r="I361" s="3">
        <f>D361/(VLOOKUP(B361,'2023 Team'!$B$2:$G$33,3,FALSE))</f>
        <v>0</v>
      </c>
    </row>
    <row r="362" spans="1:9" x14ac:dyDescent="0.25">
      <c r="A362" t="s">
        <v>892</v>
      </c>
      <c r="B362" t="s">
        <v>34</v>
      </c>
      <c r="C362" t="s">
        <v>153</v>
      </c>
      <c r="D362" t="s">
        <v>417</v>
      </c>
      <c r="E362" t="s">
        <v>417</v>
      </c>
      <c r="F362" t="s">
        <v>417</v>
      </c>
      <c r="G362" s="3" t="e">
        <f t="shared" si="5"/>
        <v>#DIV/0!</v>
      </c>
      <c r="I362" s="3">
        <f>D362/(VLOOKUP(B362,'2023 Team'!$B$2:$G$33,3,FALSE))</f>
        <v>0</v>
      </c>
    </row>
    <row r="363" spans="1:9" x14ac:dyDescent="0.25">
      <c r="A363" t="s">
        <v>925</v>
      </c>
      <c r="B363" t="s">
        <v>44</v>
      </c>
      <c r="C363" t="s">
        <v>153</v>
      </c>
      <c r="D363" t="s">
        <v>417</v>
      </c>
      <c r="E363" t="s">
        <v>417</v>
      </c>
      <c r="F363" t="s">
        <v>417</v>
      </c>
      <c r="G363" s="3" t="e">
        <f t="shared" si="5"/>
        <v>#DIV/0!</v>
      </c>
      <c r="I363" s="3">
        <f>D363/(VLOOKUP(B363,'2023 Team'!$B$2:$G$33,3,FALSE))</f>
        <v>0</v>
      </c>
    </row>
    <row r="364" spans="1:9" x14ac:dyDescent="0.25">
      <c r="A364" t="s">
        <v>1773</v>
      </c>
      <c r="B364" t="s">
        <v>70</v>
      </c>
      <c r="C364" t="s">
        <v>159</v>
      </c>
      <c r="D364" t="s">
        <v>417</v>
      </c>
      <c r="E364" t="s">
        <v>417</v>
      </c>
      <c r="F364" t="s">
        <v>417</v>
      </c>
      <c r="G364" s="3" t="e">
        <f t="shared" si="5"/>
        <v>#DIV/0!</v>
      </c>
      <c r="I364" s="3">
        <f>D364/(VLOOKUP(B364,'2023 Team'!$B$2:$G$33,3,FALSE))</f>
        <v>0</v>
      </c>
    </row>
    <row r="365" spans="1:9" x14ac:dyDescent="0.25">
      <c r="A365" t="s">
        <v>1041</v>
      </c>
      <c r="B365" t="s">
        <v>70</v>
      </c>
      <c r="C365" t="s">
        <v>153</v>
      </c>
      <c r="D365" t="s">
        <v>417</v>
      </c>
      <c r="E365" t="s">
        <v>417</v>
      </c>
      <c r="F365" t="s">
        <v>417</v>
      </c>
      <c r="G365" s="3" t="e">
        <f t="shared" si="5"/>
        <v>#DIV/0!</v>
      </c>
      <c r="I365" s="3">
        <f>D365/(VLOOKUP(B365,'2023 Team'!$B$2:$G$33,3,FALSE))</f>
        <v>0</v>
      </c>
    </row>
    <row r="366" spans="1:9" x14ac:dyDescent="0.25">
      <c r="A366" t="s">
        <v>1774</v>
      </c>
      <c r="B366" t="s">
        <v>12</v>
      </c>
      <c r="C366" t="s">
        <v>163</v>
      </c>
      <c r="D366" t="s">
        <v>417</v>
      </c>
      <c r="E366" t="s">
        <v>417</v>
      </c>
      <c r="F366" t="s">
        <v>417</v>
      </c>
      <c r="G366" s="3" t="e">
        <f t="shared" si="5"/>
        <v>#DIV/0!</v>
      </c>
      <c r="I366" s="3">
        <f>D366/(VLOOKUP(B366,'2023 Team'!$B$2:$G$33,3,FALSE))</f>
        <v>0</v>
      </c>
    </row>
    <row r="367" spans="1:9" x14ac:dyDescent="0.25">
      <c r="A367" t="s">
        <v>1775</v>
      </c>
      <c r="B367" t="s">
        <v>38</v>
      </c>
      <c r="C367" t="s">
        <v>153</v>
      </c>
      <c r="D367" t="s">
        <v>417</v>
      </c>
      <c r="E367" t="s">
        <v>417</v>
      </c>
      <c r="F367" t="s">
        <v>417</v>
      </c>
      <c r="G367" s="3" t="e">
        <f t="shared" si="5"/>
        <v>#DIV/0!</v>
      </c>
      <c r="I367" s="3">
        <f>D367/(VLOOKUP(B367,'2023 Team'!$B$2:$G$33,3,FALSE))</f>
        <v>0</v>
      </c>
    </row>
    <row r="368" spans="1:9" x14ac:dyDescent="0.25">
      <c r="A368" t="s">
        <v>1776</v>
      </c>
      <c r="B368" t="s">
        <v>22</v>
      </c>
      <c r="C368" t="s">
        <v>163</v>
      </c>
      <c r="D368" t="s">
        <v>417</v>
      </c>
      <c r="E368" t="s">
        <v>417</v>
      </c>
      <c r="F368" t="s">
        <v>417</v>
      </c>
      <c r="G368" s="3" t="e">
        <f t="shared" si="5"/>
        <v>#DIV/0!</v>
      </c>
      <c r="I368" s="3">
        <f>D368/(VLOOKUP(B368,'2023 Team'!$B$2:$G$33,3,FALSE))</f>
        <v>0</v>
      </c>
    </row>
    <row r="369" spans="1:9" x14ac:dyDescent="0.25">
      <c r="A369" t="s">
        <v>955</v>
      </c>
      <c r="B369" t="s">
        <v>62</v>
      </c>
      <c r="C369" t="s">
        <v>163</v>
      </c>
      <c r="D369" t="s">
        <v>417</v>
      </c>
      <c r="E369" t="s">
        <v>417</v>
      </c>
      <c r="F369" t="s">
        <v>417</v>
      </c>
      <c r="G369" s="3" t="e">
        <f t="shared" si="5"/>
        <v>#DIV/0!</v>
      </c>
      <c r="I369" s="3">
        <f>D369/(VLOOKUP(B369,'2023 Team'!$B$2:$G$33,3,FALSE))</f>
        <v>0</v>
      </c>
    </row>
    <row r="370" spans="1:9" x14ac:dyDescent="0.25">
      <c r="A370" t="s">
        <v>969</v>
      </c>
      <c r="B370" t="s">
        <v>54</v>
      </c>
      <c r="C370" t="s">
        <v>153</v>
      </c>
      <c r="D370" t="s">
        <v>417</v>
      </c>
      <c r="E370" t="s">
        <v>417</v>
      </c>
      <c r="F370" t="s">
        <v>417</v>
      </c>
      <c r="G370" s="3" t="e">
        <f t="shared" si="5"/>
        <v>#DIV/0!</v>
      </c>
      <c r="I370" s="3">
        <f>D370/(VLOOKUP(B370,'2023 Team'!$B$2:$G$33,3,FALSE))</f>
        <v>0</v>
      </c>
    </row>
    <row r="371" spans="1:9" x14ac:dyDescent="0.25">
      <c r="A371" t="s">
        <v>963</v>
      </c>
      <c r="B371" t="s">
        <v>50</v>
      </c>
      <c r="C371" t="s">
        <v>163</v>
      </c>
      <c r="D371" t="s">
        <v>417</v>
      </c>
      <c r="E371" t="s">
        <v>417</v>
      </c>
      <c r="F371" t="s">
        <v>417</v>
      </c>
      <c r="G371" s="3" t="e">
        <f t="shared" si="5"/>
        <v>#DIV/0!</v>
      </c>
      <c r="I371" s="3">
        <f>D371/(VLOOKUP(B371,'2023 Team'!$B$2:$G$33,3,FALSE))</f>
        <v>0</v>
      </c>
    </row>
    <row r="372" spans="1:9" x14ac:dyDescent="0.25">
      <c r="A372" t="s">
        <v>1777</v>
      </c>
      <c r="B372" t="s">
        <v>60</v>
      </c>
      <c r="C372" t="s">
        <v>163</v>
      </c>
      <c r="D372" t="s">
        <v>417</v>
      </c>
      <c r="E372" t="s">
        <v>417</v>
      </c>
      <c r="F372" t="s">
        <v>417</v>
      </c>
      <c r="G372" s="3" t="e">
        <f t="shared" si="5"/>
        <v>#DIV/0!</v>
      </c>
      <c r="I372" s="3">
        <f>D372/(VLOOKUP(B372,'2023 Team'!$B$2:$G$33,3,FALSE))</f>
        <v>0</v>
      </c>
    </row>
    <row r="373" spans="1:9" x14ac:dyDescent="0.25">
      <c r="A373" t="s">
        <v>1778</v>
      </c>
      <c r="B373" t="s">
        <v>54</v>
      </c>
      <c r="C373" t="s">
        <v>934</v>
      </c>
      <c r="D373" t="s">
        <v>417</v>
      </c>
      <c r="E373" t="s">
        <v>417</v>
      </c>
      <c r="F373" t="s">
        <v>417</v>
      </c>
      <c r="G373" s="3" t="e">
        <f t="shared" si="5"/>
        <v>#DIV/0!</v>
      </c>
      <c r="I373" s="3">
        <f>D373/(VLOOKUP(B373,'2023 Team'!$B$2:$G$33,3,FALSE))</f>
        <v>0</v>
      </c>
    </row>
    <row r="374" spans="1:9" x14ac:dyDescent="0.25">
      <c r="A374" t="s">
        <v>789</v>
      </c>
      <c r="B374" t="s">
        <v>24</v>
      </c>
      <c r="C374" t="s">
        <v>163</v>
      </c>
      <c r="D374" t="s">
        <v>417</v>
      </c>
      <c r="E374" t="s">
        <v>417</v>
      </c>
      <c r="F374" t="s">
        <v>417</v>
      </c>
      <c r="G374" s="3" t="e">
        <f t="shared" si="5"/>
        <v>#DIV/0!</v>
      </c>
      <c r="I374" s="3">
        <f>D374/(VLOOKUP(B374,'2023 Team'!$B$2:$G$33,3,FALSE))</f>
        <v>0</v>
      </c>
    </row>
    <row r="375" spans="1:9" x14ac:dyDescent="0.25">
      <c r="A375" t="s">
        <v>988</v>
      </c>
      <c r="B375" t="s">
        <v>58</v>
      </c>
      <c r="C375" t="s">
        <v>163</v>
      </c>
      <c r="D375" t="s">
        <v>417</v>
      </c>
      <c r="E375" t="s">
        <v>417</v>
      </c>
      <c r="F375" t="s">
        <v>417</v>
      </c>
      <c r="G375" s="3" t="e">
        <f t="shared" si="5"/>
        <v>#DIV/0!</v>
      </c>
      <c r="I375" s="3">
        <f>D375/(VLOOKUP(B375,'2023 Team'!$B$2:$G$33,3,FALSE))</f>
        <v>0</v>
      </c>
    </row>
    <row r="376" spans="1:9" x14ac:dyDescent="0.25">
      <c r="A376" t="s">
        <v>790</v>
      </c>
      <c r="B376" t="s">
        <v>50</v>
      </c>
      <c r="C376" t="s">
        <v>153</v>
      </c>
      <c r="D376" t="s">
        <v>417</v>
      </c>
      <c r="E376" t="s">
        <v>417</v>
      </c>
      <c r="F376" t="s">
        <v>417</v>
      </c>
      <c r="G376" s="3" t="e">
        <f t="shared" si="5"/>
        <v>#DIV/0!</v>
      </c>
      <c r="I376" s="3">
        <f>D376/(VLOOKUP(B376,'2023 Team'!$B$2:$G$33,3,FALSE))</f>
        <v>0</v>
      </c>
    </row>
    <row r="377" spans="1:9" x14ac:dyDescent="0.25">
      <c r="A377" t="s">
        <v>908</v>
      </c>
      <c r="B377" t="s">
        <v>56</v>
      </c>
      <c r="C377" t="s">
        <v>163</v>
      </c>
      <c r="D377" t="s">
        <v>417</v>
      </c>
      <c r="E377" t="s">
        <v>417</v>
      </c>
      <c r="F377" t="s">
        <v>417</v>
      </c>
      <c r="G377" s="3" t="e">
        <f t="shared" ref="G377:G439" si="6">F377/D377</f>
        <v>#DIV/0!</v>
      </c>
      <c r="I377" s="3">
        <f>D377/(VLOOKUP(B377,'2023 Team'!$B$2:$G$33,3,FALSE))</f>
        <v>0</v>
      </c>
    </row>
    <row r="378" spans="1:9" x14ac:dyDescent="0.25">
      <c r="A378" t="s">
        <v>1779</v>
      </c>
      <c r="B378" t="s">
        <v>10</v>
      </c>
      <c r="C378" t="s">
        <v>163</v>
      </c>
      <c r="D378" t="s">
        <v>417</v>
      </c>
      <c r="E378" t="s">
        <v>417</v>
      </c>
      <c r="F378" t="s">
        <v>417</v>
      </c>
      <c r="G378" s="3" t="e">
        <f t="shared" si="6"/>
        <v>#DIV/0!</v>
      </c>
      <c r="I378" s="3">
        <f>D378/(VLOOKUP(B378,'2023 Team'!$B$2:$G$33,3,FALSE))</f>
        <v>0</v>
      </c>
    </row>
    <row r="379" spans="1:9" x14ac:dyDescent="0.25">
      <c r="A379" t="s">
        <v>1780</v>
      </c>
      <c r="B379" t="s">
        <v>54</v>
      </c>
      <c r="C379" t="s">
        <v>153</v>
      </c>
      <c r="D379" t="s">
        <v>417</v>
      </c>
      <c r="E379" t="s">
        <v>417</v>
      </c>
      <c r="F379" t="s">
        <v>417</v>
      </c>
      <c r="G379" s="3" t="e">
        <f t="shared" si="6"/>
        <v>#DIV/0!</v>
      </c>
      <c r="I379" s="3">
        <f>D379/(VLOOKUP(B379,'2023 Team'!$B$2:$G$33,3,FALSE))</f>
        <v>0</v>
      </c>
    </row>
    <row r="380" spans="1:9" x14ac:dyDescent="0.25">
      <c r="A380" t="s">
        <v>989</v>
      </c>
      <c r="B380" t="s">
        <v>58</v>
      </c>
      <c r="C380" t="s">
        <v>153</v>
      </c>
      <c r="D380" t="s">
        <v>417</v>
      </c>
      <c r="E380" t="s">
        <v>417</v>
      </c>
      <c r="F380" t="s">
        <v>417</v>
      </c>
      <c r="G380" s="3" t="e">
        <f t="shared" si="6"/>
        <v>#DIV/0!</v>
      </c>
      <c r="I380" s="3">
        <f>D380/(VLOOKUP(B380,'2023 Team'!$B$2:$G$33,3,FALSE))</f>
        <v>0</v>
      </c>
    </row>
    <row r="381" spans="1:9" x14ac:dyDescent="0.25">
      <c r="A381" t="s">
        <v>1583</v>
      </c>
      <c r="B381" t="s">
        <v>54</v>
      </c>
      <c r="C381" t="s">
        <v>163</v>
      </c>
      <c r="D381" t="s">
        <v>417</v>
      </c>
      <c r="E381" t="s">
        <v>417</v>
      </c>
      <c r="F381" t="s">
        <v>417</v>
      </c>
      <c r="G381" s="3" t="e">
        <f t="shared" si="6"/>
        <v>#DIV/0!</v>
      </c>
      <c r="I381" s="3">
        <f>D381/(VLOOKUP(B381,'2023 Team'!$B$2:$G$33,3,FALSE))</f>
        <v>0</v>
      </c>
    </row>
    <row r="382" spans="1:9" x14ac:dyDescent="0.25">
      <c r="A382" t="s">
        <v>1781</v>
      </c>
      <c r="B382" t="s">
        <v>16</v>
      </c>
      <c r="C382" t="s">
        <v>163</v>
      </c>
      <c r="D382" t="s">
        <v>417</v>
      </c>
      <c r="E382" t="s">
        <v>417</v>
      </c>
      <c r="F382" t="s">
        <v>417</v>
      </c>
      <c r="G382" s="3" t="e">
        <f t="shared" si="6"/>
        <v>#DIV/0!</v>
      </c>
      <c r="I382" s="3">
        <f>D382/(VLOOKUP(B382,'2023 Team'!$B$2:$G$33,3,FALSE))</f>
        <v>0</v>
      </c>
    </row>
    <row r="383" spans="1:9" x14ac:dyDescent="0.25">
      <c r="A383" t="s">
        <v>1782</v>
      </c>
      <c r="B383" t="s">
        <v>56</v>
      </c>
      <c r="C383" t="s">
        <v>163</v>
      </c>
      <c r="D383" t="s">
        <v>417</v>
      </c>
      <c r="E383" t="s">
        <v>417</v>
      </c>
      <c r="F383" t="s">
        <v>417</v>
      </c>
      <c r="G383" s="3" t="e">
        <f t="shared" si="6"/>
        <v>#DIV/0!</v>
      </c>
      <c r="I383" s="3">
        <f>D383/(VLOOKUP(B383,'2023 Team'!$B$2:$G$33,3,FALSE))</f>
        <v>0</v>
      </c>
    </row>
    <row r="384" spans="1:9" x14ac:dyDescent="0.25">
      <c r="A384" t="s">
        <v>1043</v>
      </c>
      <c r="B384" t="s">
        <v>46</v>
      </c>
      <c r="C384" t="s">
        <v>163</v>
      </c>
      <c r="D384" t="s">
        <v>417</v>
      </c>
      <c r="E384" t="s">
        <v>417</v>
      </c>
      <c r="F384" t="s">
        <v>417</v>
      </c>
      <c r="G384" s="3" t="e">
        <f t="shared" si="6"/>
        <v>#DIV/0!</v>
      </c>
      <c r="I384" s="3">
        <f>D384/(VLOOKUP(B384,'2023 Team'!$B$2:$G$33,3,FALSE))</f>
        <v>0</v>
      </c>
    </row>
    <row r="385" spans="1:9" x14ac:dyDescent="0.25">
      <c r="A385" t="s">
        <v>1783</v>
      </c>
      <c r="B385" t="s">
        <v>18</v>
      </c>
      <c r="C385" t="s">
        <v>163</v>
      </c>
      <c r="D385" t="s">
        <v>417</v>
      </c>
      <c r="E385" t="s">
        <v>417</v>
      </c>
      <c r="F385" t="s">
        <v>417</v>
      </c>
      <c r="G385" s="3" t="e">
        <f t="shared" si="6"/>
        <v>#DIV/0!</v>
      </c>
      <c r="I385" s="3">
        <f>D385/(VLOOKUP(B385,'2023 Team'!$B$2:$G$33,3,FALSE))</f>
        <v>0</v>
      </c>
    </row>
    <row r="386" spans="1:9" x14ac:dyDescent="0.25">
      <c r="A386" t="s">
        <v>1783</v>
      </c>
      <c r="B386" t="s">
        <v>46</v>
      </c>
      <c r="C386" t="s">
        <v>163</v>
      </c>
      <c r="D386" t="s">
        <v>417</v>
      </c>
      <c r="E386" t="s">
        <v>417</v>
      </c>
      <c r="F386" t="s">
        <v>417</v>
      </c>
      <c r="G386" s="3" t="e">
        <f t="shared" si="6"/>
        <v>#DIV/0!</v>
      </c>
      <c r="I386" s="3">
        <f>D386/(VLOOKUP(B386,'2023 Team'!$B$2:$G$33,3,FALSE))</f>
        <v>0</v>
      </c>
    </row>
    <row r="387" spans="1:9" x14ac:dyDescent="0.25">
      <c r="A387" t="s">
        <v>1784</v>
      </c>
      <c r="B387" t="s">
        <v>56</v>
      </c>
      <c r="C387" t="s">
        <v>163</v>
      </c>
      <c r="D387" t="s">
        <v>417</v>
      </c>
      <c r="E387" t="s">
        <v>417</v>
      </c>
      <c r="F387" t="s">
        <v>417</v>
      </c>
      <c r="G387" s="3" t="e">
        <f t="shared" si="6"/>
        <v>#DIV/0!</v>
      </c>
      <c r="I387" s="3">
        <f>D387/(VLOOKUP(B387,'2023 Team'!$B$2:$G$33,3,FALSE))</f>
        <v>0</v>
      </c>
    </row>
    <row r="388" spans="1:9" x14ac:dyDescent="0.25">
      <c r="A388" t="s">
        <v>1785</v>
      </c>
      <c r="B388" t="s">
        <v>62</v>
      </c>
      <c r="C388" t="s">
        <v>163</v>
      </c>
      <c r="D388" t="s">
        <v>417</v>
      </c>
      <c r="E388" t="s">
        <v>417</v>
      </c>
      <c r="F388" t="s">
        <v>417</v>
      </c>
      <c r="G388" s="3" t="e">
        <f t="shared" si="6"/>
        <v>#DIV/0!</v>
      </c>
      <c r="I388" s="3">
        <f>D388/(VLOOKUP(B388,'2023 Team'!$B$2:$G$33,3,FALSE))</f>
        <v>0</v>
      </c>
    </row>
    <row r="389" spans="1:9" x14ac:dyDescent="0.25">
      <c r="A389" t="s">
        <v>1786</v>
      </c>
      <c r="B389" t="s">
        <v>36</v>
      </c>
      <c r="C389" t="s">
        <v>163</v>
      </c>
      <c r="D389" t="s">
        <v>417</v>
      </c>
      <c r="E389" t="s">
        <v>417</v>
      </c>
      <c r="F389" t="s">
        <v>417</v>
      </c>
      <c r="G389" s="3" t="e">
        <f t="shared" si="6"/>
        <v>#DIV/0!</v>
      </c>
      <c r="I389" s="3">
        <f>D389/(VLOOKUP(B389,'2023 Team'!$B$2:$G$33,3,FALSE))</f>
        <v>0</v>
      </c>
    </row>
    <row r="390" spans="1:9" x14ac:dyDescent="0.25">
      <c r="A390" t="s">
        <v>1787</v>
      </c>
      <c r="B390" t="s">
        <v>22</v>
      </c>
      <c r="C390" t="s">
        <v>163</v>
      </c>
      <c r="D390" t="s">
        <v>417</v>
      </c>
      <c r="E390" t="s">
        <v>417</v>
      </c>
      <c r="F390" t="s">
        <v>417</v>
      </c>
      <c r="G390" s="3" t="e">
        <f t="shared" si="6"/>
        <v>#DIV/0!</v>
      </c>
      <c r="I390" s="3">
        <f>D390/(VLOOKUP(B390,'2023 Team'!$B$2:$G$33,3,FALSE))</f>
        <v>0</v>
      </c>
    </row>
    <row r="391" spans="1:9" x14ac:dyDescent="0.25">
      <c r="A391" t="s">
        <v>991</v>
      </c>
      <c r="B391" t="s">
        <v>58</v>
      </c>
      <c r="C391" t="s">
        <v>163</v>
      </c>
      <c r="D391" t="s">
        <v>417</v>
      </c>
      <c r="E391" t="s">
        <v>417</v>
      </c>
      <c r="F391" t="s">
        <v>417</v>
      </c>
      <c r="G391" s="3" t="e">
        <f t="shared" si="6"/>
        <v>#DIV/0!</v>
      </c>
      <c r="I391" s="3">
        <f>D391/(VLOOKUP(B391,'2023 Team'!$B$2:$G$33,3,FALSE))</f>
        <v>0</v>
      </c>
    </row>
    <row r="392" spans="1:9" x14ac:dyDescent="0.25">
      <c r="A392" t="s">
        <v>1788</v>
      </c>
      <c r="B392" t="s">
        <v>46</v>
      </c>
      <c r="C392" t="s">
        <v>163</v>
      </c>
      <c r="D392" t="s">
        <v>417</v>
      </c>
      <c r="E392" t="s">
        <v>417</v>
      </c>
      <c r="F392" t="s">
        <v>417</v>
      </c>
      <c r="G392" s="3" t="e">
        <f t="shared" si="6"/>
        <v>#DIV/0!</v>
      </c>
      <c r="I392" s="3">
        <f>D392/(VLOOKUP(B392,'2023 Team'!$B$2:$G$33,3,FALSE))</f>
        <v>0</v>
      </c>
    </row>
    <row r="393" spans="1:9" x14ac:dyDescent="0.25">
      <c r="A393" t="s">
        <v>1789</v>
      </c>
      <c r="B393" t="s">
        <v>70</v>
      </c>
      <c r="C393" t="s">
        <v>163</v>
      </c>
      <c r="D393" t="s">
        <v>417</v>
      </c>
      <c r="E393" t="s">
        <v>417</v>
      </c>
      <c r="F393" t="s">
        <v>417</v>
      </c>
      <c r="G393" s="3" t="e">
        <f t="shared" si="6"/>
        <v>#DIV/0!</v>
      </c>
      <c r="I393" s="3">
        <f>D393/(VLOOKUP(B393,'2023 Team'!$B$2:$G$33,3,FALSE))</f>
        <v>0</v>
      </c>
    </row>
    <row r="394" spans="1:9" x14ac:dyDescent="0.25">
      <c r="A394" t="s">
        <v>791</v>
      </c>
      <c r="B394" t="s">
        <v>30</v>
      </c>
      <c r="C394" t="s">
        <v>153</v>
      </c>
      <c r="D394" t="s">
        <v>417</v>
      </c>
      <c r="E394" t="s">
        <v>417</v>
      </c>
      <c r="F394" t="s">
        <v>417</v>
      </c>
      <c r="G394" s="3" t="e">
        <f t="shared" si="6"/>
        <v>#DIV/0!</v>
      </c>
      <c r="I394" s="3">
        <f>D394/(VLOOKUP(B394,'2023 Team'!$B$2:$G$33,3,FALSE))</f>
        <v>0</v>
      </c>
    </row>
    <row r="395" spans="1:9" x14ac:dyDescent="0.25">
      <c r="A395" t="s">
        <v>917</v>
      </c>
      <c r="B395" t="s">
        <v>64</v>
      </c>
      <c r="C395" t="s">
        <v>153</v>
      </c>
      <c r="D395" t="s">
        <v>417</v>
      </c>
      <c r="E395" t="s">
        <v>417</v>
      </c>
      <c r="F395" t="s">
        <v>417</v>
      </c>
      <c r="G395" s="3" t="e">
        <f t="shared" si="6"/>
        <v>#DIV/0!</v>
      </c>
      <c r="I395" s="3">
        <f>D395/(VLOOKUP(B395,'2023 Team'!$B$2:$G$33,3,FALSE))</f>
        <v>0</v>
      </c>
    </row>
    <row r="396" spans="1:9" x14ac:dyDescent="0.25">
      <c r="A396" t="s">
        <v>1790</v>
      </c>
      <c r="B396" t="s">
        <v>26</v>
      </c>
      <c r="C396" t="s">
        <v>163</v>
      </c>
      <c r="D396" t="s">
        <v>417</v>
      </c>
      <c r="E396" t="s">
        <v>417</v>
      </c>
      <c r="F396" t="s">
        <v>417</v>
      </c>
      <c r="G396" s="3" t="e">
        <f t="shared" si="6"/>
        <v>#DIV/0!</v>
      </c>
      <c r="I396" s="3">
        <f>D396/(VLOOKUP(B396,'2023 Team'!$B$2:$G$33,3,FALSE))</f>
        <v>0</v>
      </c>
    </row>
    <row r="397" spans="1:9" x14ac:dyDescent="0.25">
      <c r="A397" t="s">
        <v>1791</v>
      </c>
      <c r="B397" t="s">
        <v>28</v>
      </c>
      <c r="C397" t="s">
        <v>647</v>
      </c>
      <c r="D397" t="s">
        <v>417</v>
      </c>
      <c r="E397" t="s">
        <v>417</v>
      </c>
      <c r="F397" t="s">
        <v>417</v>
      </c>
      <c r="G397" s="3" t="e">
        <f t="shared" si="6"/>
        <v>#DIV/0!</v>
      </c>
      <c r="I397" s="3">
        <f>D397/(VLOOKUP(B397,'2023 Team'!$B$2:$G$33,3,FALSE))</f>
        <v>0</v>
      </c>
    </row>
    <row r="398" spans="1:9" x14ac:dyDescent="0.25">
      <c r="A398" t="s">
        <v>1792</v>
      </c>
      <c r="B398" t="s">
        <v>42</v>
      </c>
      <c r="C398" t="s">
        <v>163</v>
      </c>
      <c r="D398" t="s">
        <v>417</v>
      </c>
      <c r="E398" t="s">
        <v>417</v>
      </c>
      <c r="F398" t="s">
        <v>417</v>
      </c>
      <c r="G398" s="3" t="e">
        <f t="shared" si="6"/>
        <v>#DIV/0!</v>
      </c>
      <c r="I398" s="3">
        <f>D398/(VLOOKUP(B398,'2023 Team'!$B$2:$G$33,3,FALSE))</f>
        <v>0</v>
      </c>
    </row>
    <row r="399" spans="1:9" x14ac:dyDescent="0.25">
      <c r="A399" t="s">
        <v>992</v>
      </c>
      <c r="B399" t="s">
        <v>70</v>
      </c>
      <c r="C399" t="s">
        <v>163</v>
      </c>
      <c r="D399" t="s">
        <v>417</v>
      </c>
      <c r="E399" t="s">
        <v>417</v>
      </c>
      <c r="F399" t="s">
        <v>417</v>
      </c>
      <c r="G399" s="3" t="e">
        <f t="shared" si="6"/>
        <v>#DIV/0!</v>
      </c>
      <c r="I399" s="3">
        <f>D399/(VLOOKUP(B399,'2023 Team'!$B$2:$G$33,3,FALSE))</f>
        <v>0</v>
      </c>
    </row>
    <row r="400" spans="1:9" x14ac:dyDescent="0.25">
      <c r="A400" t="s">
        <v>879</v>
      </c>
      <c r="B400" t="s">
        <v>30</v>
      </c>
      <c r="C400" t="s">
        <v>163</v>
      </c>
      <c r="D400" t="s">
        <v>417</v>
      </c>
      <c r="E400" t="s">
        <v>417</v>
      </c>
      <c r="F400" t="s">
        <v>417</v>
      </c>
      <c r="G400" s="3" t="e">
        <f t="shared" si="6"/>
        <v>#DIV/0!</v>
      </c>
      <c r="I400" s="3">
        <f>D400/(VLOOKUP(B400,'2023 Team'!$B$2:$G$33,3,FALSE))</f>
        <v>0</v>
      </c>
    </row>
    <row r="401" spans="1:9" x14ac:dyDescent="0.25">
      <c r="A401" t="s">
        <v>1793</v>
      </c>
      <c r="B401" t="s">
        <v>68</v>
      </c>
      <c r="C401" t="s">
        <v>163</v>
      </c>
      <c r="D401" t="s">
        <v>417</v>
      </c>
      <c r="E401" t="s">
        <v>417</v>
      </c>
      <c r="F401" t="s">
        <v>417</v>
      </c>
      <c r="G401" s="3" t="e">
        <f t="shared" si="6"/>
        <v>#DIV/0!</v>
      </c>
      <c r="I401" s="3">
        <f>D401/(VLOOKUP(B401,'2023 Team'!$B$2:$G$33,3,FALSE))</f>
        <v>0</v>
      </c>
    </row>
    <row r="402" spans="1:9" x14ac:dyDescent="0.25">
      <c r="A402" t="s">
        <v>706</v>
      </c>
      <c r="B402" t="s">
        <v>34</v>
      </c>
      <c r="C402" t="s">
        <v>163</v>
      </c>
      <c r="D402" t="s">
        <v>417</v>
      </c>
      <c r="E402" t="s">
        <v>417</v>
      </c>
      <c r="F402" t="s">
        <v>417</v>
      </c>
      <c r="G402" s="3" t="e">
        <f t="shared" si="6"/>
        <v>#DIV/0!</v>
      </c>
      <c r="I402" s="3">
        <f>D402/(VLOOKUP(B402,'2023 Team'!$B$2:$G$33,3,FALSE))</f>
        <v>0</v>
      </c>
    </row>
    <row r="403" spans="1:9" x14ac:dyDescent="0.25">
      <c r="A403" t="s">
        <v>733</v>
      </c>
      <c r="B403" t="s">
        <v>26</v>
      </c>
      <c r="C403" t="s">
        <v>153</v>
      </c>
      <c r="D403" t="s">
        <v>417</v>
      </c>
      <c r="E403" t="s">
        <v>417</v>
      </c>
      <c r="F403" t="s">
        <v>417</v>
      </c>
      <c r="G403" s="3" t="e">
        <f t="shared" si="6"/>
        <v>#DIV/0!</v>
      </c>
      <c r="I403" s="3">
        <f>D403/(VLOOKUP(B403,'2023 Team'!$B$2:$G$33,3,FALSE))</f>
        <v>0</v>
      </c>
    </row>
    <row r="404" spans="1:9" x14ac:dyDescent="0.25">
      <c r="A404" t="s">
        <v>1023</v>
      </c>
      <c r="B404" t="s">
        <v>66</v>
      </c>
      <c r="C404" t="s">
        <v>153</v>
      </c>
      <c r="D404" t="s">
        <v>417</v>
      </c>
      <c r="E404" t="s">
        <v>417</v>
      </c>
      <c r="F404" t="s">
        <v>417</v>
      </c>
      <c r="G404" s="3" t="e">
        <f t="shared" si="6"/>
        <v>#DIV/0!</v>
      </c>
      <c r="I404" s="3">
        <f>D404/(VLOOKUP(B404,'2023 Team'!$B$2:$G$33,3,FALSE))</f>
        <v>0</v>
      </c>
    </row>
    <row r="405" spans="1:9" x14ac:dyDescent="0.25">
      <c r="A405" t="s">
        <v>870</v>
      </c>
      <c r="B405" t="s">
        <v>62</v>
      </c>
      <c r="C405" t="s">
        <v>153</v>
      </c>
      <c r="D405" t="s">
        <v>417</v>
      </c>
      <c r="E405" t="s">
        <v>417</v>
      </c>
      <c r="F405" t="s">
        <v>417</v>
      </c>
      <c r="G405" s="3" t="e">
        <f t="shared" si="6"/>
        <v>#DIV/0!</v>
      </c>
      <c r="I405" s="3">
        <f>D405/(VLOOKUP(B405,'2023 Team'!$B$2:$G$33,3,FALSE))</f>
        <v>0</v>
      </c>
    </row>
    <row r="406" spans="1:9" x14ac:dyDescent="0.25">
      <c r="A406" t="s">
        <v>1794</v>
      </c>
      <c r="B406" t="s">
        <v>56</v>
      </c>
      <c r="C406" t="s">
        <v>647</v>
      </c>
      <c r="D406" t="s">
        <v>417</v>
      </c>
      <c r="E406" t="s">
        <v>417</v>
      </c>
      <c r="F406" t="s">
        <v>417</v>
      </c>
      <c r="G406" s="3" t="e">
        <f t="shared" si="6"/>
        <v>#DIV/0!</v>
      </c>
      <c r="I406" s="3">
        <f>D406/(VLOOKUP(B406,'2023 Team'!$B$2:$G$33,3,FALSE))</f>
        <v>0</v>
      </c>
    </row>
    <row r="407" spans="1:9" x14ac:dyDescent="0.25">
      <c r="A407" t="s">
        <v>781</v>
      </c>
      <c r="B407" t="s">
        <v>36</v>
      </c>
      <c r="C407" t="s">
        <v>153</v>
      </c>
      <c r="D407" t="s">
        <v>417</v>
      </c>
      <c r="E407" t="s">
        <v>417</v>
      </c>
      <c r="F407" t="s">
        <v>417</v>
      </c>
      <c r="G407" s="3" t="e">
        <f t="shared" si="6"/>
        <v>#DIV/0!</v>
      </c>
      <c r="I407" s="3">
        <f>D407/(VLOOKUP(B407,'2023 Team'!$B$2:$G$33,3,FALSE))</f>
        <v>0</v>
      </c>
    </row>
    <row r="408" spans="1:9" x14ac:dyDescent="0.25">
      <c r="A408" t="s">
        <v>1795</v>
      </c>
      <c r="B408" t="s">
        <v>42</v>
      </c>
      <c r="C408" t="s">
        <v>163</v>
      </c>
      <c r="D408" t="s">
        <v>417</v>
      </c>
      <c r="E408" t="s">
        <v>417</v>
      </c>
      <c r="F408" t="s">
        <v>417</v>
      </c>
      <c r="G408" s="3" t="e">
        <f t="shared" si="6"/>
        <v>#DIV/0!</v>
      </c>
      <c r="I408" s="3">
        <f>D408/(VLOOKUP(B408,'2023 Team'!$B$2:$G$33,3,FALSE))</f>
        <v>0</v>
      </c>
    </row>
    <row r="409" spans="1:9" x14ac:dyDescent="0.25">
      <c r="A409" t="s">
        <v>1044</v>
      </c>
      <c r="B409" t="s">
        <v>8</v>
      </c>
      <c r="C409" t="s">
        <v>153</v>
      </c>
      <c r="D409" t="s">
        <v>417</v>
      </c>
      <c r="E409" t="s">
        <v>417</v>
      </c>
      <c r="F409" t="s">
        <v>417</v>
      </c>
      <c r="G409" s="3" t="e">
        <f t="shared" si="6"/>
        <v>#DIV/0!</v>
      </c>
      <c r="I409" s="3">
        <f>D409/(VLOOKUP(B409,'2023 Team'!$B$2:$G$33,3,FALSE))</f>
        <v>0</v>
      </c>
    </row>
    <row r="410" spans="1:9" x14ac:dyDescent="0.25">
      <c r="A410" t="s">
        <v>1024</v>
      </c>
      <c r="B410" t="s">
        <v>66</v>
      </c>
      <c r="C410" t="s">
        <v>163</v>
      </c>
      <c r="D410" t="s">
        <v>417</v>
      </c>
      <c r="E410" t="s">
        <v>417</v>
      </c>
      <c r="F410" t="s">
        <v>417</v>
      </c>
      <c r="G410" s="3" t="e">
        <f t="shared" si="6"/>
        <v>#DIV/0!</v>
      </c>
      <c r="I410" s="3">
        <f>D410/(VLOOKUP(B410,'2023 Team'!$B$2:$G$33,3,FALSE))</f>
        <v>0</v>
      </c>
    </row>
    <row r="411" spans="1:9" x14ac:dyDescent="0.25">
      <c r="A411" t="s">
        <v>841</v>
      </c>
      <c r="B411" t="s">
        <v>64</v>
      </c>
      <c r="C411" t="s">
        <v>153</v>
      </c>
      <c r="D411" t="s">
        <v>417</v>
      </c>
      <c r="E411" t="s">
        <v>417</v>
      </c>
      <c r="F411" t="s">
        <v>417</v>
      </c>
      <c r="G411" s="3" t="e">
        <f t="shared" si="6"/>
        <v>#DIV/0!</v>
      </c>
      <c r="I411" s="3">
        <f>D411/(VLOOKUP(B411,'2023 Team'!$B$2:$G$33,3,FALSE))</f>
        <v>0</v>
      </c>
    </row>
    <row r="412" spans="1:9" x14ac:dyDescent="0.25">
      <c r="A412" t="s">
        <v>1016</v>
      </c>
      <c r="B412" t="s">
        <v>36</v>
      </c>
      <c r="C412" t="s">
        <v>153</v>
      </c>
      <c r="D412" t="s">
        <v>417</v>
      </c>
      <c r="E412" t="s">
        <v>417</v>
      </c>
      <c r="F412" t="s">
        <v>417</v>
      </c>
      <c r="G412" s="3" t="e">
        <f t="shared" si="6"/>
        <v>#DIV/0!</v>
      </c>
      <c r="I412" s="3">
        <f>D412/(VLOOKUP(B412,'2023 Team'!$B$2:$G$33,3,FALSE))</f>
        <v>0</v>
      </c>
    </row>
    <row r="413" spans="1:9" x14ac:dyDescent="0.25">
      <c r="A413" t="s">
        <v>1796</v>
      </c>
      <c r="B413" t="s">
        <v>42</v>
      </c>
      <c r="C413" t="s">
        <v>163</v>
      </c>
      <c r="D413" t="s">
        <v>417</v>
      </c>
      <c r="E413" t="s">
        <v>417</v>
      </c>
      <c r="F413" t="s">
        <v>417</v>
      </c>
      <c r="G413" s="3" t="e">
        <f t="shared" si="6"/>
        <v>#DIV/0!</v>
      </c>
      <c r="I413" s="3">
        <f>D413/(VLOOKUP(B413,'2023 Team'!$B$2:$G$33,3,FALSE))</f>
        <v>0</v>
      </c>
    </row>
    <row r="414" spans="1:9" x14ac:dyDescent="0.25">
      <c r="A414" t="s">
        <v>784</v>
      </c>
      <c r="B414" t="s">
        <v>24</v>
      </c>
      <c r="C414" t="s">
        <v>153</v>
      </c>
      <c r="D414" t="s">
        <v>417</v>
      </c>
      <c r="E414" t="s">
        <v>417</v>
      </c>
      <c r="F414" t="s">
        <v>417</v>
      </c>
      <c r="G414" s="3" t="e">
        <f t="shared" si="6"/>
        <v>#DIV/0!</v>
      </c>
      <c r="I414" s="3">
        <f>D414/(VLOOKUP(B414,'2023 Team'!$B$2:$G$33,3,FALSE))</f>
        <v>0</v>
      </c>
    </row>
    <row r="415" spans="1:9" x14ac:dyDescent="0.25">
      <c r="A415" t="s">
        <v>918</v>
      </c>
      <c r="B415" t="s">
        <v>10</v>
      </c>
      <c r="C415" t="s">
        <v>153</v>
      </c>
      <c r="D415" t="s">
        <v>417</v>
      </c>
      <c r="E415" t="s">
        <v>417</v>
      </c>
      <c r="F415" t="s">
        <v>417</v>
      </c>
      <c r="G415" s="3" t="e">
        <f t="shared" si="6"/>
        <v>#DIV/0!</v>
      </c>
      <c r="I415" s="3">
        <f>D415/(VLOOKUP(B415,'2023 Team'!$B$2:$G$33,3,FALSE))</f>
        <v>0</v>
      </c>
    </row>
    <row r="416" spans="1:9" x14ac:dyDescent="0.25">
      <c r="A416" t="s">
        <v>880</v>
      </c>
      <c r="B416" t="s">
        <v>10</v>
      </c>
      <c r="C416" t="s">
        <v>153</v>
      </c>
      <c r="D416" t="s">
        <v>417</v>
      </c>
      <c r="E416" t="s">
        <v>417</v>
      </c>
      <c r="F416" t="s">
        <v>417</v>
      </c>
      <c r="G416" s="3" t="e">
        <f t="shared" si="6"/>
        <v>#DIV/0!</v>
      </c>
      <c r="I416" s="3">
        <f>D416/(VLOOKUP(B416,'2023 Team'!$B$2:$G$33,3,FALSE))</f>
        <v>0</v>
      </c>
    </row>
    <row r="417" spans="1:9" x14ac:dyDescent="0.25">
      <c r="A417" t="s">
        <v>1797</v>
      </c>
      <c r="B417" t="s">
        <v>40</v>
      </c>
      <c r="C417" t="s">
        <v>153</v>
      </c>
      <c r="D417" t="s">
        <v>417</v>
      </c>
      <c r="E417" t="s">
        <v>417</v>
      </c>
      <c r="F417" t="s">
        <v>417</v>
      </c>
      <c r="G417" s="3" t="e">
        <f t="shared" si="6"/>
        <v>#DIV/0!</v>
      </c>
      <c r="I417" s="3">
        <f>D417/(VLOOKUP(B417,'2023 Team'!$B$2:$G$33,3,FALSE))</f>
        <v>0</v>
      </c>
    </row>
    <row r="418" spans="1:9" x14ac:dyDescent="0.25">
      <c r="A418" t="s">
        <v>1000</v>
      </c>
      <c r="B418" t="s">
        <v>60</v>
      </c>
      <c r="C418" t="s">
        <v>153</v>
      </c>
      <c r="D418" t="s">
        <v>417</v>
      </c>
      <c r="E418" t="s">
        <v>417</v>
      </c>
      <c r="F418" t="s">
        <v>417</v>
      </c>
      <c r="G418" s="3" t="e">
        <f t="shared" si="6"/>
        <v>#DIV/0!</v>
      </c>
      <c r="I418" s="3">
        <f>D418/(VLOOKUP(B418,'2023 Team'!$B$2:$G$33,3,FALSE))</f>
        <v>0</v>
      </c>
    </row>
    <row r="419" spans="1:9" x14ac:dyDescent="0.25">
      <c r="A419" t="s">
        <v>1798</v>
      </c>
      <c r="B419" t="s">
        <v>24</v>
      </c>
      <c r="C419" t="s">
        <v>163</v>
      </c>
      <c r="D419" t="s">
        <v>417</v>
      </c>
      <c r="E419" t="s">
        <v>417</v>
      </c>
      <c r="F419" t="s">
        <v>417</v>
      </c>
      <c r="G419" s="3" t="e">
        <f t="shared" si="6"/>
        <v>#DIV/0!</v>
      </c>
      <c r="I419" s="3">
        <f>D419/(VLOOKUP(B419,'2023 Team'!$B$2:$G$33,3,FALSE))</f>
        <v>0</v>
      </c>
    </row>
    <row r="420" spans="1:9" x14ac:dyDescent="0.25">
      <c r="A420" t="s">
        <v>844</v>
      </c>
      <c r="B420" t="s">
        <v>50</v>
      </c>
      <c r="C420" t="s">
        <v>153</v>
      </c>
      <c r="D420" t="s">
        <v>417</v>
      </c>
      <c r="E420" t="s">
        <v>417</v>
      </c>
      <c r="F420" t="s">
        <v>417</v>
      </c>
      <c r="G420" s="3" t="e">
        <f t="shared" si="6"/>
        <v>#DIV/0!</v>
      </c>
      <c r="I420" s="3">
        <f>D420/(VLOOKUP(B420,'2023 Team'!$B$2:$G$33,3,FALSE))</f>
        <v>0</v>
      </c>
    </row>
    <row r="421" spans="1:9" x14ac:dyDescent="0.25">
      <c r="A421" t="s">
        <v>702</v>
      </c>
      <c r="B421" t="s">
        <v>14</v>
      </c>
      <c r="C421" t="s">
        <v>613</v>
      </c>
      <c r="D421" t="s">
        <v>417</v>
      </c>
      <c r="E421" t="s">
        <v>417</v>
      </c>
      <c r="F421" t="s">
        <v>417</v>
      </c>
      <c r="G421" s="3" t="e">
        <f t="shared" si="6"/>
        <v>#DIV/0!</v>
      </c>
      <c r="I421" s="3">
        <f>D421/(VLOOKUP(B421,'2023 Team'!$B$2:$G$33,3,FALSE))</f>
        <v>0</v>
      </c>
    </row>
    <row r="422" spans="1:9" x14ac:dyDescent="0.25">
      <c r="A422" t="s">
        <v>1799</v>
      </c>
      <c r="B422" t="s">
        <v>52</v>
      </c>
      <c r="C422" t="s">
        <v>153</v>
      </c>
      <c r="D422" t="s">
        <v>417</v>
      </c>
      <c r="E422" t="s">
        <v>417</v>
      </c>
      <c r="F422" t="s">
        <v>417</v>
      </c>
      <c r="G422" s="3" t="e">
        <f t="shared" si="6"/>
        <v>#DIV/0!</v>
      </c>
      <c r="I422" s="3">
        <f>D422/(VLOOKUP(B422,'2023 Team'!$B$2:$G$33,3,FALSE))</f>
        <v>0</v>
      </c>
    </row>
    <row r="423" spans="1:9" x14ac:dyDescent="0.25">
      <c r="A423" t="s">
        <v>1800</v>
      </c>
      <c r="B423" t="s">
        <v>28</v>
      </c>
      <c r="C423" t="s">
        <v>163</v>
      </c>
      <c r="D423" t="s">
        <v>417</v>
      </c>
      <c r="E423" t="s">
        <v>417</v>
      </c>
      <c r="F423" t="s">
        <v>417</v>
      </c>
      <c r="G423" s="3" t="e">
        <f t="shared" si="6"/>
        <v>#DIV/0!</v>
      </c>
      <c r="I423" s="3">
        <f>D423/(VLOOKUP(B423,'2023 Team'!$B$2:$G$33,3,FALSE))</f>
        <v>0</v>
      </c>
    </row>
    <row r="424" spans="1:9" x14ac:dyDescent="0.25">
      <c r="A424" t="s">
        <v>1801</v>
      </c>
      <c r="B424" t="s">
        <v>42</v>
      </c>
      <c r="C424" t="s">
        <v>163</v>
      </c>
      <c r="D424" t="s">
        <v>417</v>
      </c>
      <c r="E424" t="s">
        <v>417</v>
      </c>
      <c r="F424" t="s">
        <v>417</v>
      </c>
      <c r="G424" s="3" t="e">
        <f t="shared" si="6"/>
        <v>#DIV/0!</v>
      </c>
      <c r="I424" s="3">
        <f>D424/(VLOOKUP(B424,'2023 Team'!$B$2:$G$33,3,FALSE))</f>
        <v>0</v>
      </c>
    </row>
    <row r="425" spans="1:9" x14ac:dyDescent="0.25">
      <c r="A425" t="s">
        <v>1802</v>
      </c>
      <c r="B425" t="s">
        <v>66</v>
      </c>
      <c r="C425" t="s">
        <v>857</v>
      </c>
      <c r="D425" t="s">
        <v>417</v>
      </c>
      <c r="E425" t="s">
        <v>417</v>
      </c>
      <c r="F425" t="s">
        <v>417</v>
      </c>
      <c r="G425" s="3" t="e">
        <f t="shared" si="6"/>
        <v>#DIV/0!</v>
      </c>
      <c r="I425" s="3">
        <f>D425/(VLOOKUP(B425,'2023 Team'!$B$2:$G$33,3,FALSE))</f>
        <v>0</v>
      </c>
    </row>
    <row r="426" spans="1:9" x14ac:dyDescent="0.25">
      <c r="A426" t="s">
        <v>1803</v>
      </c>
      <c r="B426" t="s">
        <v>36</v>
      </c>
      <c r="C426" t="s">
        <v>159</v>
      </c>
      <c r="D426" t="s">
        <v>417</v>
      </c>
      <c r="E426" t="s">
        <v>417</v>
      </c>
      <c r="F426" t="s">
        <v>417</v>
      </c>
      <c r="G426" s="3" t="e">
        <f t="shared" si="6"/>
        <v>#DIV/0!</v>
      </c>
      <c r="I426" s="3">
        <f>D426/(VLOOKUP(B426,'2023 Team'!$B$2:$G$33,3,FALSE))</f>
        <v>0</v>
      </c>
    </row>
    <row r="427" spans="1:9" x14ac:dyDescent="0.25">
      <c r="A427" t="s">
        <v>881</v>
      </c>
      <c r="B427" t="s">
        <v>30</v>
      </c>
      <c r="C427" t="s">
        <v>163</v>
      </c>
      <c r="D427" t="s">
        <v>417</v>
      </c>
      <c r="E427" t="s">
        <v>417</v>
      </c>
      <c r="F427" t="s">
        <v>417</v>
      </c>
      <c r="G427" s="3" t="e">
        <f t="shared" si="6"/>
        <v>#DIV/0!</v>
      </c>
      <c r="I427" s="3">
        <f>D427/(VLOOKUP(B427,'2023 Team'!$B$2:$G$33,3,FALSE))</f>
        <v>0</v>
      </c>
    </row>
    <row r="428" spans="1:9" x14ac:dyDescent="0.25">
      <c r="A428" t="s">
        <v>966</v>
      </c>
      <c r="B428" t="s">
        <v>50</v>
      </c>
      <c r="C428" t="s">
        <v>153</v>
      </c>
      <c r="D428" t="s">
        <v>417</v>
      </c>
      <c r="E428" t="s">
        <v>417</v>
      </c>
      <c r="F428" t="s">
        <v>417</v>
      </c>
      <c r="G428" s="3" t="e">
        <f t="shared" si="6"/>
        <v>#DIV/0!</v>
      </c>
      <c r="I428" s="3">
        <f>D428/(VLOOKUP(B428,'2023 Team'!$B$2:$G$33,3,FALSE))</f>
        <v>0</v>
      </c>
    </row>
    <row r="429" spans="1:9" x14ac:dyDescent="0.25">
      <c r="A429" t="s">
        <v>927</v>
      </c>
      <c r="B429" t="s">
        <v>44</v>
      </c>
      <c r="C429" t="s">
        <v>153</v>
      </c>
      <c r="D429" t="s">
        <v>417</v>
      </c>
      <c r="E429" t="s">
        <v>417</v>
      </c>
      <c r="F429" t="s">
        <v>417</v>
      </c>
      <c r="G429" s="3" t="e">
        <f t="shared" si="6"/>
        <v>#DIV/0!</v>
      </c>
      <c r="I429" s="3">
        <f>D429/(VLOOKUP(B429,'2023 Team'!$B$2:$G$33,3,FALSE))</f>
        <v>0</v>
      </c>
    </row>
    <row r="430" spans="1:9" x14ac:dyDescent="0.25">
      <c r="A430" t="s">
        <v>793</v>
      </c>
      <c r="B430" t="s">
        <v>8</v>
      </c>
      <c r="C430" t="s">
        <v>153</v>
      </c>
      <c r="D430" t="s">
        <v>417</v>
      </c>
      <c r="E430" t="s">
        <v>417</v>
      </c>
      <c r="F430" t="s">
        <v>417</v>
      </c>
      <c r="G430" s="3" t="e">
        <f t="shared" si="6"/>
        <v>#DIV/0!</v>
      </c>
      <c r="I430" s="3">
        <f>D430/(VLOOKUP(B430,'2023 Team'!$B$2:$G$33,3,FALSE))</f>
        <v>0</v>
      </c>
    </row>
    <row r="431" spans="1:9" x14ac:dyDescent="0.25">
      <c r="A431" t="s">
        <v>846</v>
      </c>
      <c r="B431" t="s">
        <v>20</v>
      </c>
      <c r="C431" t="s">
        <v>163</v>
      </c>
      <c r="D431" t="s">
        <v>417</v>
      </c>
      <c r="E431" t="s">
        <v>417</v>
      </c>
      <c r="F431" t="s">
        <v>417</v>
      </c>
      <c r="G431" s="3" t="e">
        <f t="shared" si="6"/>
        <v>#DIV/0!</v>
      </c>
      <c r="I431" s="3">
        <f>D431/(VLOOKUP(B431,'2023 Team'!$B$2:$G$33,3,FALSE))</f>
        <v>0</v>
      </c>
    </row>
    <row r="432" spans="1:9" x14ac:dyDescent="0.25">
      <c r="A432" t="s">
        <v>943</v>
      </c>
      <c r="B432" t="s">
        <v>46</v>
      </c>
      <c r="C432" t="s">
        <v>153</v>
      </c>
      <c r="D432" t="s">
        <v>417</v>
      </c>
      <c r="E432" t="s">
        <v>417</v>
      </c>
      <c r="F432" t="s">
        <v>417</v>
      </c>
      <c r="G432" s="3" t="e">
        <f t="shared" si="6"/>
        <v>#DIV/0!</v>
      </c>
      <c r="I432" s="3">
        <f>D432/(VLOOKUP(B432,'2023 Team'!$B$2:$G$33,3,FALSE))</f>
        <v>0</v>
      </c>
    </row>
    <row r="433" spans="1:9" x14ac:dyDescent="0.25">
      <c r="A433" t="s">
        <v>737</v>
      </c>
      <c r="B433" t="s">
        <v>48</v>
      </c>
      <c r="C433" t="s">
        <v>153</v>
      </c>
      <c r="D433" t="s">
        <v>417</v>
      </c>
      <c r="E433" t="s">
        <v>417</v>
      </c>
      <c r="F433" t="s">
        <v>417</v>
      </c>
      <c r="G433" s="3" t="e">
        <f t="shared" si="6"/>
        <v>#DIV/0!</v>
      </c>
      <c r="I433" s="3">
        <f>D433/(VLOOKUP(B433,'2023 Team'!$B$2:$G$33,3,FALSE))</f>
        <v>0</v>
      </c>
    </row>
    <row r="434" spans="1:9" x14ac:dyDescent="0.25">
      <c r="A434" t="s">
        <v>971</v>
      </c>
      <c r="B434" t="s">
        <v>54</v>
      </c>
      <c r="C434" t="s">
        <v>163</v>
      </c>
      <c r="D434" t="s">
        <v>417</v>
      </c>
      <c r="E434" t="s">
        <v>417</v>
      </c>
      <c r="F434" t="s">
        <v>417</v>
      </c>
      <c r="G434" s="3" t="e">
        <f t="shared" si="6"/>
        <v>#DIV/0!</v>
      </c>
      <c r="I434" s="3">
        <f>D434/(VLOOKUP(B434,'2023 Team'!$B$2:$G$33,3,FALSE))</f>
        <v>0</v>
      </c>
    </row>
    <row r="435" spans="1:9" x14ac:dyDescent="0.25">
      <c r="A435" t="s">
        <v>748</v>
      </c>
      <c r="B435" t="s">
        <v>10</v>
      </c>
      <c r="C435" t="s">
        <v>163</v>
      </c>
      <c r="D435" t="s">
        <v>417</v>
      </c>
      <c r="E435" t="s">
        <v>417</v>
      </c>
      <c r="F435" t="s">
        <v>417</v>
      </c>
      <c r="G435" s="3" t="e">
        <f t="shared" si="6"/>
        <v>#DIV/0!</v>
      </c>
      <c r="I435" s="3">
        <f>D435/(VLOOKUP(B435,'2023 Team'!$B$2:$G$33,3,FALSE))</f>
        <v>0</v>
      </c>
    </row>
    <row r="436" spans="1:9" x14ac:dyDescent="0.25">
      <c r="A436" t="s">
        <v>767</v>
      </c>
      <c r="B436" t="s">
        <v>18</v>
      </c>
      <c r="C436" t="s">
        <v>159</v>
      </c>
      <c r="D436" t="s">
        <v>417</v>
      </c>
      <c r="E436" t="s">
        <v>417</v>
      </c>
      <c r="F436" t="s">
        <v>417</v>
      </c>
      <c r="G436" s="3" t="e">
        <f t="shared" si="6"/>
        <v>#DIV/0!</v>
      </c>
      <c r="I436" s="3">
        <f>D436/(VLOOKUP(B436,'2023 Team'!$B$2:$G$33,3,FALSE))</f>
        <v>0</v>
      </c>
    </row>
    <row r="437" spans="1:9" x14ac:dyDescent="0.25">
      <c r="A437" t="s">
        <v>967</v>
      </c>
      <c r="B437" t="s">
        <v>40</v>
      </c>
      <c r="C437" t="s">
        <v>153</v>
      </c>
      <c r="D437" t="s">
        <v>417</v>
      </c>
      <c r="E437" t="s">
        <v>417</v>
      </c>
      <c r="F437" t="s">
        <v>417</v>
      </c>
      <c r="G437" s="3" t="e">
        <f t="shared" si="6"/>
        <v>#DIV/0!</v>
      </c>
      <c r="I437" s="3">
        <f>D437/(VLOOKUP(B437,'2023 Team'!$B$2:$G$33,3,FALSE))</f>
        <v>0</v>
      </c>
    </row>
    <row r="438" spans="1:9" x14ac:dyDescent="0.25">
      <c r="A438" t="s">
        <v>1804</v>
      </c>
      <c r="B438" t="s">
        <v>44</v>
      </c>
      <c r="C438" t="s">
        <v>153</v>
      </c>
      <c r="D438" t="s">
        <v>417</v>
      </c>
      <c r="E438" t="s">
        <v>417</v>
      </c>
      <c r="F438" t="s">
        <v>417</v>
      </c>
      <c r="G438" s="3" t="e">
        <f t="shared" si="6"/>
        <v>#DIV/0!</v>
      </c>
      <c r="I438" s="3">
        <f>D438/(VLOOKUP(B438,'2023 Team'!$B$2:$G$33,3,FALSE))</f>
        <v>0</v>
      </c>
    </row>
    <row r="439" spans="1:9" x14ac:dyDescent="0.25">
      <c r="A439" t="s">
        <v>1805</v>
      </c>
      <c r="B439" t="s">
        <v>40</v>
      </c>
      <c r="C439" t="s">
        <v>153</v>
      </c>
      <c r="D439" t="s">
        <v>417</v>
      </c>
      <c r="E439" t="s">
        <v>417</v>
      </c>
      <c r="F439" t="s">
        <v>417</v>
      </c>
      <c r="G439" s="3" t="e">
        <f t="shared" si="6"/>
        <v>#DIV/0!</v>
      </c>
      <c r="I439" s="3">
        <f>D439/(VLOOKUP(B439,'2023 Team'!$B$2:$G$33,3,FALSE))</f>
        <v>0</v>
      </c>
    </row>
    <row r="440" spans="1:9" x14ac:dyDescent="0.25">
      <c r="A440" t="s">
        <v>847</v>
      </c>
      <c r="B440" t="s">
        <v>20</v>
      </c>
      <c r="C440" t="s">
        <v>153</v>
      </c>
      <c r="D440" t="s">
        <v>417</v>
      </c>
      <c r="E440" t="s">
        <v>417</v>
      </c>
      <c r="F440" t="s">
        <v>417</v>
      </c>
      <c r="G440" s="3" t="e">
        <f t="shared" ref="G440:G503" si="7">F440/D440</f>
        <v>#DIV/0!</v>
      </c>
      <c r="I440" s="3">
        <f>D440/(VLOOKUP(B440,'2023 Team'!$B$2:$G$33,3,FALSE))</f>
        <v>0</v>
      </c>
    </row>
    <row r="441" spans="1:9" x14ac:dyDescent="0.25">
      <c r="A441" t="s">
        <v>867</v>
      </c>
      <c r="B441" t="s">
        <v>26</v>
      </c>
      <c r="C441" t="s">
        <v>163</v>
      </c>
      <c r="D441" t="s">
        <v>417</v>
      </c>
      <c r="E441" t="s">
        <v>417</v>
      </c>
      <c r="F441" t="s">
        <v>417</v>
      </c>
      <c r="G441" s="3" t="e">
        <f t="shared" si="7"/>
        <v>#DIV/0!</v>
      </c>
      <c r="I441" s="3">
        <f>D441/(VLOOKUP(B441,'2023 Team'!$B$2:$G$33,3,FALSE))</f>
        <v>0</v>
      </c>
    </row>
    <row r="442" spans="1:9" x14ac:dyDescent="0.25">
      <c r="A442" t="s">
        <v>1806</v>
      </c>
      <c r="B442" t="s">
        <v>16</v>
      </c>
      <c r="C442" t="s">
        <v>153</v>
      </c>
      <c r="D442" t="s">
        <v>417</v>
      </c>
      <c r="E442" t="s">
        <v>417</v>
      </c>
      <c r="F442" t="s">
        <v>417</v>
      </c>
      <c r="G442" s="3" t="e">
        <f t="shared" si="7"/>
        <v>#DIV/0!</v>
      </c>
      <c r="I442" s="3">
        <f>D442/(VLOOKUP(B442,'2023 Team'!$B$2:$G$33,3,FALSE))</f>
        <v>0</v>
      </c>
    </row>
    <row r="443" spans="1:9" x14ac:dyDescent="0.25">
      <c r="A443" t="s">
        <v>972</v>
      </c>
      <c r="B443" t="s">
        <v>54</v>
      </c>
      <c r="C443" t="s">
        <v>163</v>
      </c>
      <c r="D443" t="s">
        <v>417</v>
      </c>
      <c r="E443" t="s">
        <v>417</v>
      </c>
      <c r="F443" t="s">
        <v>417</v>
      </c>
      <c r="G443" s="3" t="e">
        <f t="shared" si="7"/>
        <v>#DIV/0!</v>
      </c>
      <c r="I443" s="3">
        <f>D443/(VLOOKUP(B443,'2023 Team'!$B$2:$G$33,3,FALSE))</f>
        <v>0</v>
      </c>
    </row>
    <row r="444" spans="1:9" x14ac:dyDescent="0.25">
      <c r="A444" t="s">
        <v>694</v>
      </c>
      <c r="B444" t="s">
        <v>20</v>
      </c>
      <c r="C444" t="s">
        <v>163</v>
      </c>
      <c r="D444" t="s">
        <v>417</v>
      </c>
      <c r="E444" t="s">
        <v>417</v>
      </c>
      <c r="F444" t="s">
        <v>417</v>
      </c>
      <c r="G444" s="3" t="e">
        <f t="shared" si="7"/>
        <v>#DIV/0!</v>
      </c>
      <c r="I444" s="3">
        <f>D444/(VLOOKUP(B444,'2023 Team'!$B$2:$G$33,3,FALSE))</f>
        <v>0</v>
      </c>
    </row>
    <row r="445" spans="1:9" x14ac:dyDescent="0.25">
      <c r="A445" t="s">
        <v>1807</v>
      </c>
      <c r="B445" t="s">
        <v>20</v>
      </c>
      <c r="C445" t="s">
        <v>163</v>
      </c>
      <c r="D445" t="s">
        <v>417</v>
      </c>
      <c r="E445" t="s">
        <v>417</v>
      </c>
      <c r="F445" t="s">
        <v>417</v>
      </c>
      <c r="G445" s="3" t="e">
        <f t="shared" si="7"/>
        <v>#DIV/0!</v>
      </c>
      <c r="I445" s="3">
        <f>D445/(VLOOKUP(B445,'2023 Team'!$B$2:$G$33,3,FALSE))</f>
        <v>0</v>
      </c>
    </row>
    <row r="446" spans="1:9" x14ac:dyDescent="0.25">
      <c r="A446" t="s">
        <v>753</v>
      </c>
      <c r="B446" t="s">
        <v>20</v>
      </c>
      <c r="C446" t="s">
        <v>163</v>
      </c>
      <c r="D446" t="s">
        <v>417</v>
      </c>
      <c r="E446" t="s">
        <v>417</v>
      </c>
      <c r="F446" t="s">
        <v>417</v>
      </c>
      <c r="G446" s="3" t="e">
        <f t="shared" si="7"/>
        <v>#DIV/0!</v>
      </c>
      <c r="I446" s="3">
        <f>D446/(VLOOKUP(B446,'2023 Team'!$B$2:$G$33,3,FALSE))</f>
        <v>0</v>
      </c>
    </row>
    <row r="447" spans="1:9" x14ac:dyDescent="0.25">
      <c r="A447" t="s">
        <v>1808</v>
      </c>
      <c r="B447" t="s">
        <v>48</v>
      </c>
      <c r="C447" t="s">
        <v>163</v>
      </c>
      <c r="D447" t="s">
        <v>417</v>
      </c>
      <c r="E447" t="s">
        <v>417</v>
      </c>
      <c r="F447" t="s">
        <v>417</v>
      </c>
      <c r="G447" s="3" t="e">
        <f t="shared" si="7"/>
        <v>#DIV/0!</v>
      </c>
      <c r="I447" s="3">
        <f>D447/(VLOOKUP(B447,'2023 Team'!$B$2:$G$33,3,FALSE))</f>
        <v>0</v>
      </c>
    </row>
    <row r="448" spans="1:9" x14ac:dyDescent="0.25">
      <c r="A448" t="s">
        <v>1809</v>
      </c>
      <c r="B448" t="s">
        <v>38</v>
      </c>
      <c r="C448" t="s">
        <v>163</v>
      </c>
      <c r="D448" t="s">
        <v>417</v>
      </c>
      <c r="E448" t="s">
        <v>417</v>
      </c>
      <c r="F448" t="s">
        <v>417</v>
      </c>
      <c r="G448" s="3" t="e">
        <f t="shared" si="7"/>
        <v>#DIV/0!</v>
      </c>
      <c r="I448" s="3">
        <f>D448/(VLOOKUP(B448,'2023 Team'!$B$2:$G$33,3,FALSE))</f>
        <v>0</v>
      </c>
    </row>
    <row r="449" spans="1:9" x14ac:dyDescent="0.25">
      <c r="A449" t="s">
        <v>1017</v>
      </c>
      <c r="B449" t="s">
        <v>62</v>
      </c>
      <c r="C449" t="s">
        <v>163</v>
      </c>
      <c r="D449" t="s">
        <v>417</v>
      </c>
      <c r="E449" t="s">
        <v>417</v>
      </c>
      <c r="F449" t="s">
        <v>417</v>
      </c>
      <c r="G449" s="3" t="e">
        <f t="shared" si="7"/>
        <v>#DIV/0!</v>
      </c>
      <c r="I449" s="3">
        <f>D449/(VLOOKUP(B449,'2023 Team'!$B$2:$G$33,3,FALSE))</f>
        <v>0</v>
      </c>
    </row>
    <row r="450" spans="1:9" x14ac:dyDescent="0.25">
      <c r="A450" t="s">
        <v>762</v>
      </c>
      <c r="B450" t="s">
        <v>26</v>
      </c>
      <c r="C450" t="s">
        <v>163</v>
      </c>
      <c r="D450" t="s">
        <v>417</v>
      </c>
      <c r="E450" t="s">
        <v>417</v>
      </c>
      <c r="F450" t="s">
        <v>417</v>
      </c>
      <c r="G450" s="3" t="e">
        <f t="shared" si="7"/>
        <v>#DIV/0!</v>
      </c>
      <c r="I450" s="3">
        <f>D450/(VLOOKUP(B450,'2023 Team'!$B$2:$G$33,3,FALSE))</f>
        <v>0</v>
      </c>
    </row>
    <row r="451" spans="1:9" x14ac:dyDescent="0.25">
      <c r="A451" t="s">
        <v>1810</v>
      </c>
      <c r="B451" t="s">
        <v>26</v>
      </c>
      <c r="C451" t="s">
        <v>163</v>
      </c>
      <c r="D451" t="s">
        <v>417</v>
      </c>
      <c r="E451" t="s">
        <v>417</v>
      </c>
      <c r="F451" t="s">
        <v>417</v>
      </c>
      <c r="G451" s="3" t="e">
        <f t="shared" si="7"/>
        <v>#DIV/0!</v>
      </c>
      <c r="I451" s="3">
        <f>D451/(VLOOKUP(B451,'2023 Team'!$B$2:$G$33,3,FALSE))</f>
        <v>0</v>
      </c>
    </row>
    <row r="452" spans="1:9" x14ac:dyDescent="0.25">
      <c r="A452" t="s">
        <v>1811</v>
      </c>
      <c r="B452" t="s">
        <v>18</v>
      </c>
      <c r="C452" t="s">
        <v>163</v>
      </c>
      <c r="D452" t="s">
        <v>417</v>
      </c>
      <c r="E452" t="s">
        <v>417</v>
      </c>
      <c r="F452" t="s">
        <v>417</v>
      </c>
      <c r="G452" s="3" t="e">
        <f t="shared" si="7"/>
        <v>#DIV/0!</v>
      </c>
      <c r="I452" s="3">
        <f>D452/(VLOOKUP(B452,'2023 Team'!$B$2:$G$33,3,FALSE))</f>
        <v>0</v>
      </c>
    </row>
    <row r="453" spans="1:9" x14ac:dyDescent="0.25">
      <c r="A453" t="s">
        <v>1812</v>
      </c>
      <c r="B453" t="s">
        <v>60</v>
      </c>
      <c r="C453" t="s">
        <v>163</v>
      </c>
      <c r="D453" t="s">
        <v>417</v>
      </c>
      <c r="E453" t="s">
        <v>417</v>
      </c>
      <c r="F453" t="s">
        <v>417</v>
      </c>
      <c r="G453" s="3" t="e">
        <f t="shared" si="7"/>
        <v>#DIV/0!</v>
      </c>
      <c r="I453" s="3">
        <f>D453/(VLOOKUP(B453,'2023 Team'!$B$2:$G$33,3,FALSE))</f>
        <v>0</v>
      </c>
    </row>
    <row r="454" spans="1:9" x14ac:dyDescent="0.25">
      <c r="A454" t="s">
        <v>1813</v>
      </c>
      <c r="B454" t="s">
        <v>40</v>
      </c>
      <c r="C454" t="s">
        <v>613</v>
      </c>
      <c r="D454" t="s">
        <v>417</v>
      </c>
      <c r="E454" t="s">
        <v>417</v>
      </c>
      <c r="F454" t="s">
        <v>417</v>
      </c>
      <c r="G454" s="3" t="e">
        <f t="shared" si="7"/>
        <v>#DIV/0!</v>
      </c>
      <c r="I454" s="3">
        <f>D454/(VLOOKUP(B454,'2023 Team'!$B$2:$G$33,3,FALSE))</f>
        <v>0</v>
      </c>
    </row>
    <row r="455" spans="1:9" x14ac:dyDescent="0.25">
      <c r="A455" t="s">
        <v>956</v>
      </c>
      <c r="B455" t="s">
        <v>52</v>
      </c>
      <c r="C455" t="s">
        <v>153</v>
      </c>
      <c r="D455" t="s">
        <v>417</v>
      </c>
      <c r="E455" t="s">
        <v>417</v>
      </c>
      <c r="F455" t="s">
        <v>417</v>
      </c>
      <c r="G455" s="3" t="e">
        <f t="shared" si="7"/>
        <v>#DIV/0!</v>
      </c>
      <c r="I455" s="3">
        <f>D455/(VLOOKUP(B455,'2023 Team'!$B$2:$G$33,3,FALSE))</f>
        <v>0</v>
      </c>
    </row>
    <row r="456" spans="1:9" x14ac:dyDescent="0.25">
      <c r="A456" t="s">
        <v>977</v>
      </c>
      <c r="B456" t="s">
        <v>44</v>
      </c>
      <c r="C456" t="s">
        <v>163</v>
      </c>
      <c r="D456" t="s">
        <v>417</v>
      </c>
      <c r="E456" t="s">
        <v>417</v>
      </c>
      <c r="F456" t="s">
        <v>417</v>
      </c>
      <c r="G456" s="3" t="e">
        <f t="shared" si="7"/>
        <v>#DIV/0!</v>
      </c>
      <c r="I456" s="3">
        <f>D456/(VLOOKUP(B456,'2023 Team'!$B$2:$G$33,3,FALSE))</f>
        <v>0</v>
      </c>
    </row>
    <row r="457" spans="1:9" x14ac:dyDescent="0.25">
      <c r="A457" t="s">
        <v>1814</v>
      </c>
      <c r="B457" t="s">
        <v>58</v>
      </c>
      <c r="C457" t="s">
        <v>163</v>
      </c>
      <c r="D457" t="s">
        <v>417</v>
      </c>
      <c r="E457" t="s">
        <v>417</v>
      </c>
      <c r="F457" t="s">
        <v>417</v>
      </c>
      <c r="G457" s="3" t="e">
        <f t="shared" si="7"/>
        <v>#DIV/0!</v>
      </c>
      <c r="I457" s="3">
        <f>D457/(VLOOKUP(B457,'2023 Team'!$B$2:$G$33,3,FALSE))</f>
        <v>0</v>
      </c>
    </row>
    <row r="458" spans="1:9" x14ac:dyDescent="0.25">
      <c r="A458" t="s">
        <v>1815</v>
      </c>
      <c r="B458" t="s">
        <v>28</v>
      </c>
      <c r="C458" t="s">
        <v>163</v>
      </c>
      <c r="D458" t="s">
        <v>417</v>
      </c>
      <c r="E458" t="s">
        <v>417</v>
      </c>
      <c r="F458" t="s">
        <v>417</v>
      </c>
      <c r="G458" s="3" t="e">
        <f t="shared" si="7"/>
        <v>#DIV/0!</v>
      </c>
      <c r="I458" s="3">
        <f>D458/(VLOOKUP(B458,'2023 Team'!$B$2:$G$33,3,FALSE))</f>
        <v>0</v>
      </c>
    </row>
    <row r="459" spans="1:9" x14ac:dyDescent="0.25">
      <c r="A459" t="s">
        <v>900</v>
      </c>
      <c r="B459" t="s">
        <v>36</v>
      </c>
      <c r="C459" t="s">
        <v>163</v>
      </c>
      <c r="D459" t="s">
        <v>417</v>
      </c>
      <c r="E459" t="s">
        <v>417</v>
      </c>
      <c r="F459" t="s">
        <v>417</v>
      </c>
      <c r="G459" s="3" t="e">
        <f t="shared" si="7"/>
        <v>#DIV/0!</v>
      </c>
      <c r="I459" s="3">
        <f>D459/(VLOOKUP(B459,'2023 Team'!$B$2:$G$33,3,FALSE))</f>
        <v>0</v>
      </c>
    </row>
    <row r="460" spans="1:9" x14ac:dyDescent="0.25">
      <c r="A460" t="s">
        <v>794</v>
      </c>
      <c r="B460" t="s">
        <v>36</v>
      </c>
      <c r="C460" t="s">
        <v>163</v>
      </c>
      <c r="D460" t="s">
        <v>417</v>
      </c>
      <c r="E460" t="s">
        <v>417</v>
      </c>
      <c r="F460" t="s">
        <v>417</v>
      </c>
      <c r="G460" s="3" t="e">
        <f t="shared" si="7"/>
        <v>#DIV/0!</v>
      </c>
      <c r="I460" s="3">
        <f>D460/(VLOOKUP(B460,'2023 Team'!$B$2:$G$33,3,FALSE))</f>
        <v>0</v>
      </c>
    </row>
    <row r="461" spans="1:9" x14ac:dyDescent="0.25">
      <c r="A461" t="s">
        <v>1816</v>
      </c>
      <c r="B461" t="s">
        <v>32</v>
      </c>
      <c r="C461" t="s">
        <v>153</v>
      </c>
      <c r="D461" t="s">
        <v>417</v>
      </c>
      <c r="E461" t="s">
        <v>417</v>
      </c>
      <c r="F461" t="s">
        <v>417</v>
      </c>
      <c r="G461" s="3" t="e">
        <f t="shared" si="7"/>
        <v>#DIV/0!</v>
      </c>
      <c r="I461" s="3">
        <f>D461/(VLOOKUP(B461,'2023 Team'!$B$2:$G$33,3,FALSE))</f>
        <v>0</v>
      </c>
    </row>
    <row r="462" spans="1:9" x14ac:dyDescent="0.25">
      <c r="A462" t="s">
        <v>777</v>
      </c>
      <c r="B462" t="s">
        <v>38</v>
      </c>
      <c r="C462" t="s">
        <v>153</v>
      </c>
      <c r="D462" t="s">
        <v>417</v>
      </c>
      <c r="E462" t="s">
        <v>417</v>
      </c>
      <c r="F462" t="s">
        <v>417</v>
      </c>
      <c r="G462" s="3" t="e">
        <f t="shared" si="7"/>
        <v>#DIV/0!</v>
      </c>
      <c r="I462" s="3">
        <f>D462/(VLOOKUP(B462,'2023 Team'!$B$2:$G$33,3,FALSE))</f>
        <v>0</v>
      </c>
    </row>
    <row r="463" spans="1:9" x14ac:dyDescent="0.25">
      <c r="A463" t="s">
        <v>1817</v>
      </c>
      <c r="B463" t="s">
        <v>66</v>
      </c>
      <c r="C463" t="s">
        <v>153</v>
      </c>
      <c r="D463" t="s">
        <v>417</v>
      </c>
      <c r="E463" t="s">
        <v>417</v>
      </c>
      <c r="F463" t="s">
        <v>417</v>
      </c>
      <c r="G463" s="3" t="e">
        <f t="shared" si="7"/>
        <v>#DIV/0!</v>
      </c>
      <c r="I463" s="3">
        <f>D463/(VLOOKUP(B463,'2023 Team'!$B$2:$G$33,3,FALSE))</f>
        <v>0</v>
      </c>
    </row>
    <row r="464" spans="1:9" x14ac:dyDescent="0.25">
      <c r="A464" t="s">
        <v>824</v>
      </c>
      <c r="B464" t="s">
        <v>14</v>
      </c>
      <c r="C464" t="s">
        <v>153</v>
      </c>
      <c r="D464" t="s">
        <v>417</v>
      </c>
      <c r="E464" t="s">
        <v>417</v>
      </c>
      <c r="F464" t="s">
        <v>417</v>
      </c>
      <c r="G464" s="3" t="e">
        <f t="shared" si="7"/>
        <v>#DIV/0!</v>
      </c>
      <c r="I464" s="3">
        <f>D464/(VLOOKUP(B464,'2023 Team'!$B$2:$G$33,3,FALSE))</f>
        <v>0</v>
      </c>
    </row>
    <row r="465" spans="1:9" x14ac:dyDescent="0.25">
      <c r="A465" t="s">
        <v>1032</v>
      </c>
      <c r="B465" t="s">
        <v>68</v>
      </c>
      <c r="C465" t="s">
        <v>163</v>
      </c>
      <c r="D465" t="s">
        <v>417</v>
      </c>
      <c r="E465" t="s">
        <v>417</v>
      </c>
      <c r="F465" t="s">
        <v>417</v>
      </c>
      <c r="G465" s="3" t="e">
        <f t="shared" si="7"/>
        <v>#DIV/0!</v>
      </c>
      <c r="I465" s="3">
        <f>D465/(VLOOKUP(B465,'2023 Team'!$B$2:$G$33,3,FALSE))</f>
        <v>0</v>
      </c>
    </row>
    <row r="466" spans="1:9" x14ac:dyDescent="0.25">
      <c r="A466" t="s">
        <v>1818</v>
      </c>
      <c r="B466" t="s">
        <v>52</v>
      </c>
      <c r="C466" t="s">
        <v>163</v>
      </c>
      <c r="D466" t="s">
        <v>417</v>
      </c>
      <c r="E466" t="s">
        <v>417</v>
      </c>
      <c r="F466" t="s">
        <v>417</v>
      </c>
      <c r="G466" s="3" t="e">
        <f t="shared" si="7"/>
        <v>#DIV/0!</v>
      </c>
      <c r="I466" s="3">
        <f>D466/(VLOOKUP(B466,'2023 Team'!$B$2:$G$33,3,FALSE))</f>
        <v>0</v>
      </c>
    </row>
    <row r="467" spans="1:9" x14ac:dyDescent="0.25">
      <c r="A467" t="s">
        <v>825</v>
      </c>
      <c r="B467" t="s">
        <v>14</v>
      </c>
      <c r="C467" t="s">
        <v>153</v>
      </c>
      <c r="D467" t="s">
        <v>417</v>
      </c>
      <c r="E467" t="s">
        <v>417</v>
      </c>
      <c r="F467" t="s">
        <v>417</v>
      </c>
      <c r="G467" s="3" t="e">
        <f t="shared" si="7"/>
        <v>#DIV/0!</v>
      </c>
      <c r="I467" s="3">
        <f>D467/(VLOOKUP(B467,'2023 Team'!$B$2:$G$33,3,FALSE))</f>
        <v>0</v>
      </c>
    </row>
    <row r="468" spans="1:9" x14ac:dyDescent="0.25">
      <c r="A468" t="s">
        <v>814</v>
      </c>
      <c r="B468" t="s">
        <v>12</v>
      </c>
      <c r="C468" t="s">
        <v>153</v>
      </c>
      <c r="D468" t="s">
        <v>417</v>
      </c>
      <c r="E468" t="s">
        <v>417</v>
      </c>
      <c r="F468" t="s">
        <v>417</v>
      </c>
      <c r="G468" s="3" t="e">
        <f t="shared" si="7"/>
        <v>#DIV/0!</v>
      </c>
      <c r="I468" s="3">
        <f>D468/(VLOOKUP(B468,'2023 Team'!$B$2:$G$33,3,FALSE))</f>
        <v>0</v>
      </c>
    </row>
    <row r="469" spans="1:9" x14ac:dyDescent="0.25">
      <c r="A469" t="s">
        <v>738</v>
      </c>
      <c r="B469" t="s">
        <v>30</v>
      </c>
      <c r="C469" t="s">
        <v>153</v>
      </c>
      <c r="D469" t="s">
        <v>417</v>
      </c>
      <c r="E469" t="s">
        <v>417</v>
      </c>
      <c r="F469" t="s">
        <v>417</v>
      </c>
      <c r="G469" s="3" t="e">
        <f t="shared" si="7"/>
        <v>#DIV/0!</v>
      </c>
      <c r="I469" s="3">
        <f>D469/(VLOOKUP(B469,'2023 Team'!$B$2:$G$33,3,FALSE))</f>
        <v>0</v>
      </c>
    </row>
    <row r="470" spans="1:9" x14ac:dyDescent="0.25">
      <c r="A470" t="s">
        <v>868</v>
      </c>
      <c r="B470" t="s">
        <v>26</v>
      </c>
      <c r="C470" t="s">
        <v>153</v>
      </c>
      <c r="D470" t="s">
        <v>417</v>
      </c>
      <c r="E470" t="s">
        <v>417</v>
      </c>
      <c r="F470" t="s">
        <v>417</v>
      </c>
      <c r="G470" s="3" t="e">
        <f t="shared" si="7"/>
        <v>#DIV/0!</v>
      </c>
      <c r="I470" s="3">
        <f>D470/(VLOOKUP(B470,'2023 Team'!$B$2:$G$33,3,FALSE))</f>
        <v>0</v>
      </c>
    </row>
    <row r="471" spans="1:9" x14ac:dyDescent="0.25">
      <c r="A471" t="s">
        <v>1819</v>
      </c>
      <c r="B471" t="s">
        <v>20</v>
      </c>
      <c r="C471" t="s">
        <v>163</v>
      </c>
      <c r="D471" t="s">
        <v>417</v>
      </c>
      <c r="E471" t="s">
        <v>417</v>
      </c>
      <c r="F471" t="s">
        <v>417</v>
      </c>
      <c r="G471" s="3" t="e">
        <f t="shared" si="7"/>
        <v>#DIV/0!</v>
      </c>
      <c r="I471" s="3">
        <f>D471/(VLOOKUP(B471,'2023 Team'!$B$2:$G$33,3,FALSE))</f>
        <v>0</v>
      </c>
    </row>
    <row r="472" spans="1:9" x14ac:dyDescent="0.25">
      <c r="A472" t="s">
        <v>978</v>
      </c>
      <c r="B472" t="s">
        <v>56</v>
      </c>
      <c r="C472" t="s">
        <v>163</v>
      </c>
      <c r="D472" t="s">
        <v>417</v>
      </c>
      <c r="E472" t="s">
        <v>417</v>
      </c>
      <c r="F472" t="s">
        <v>417</v>
      </c>
      <c r="G472" s="3" t="e">
        <f t="shared" si="7"/>
        <v>#DIV/0!</v>
      </c>
      <c r="I472" s="3">
        <f>D472/(VLOOKUP(B472,'2023 Team'!$B$2:$G$33,3,FALSE))</f>
        <v>0</v>
      </c>
    </row>
    <row r="473" spans="1:9" x14ac:dyDescent="0.25">
      <c r="A473" t="s">
        <v>1820</v>
      </c>
      <c r="B473" t="s">
        <v>18</v>
      </c>
      <c r="C473" t="s">
        <v>153</v>
      </c>
      <c r="D473" t="s">
        <v>417</v>
      </c>
      <c r="E473" t="s">
        <v>417</v>
      </c>
      <c r="F473" t="s">
        <v>417</v>
      </c>
      <c r="G473" s="3" t="e">
        <f t="shared" si="7"/>
        <v>#DIV/0!</v>
      </c>
      <c r="I473" s="3">
        <f>D473/(VLOOKUP(B473,'2023 Team'!$B$2:$G$33,3,FALSE))</f>
        <v>0</v>
      </c>
    </row>
    <row r="474" spans="1:9" x14ac:dyDescent="0.25">
      <c r="A474" t="s">
        <v>815</v>
      </c>
      <c r="B474" t="s">
        <v>12</v>
      </c>
      <c r="C474" t="s">
        <v>153</v>
      </c>
      <c r="D474" t="s">
        <v>417</v>
      </c>
      <c r="E474" t="s">
        <v>417</v>
      </c>
      <c r="F474" t="s">
        <v>417</v>
      </c>
      <c r="G474" s="3" t="e">
        <f t="shared" si="7"/>
        <v>#DIV/0!</v>
      </c>
      <c r="I474" s="3">
        <f>D474/(VLOOKUP(B474,'2023 Team'!$B$2:$G$33,3,FALSE))</f>
        <v>0</v>
      </c>
    </row>
    <row r="475" spans="1:9" x14ac:dyDescent="0.25">
      <c r="A475" t="s">
        <v>935</v>
      </c>
      <c r="B475" t="s">
        <v>64</v>
      </c>
      <c r="C475" t="s">
        <v>163</v>
      </c>
      <c r="D475" t="s">
        <v>417</v>
      </c>
      <c r="E475" t="s">
        <v>417</v>
      </c>
      <c r="F475" t="s">
        <v>417</v>
      </c>
      <c r="G475" s="3" t="e">
        <f t="shared" si="7"/>
        <v>#DIV/0!</v>
      </c>
      <c r="I475" s="3">
        <f>D475/(VLOOKUP(B475,'2023 Team'!$B$2:$G$33,3,FALSE))</f>
        <v>0</v>
      </c>
    </row>
    <row r="476" spans="1:9" x14ac:dyDescent="0.25">
      <c r="A476" t="s">
        <v>803</v>
      </c>
      <c r="B476" t="s">
        <v>10</v>
      </c>
      <c r="C476" t="s">
        <v>163</v>
      </c>
      <c r="D476" t="s">
        <v>417</v>
      </c>
      <c r="E476" t="s">
        <v>417</v>
      </c>
      <c r="F476" t="s">
        <v>417</v>
      </c>
      <c r="G476" s="3" t="e">
        <f t="shared" si="7"/>
        <v>#DIV/0!</v>
      </c>
      <c r="I476" s="3">
        <f>D476/(VLOOKUP(B476,'2023 Team'!$B$2:$G$33,3,FALSE))</f>
        <v>0</v>
      </c>
    </row>
    <row r="477" spans="1:9" x14ac:dyDescent="0.25">
      <c r="A477" t="s">
        <v>894</v>
      </c>
      <c r="B477" t="s">
        <v>34</v>
      </c>
      <c r="C477" t="s">
        <v>153</v>
      </c>
      <c r="D477" t="s">
        <v>417</v>
      </c>
      <c r="E477" t="s">
        <v>417</v>
      </c>
      <c r="F477" t="s">
        <v>417</v>
      </c>
      <c r="G477" s="3" t="e">
        <f t="shared" si="7"/>
        <v>#DIV/0!</v>
      </c>
      <c r="I477" s="3">
        <f>D477/(VLOOKUP(B477,'2023 Team'!$B$2:$G$33,3,FALSE))</f>
        <v>0</v>
      </c>
    </row>
    <row r="478" spans="1:9" x14ac:dyDescent="0.25">
      <c r="A478" t="s">
        <v>974</v>
      </c>
      <c r="B478" t="s">
        <v>26</v>
      </c>
      <c r="C478" t="s">
        <v>153</v>
      </c>
      <c r="D478" t="s">
        <v>417</v>
      </c>
      <c r="E478" t="s">
        <v>417</v>
      </c>
      <c r="F478" t="s">
        <v>417</v>
      </c>
      <c r="G478" s="3" t="e">
        <f t="shared" si="7"/>
        <v>#DIV/0!</v>
      </c>
      <c r="I478" s="3">
        <f>D478/(VLOOKUP(B478,'2023 Team'!$B$2:$G$33,3,FALSE))</f>
        <v>0</v>
      </c>
    </row>
    <row r="479" spans="1:9" x14ac:dyDescent="0.25">
      <c r="A479" t="s">
        <v>1821</v>
      </c>
      <c r="B479" t="s">
        <v>16</v>
      </c>
      <c r="C479" t="s">
        <v>163</v>
      </c>
      <c r="D479" t="s">
        <v>417</v>
      </c>
      <c r="E479" t="s">
        <v>417</v>
      </c>
      <c r="F479" t="s">
        <v>417</v>
      </c>
      <c r="G479" s="3" t="e">
        <f t="shared" si="7"/>
        <v>#DIV/0!</v>
      </c>
      <c r="I479" s="3">
        <f>D479/(VLOOKUP(B479,'2023 Team'!$B$2:$G$33,3,FALSE))</f>
        <v>0</v>
      </c>
    </row>
    <row r="480" spans="1:9" x14ac:dyDescent="0.25">
      <c r="A480" t="s">
        <v>936</v>
      </c>
      <c r="B480" t="s">
        <v>40</v>
      </c>
      <c r="C480" t="s">
        <v>153</v>
      </c>
      <c r="D480" t="s">
        <v>417</v>
      </c>
      <c r="E480" t="s">
        <v>417</v>
      </c>
      <c r="F480" t="s">
        <v>417</v>
      </c>
      <c r="G480" s="3" t="e">
        <f t="shared" si="7"/>
        <v>#DIV/0!</v>
      </c>
      <c r="I480" s="3">
        <f>D480/(VLOOKUP(B480,'2023 Team'!$B$2:$G$33,3,FALSE))</f>
        <v>0</v>
      </c>
    </row>
    <row r="481" spans="1:9" x14ac:dyDescent="0.25">
      <c r="A481" t="s">
        <v>795</v>
      </c>
      <c r="B481" t="s">
        <v>8</v>
      </c>
      <c r="C481" t="s">
        <v>153</v>
      </c>
      <c r="D481" t="s">
        <v>417</v>
      </c>
      <c r="E481" t="s">
        <v>417</v>
      </c>
      <c r="F481" t="s">
        <v>417</v>
      </c>
      <c r="G481" s="3" t="e">
        <f t="shared" si="7"/>
        <v>#DIV/0!</v>
      </c>
      <c r="I481" s="3">
        <f>D481/(VLOOKUP(B481,'2023 Team'!$B$2:$G$33,3,FALSE))</f>
        <v>0</v>
      </c>
    </row>
    <row r="482" spans="1:9" x14ac:dyDescent="0.25">
      <c r="A482" t="s">
        <v>1822</v>
      </c>
      <c r="B482" t="s">
        <v>60</v>
      </c>
      <c r="C482" t="s">
        <v>159</v>
      </c>
      <c r="D482" t="s">
        <v>417</v>
      </c>
      <c r="E482" t="s">
        <v>417</v>
      </c>
      <c r="F482" t="s">
        <v>417</v>
      </c>
      <c r="G482" s="3" t="e">
        <f t="shared" si="7"/>
        <v>#DIV/0!</v>
      </c>
      <c r="I482" s="3">
        <f>D482/(VLOOKUP(B482,'2023 Team'!$B$2:$G$33,3,FALSE))</f>
        <v>0</v>
      </c>
    </row>
    <row r="483" spans="1:9" x14ac:dyDescent="0.25">
      <c r="A483" t="s">
        <v>1823</v>
      </c>
      <c r="B483" t="s">
        <v>24</v>
      </c>
      <c r="C483" t="s">
        <v>153</v>
      </c>
      <c r="D483" t="s">
        <v>417</v>
      </c>
      <c r="E483" t="s">
        <v>417</v>
      </c>
      <c r="F483" t="s">
        <v>417</v>
      </c>
      <c r="G483" s="3" t="e">
        <f t="shared" si="7"/>
        <v>#DIV/0!</v>
      </c>
      <c r="I483" s="3">
        <f>D483/(VLOOKUP(B483,'2023 Team'!$B$2:$G$33,3,FALSE))</f>
        <v>0</v>
      </c>
    </row>
    <row r="484" spans="1:9" x14ac:dyDescent="0.25">
      <c r="A484" t="s">
        <v>1048</v>
      </c>
      <c r="B484" t="s">
        <v>70</v>
      </c>
      <c r="C484" t="s">
        <v>163</v>
      </c>
      <c r="D484" t="s">
        <v>417</v>
      </c>
      <c r="E484" t="s">
        <v>417</v>
      </c>
      <c r="F484" t="s">
        <v>417</v>
      </c>
      <c r="G484" s="3" t="e">
        <f t="shared" si="7"/>
        <v>#DIV/0!</v>
      </c>
      <c r="I484" s="3">
        <f>D484/(VLOOKUP(B484,'2023 Team'!$B$2:$G$33,3,FALSE))</f>
        <v>0</v>
      </c>
    </row>
    <row r="485" spans="1:9" x14ac:dyDescent="0.25">
      <c r="A485" t="s">
        <v>707</v>
      </c>
      <c r="B485" t="s">
        <v>64</v>
      </c>
      <c r="C485" t="s">
        <v>163</v>
      </c>
      <c r="D485" t="s">
        <v>417</v>
      </c>
      <c r="E485" t="s">
        <v>417</v>
      </c>
      <c r="F485" t="s">
        <v>417</v>
      </c>
      <c r="G485" s="3" t="e">
        <f t="shared" si="7"/>
        <v>#DIV/0!</v>
      </c>
      <c r="I485" s="3">
        <f>D485/(VLOOKUP(B485,'2023 Team'!$B$2:$G$33,3,FALSE))</f>
        <v>0</v>
      </c>
    </row>
    <row r="486" spans="1:9" x14ac:dyDescent="0.25">
      <c r="A486" t="s">
        <v>1001</v>
      </c>
      <c r="B486" t="s">
        <v>10</v>
      </c>
      <c r="C486" t="s">
        <v>163</v>
      </c>
      <c r="D486" t="s">
        <v>417</v>
      </c>
      <c r="E486" t="s">
        <v>417</v>
      </c>
      <c r="F486" t="s">
        <v>417</v>
      </c>
      <c r="G486" s="3" t="e">
        <f t="shared" si="7"/>
        <v>#DIV/0!</v>
      </c>
      <c r="I486" s="3">
        <f>D486/(VLOOKUP(B486,'2023 Team'!$B$2:$G$33,3,FALSE))</f>
        <v>0</v>
      </c>
    </row>
    <row r="487" spans="1:9" x14ac:dyDescent="0.25">
      <c r="A487" t="s">
        <v>1824</v>
      </c>
      <c r="B487" t="s">
        <v>52</v>
      </c>
      <c r="C487" t="s">
        <v>159</v>
      </c>
      <c r="D487" t="s">
        <v>417</v>
      </c>
      <c r="E487" t="s">
        <v>417</v>
      </c>
      <c r="F487" t="s">
        <v>417</v>
      </c>
      <c r="G487" s="3" t="e">
        <f t="shared" si="7"/>
        <v>#DIV/0!</v>
      </c>
      <c r="I487" s="3">
        <f>D487/(VLOOKUP(B487,'2023 Team'!$B$2:$G$33,3,FALSE))</f>
        <v>0</v>
      </c>
    </row>
    <row r="488" spans="1:9" x14ac:dyDescent="0.25">
      <c r="A488" t="s">
        <v>858</v>
      </c>
      <c r="B488" t="s">
        <v>16</v>
      </c>
      <c r="C488" t="s">
        <v>163</v>
      </c>
      <c r="D488" t="s">
        <v>417</v>
      </c>
      <c r="E488" t="s">
        <v>417</v>
      </c>
      <c r="F488" t="s">
        <v>417</v>
      </c>
      <c r="G488" s="3" t="e">
        <f t="shared" si="7"/>
        <v>#DIV/0!</v>
      </c>
      <c r="I488" s="3">
        <f>D488/(VLOOKUP(B488,'2023 Team'!$B$2:$G$33,3,FALSE))</f>
        <v>0</v>
      </c>
    </row>
    <row r="489" spans="1:9" x14ac:dyDescent="0.25">
      <c r="A489" t="s">
        <v>832</v>
      </c>
      <c r="B489" t="s">
        <v>28</v>
      </c>
      <c r="C489" t="s">
        <v>153</v>
      </c>
      <c r="D489" t="s">
        <v>417</v>
      </c>
      <c r="E489" t="s">
        <v>417</v>
      </c>
      <c r="F489" t="s">
        <v>417</v>
      </c>
      <c r="G489" s="3" t="e">
        <f t="shared" si="7"/>
        <v>#DIV/0!</v>
      </c>
      <c r="I489" s="3">
        <f>D489/(VLOOKUP(B489,'2023 Team'!$B$2:$G$33,3,FALSE))</f>
        <v>0</v>
      </c>
    </row>
    <row r="490" spans="1:9" x14ac:dyDescent="0.25">
      <c r="A490" t="s">
        <v>1825</v>
      </c>
      <c r="B490" t="s">
        <v>34</v>
      </c>
      <c r="C490" t="s">
        <v>163</v>
      </c>
      <c r="D490" t="s">
        <v>417</v>
      </c>
      <c r="E490" t="s">
        <v>417</v>
      </c>
      <c r="F490" t="s">
        <v>417</v>
      </c>
      <c r="G490" s="3" t="e">
        <f t="shared" si="7"/>
        <v>#DIV/0!</v>
      </c>
      <c r="I490" s="3">
        <f>D490/(VLOOKUP(B490,'2023 Team'!$B$2:$G$33,3,FALSE))</f>
        <v>0</v>
      </c>
    </row>
    <row r="491" spans="1:9" x14ac:dyDescent="0.25">
      <c r="A491" t="s">
        <v>751</v>
      </c>
      <c r="B491" t="s">
        <v>66</v>
      </c>
      <c r="C491" t="s">
        <v>163</v>
      </c>
      <c r="D491" t="s">
        <v>417</v>
      </c>
      <c r="E491" t="s">
        <v>417</v>
      </c>
      <c r="F491" t="s">
        <v>417</v>
      </c>
      <c r="G491" s="3" t="e">
        <f t="shared" si="7"/>
        <v>#DIV/0!</v>
      </c>
      <c r="I491" s="3">
        <f>D491/(VLOOKUP(B491,'2023 Team'!$B$2:$G$33,3,FALSE))</f>
        <v>0</v>
      </c>
    </row>
    <row r="492" spans="1:9" x14ac:dyDescent="0.25">
      <c r="A492" t="s">
        <v>958</v>
      </c>
      <c r="B492" t="s">
        <v>52</v>
      </c>
      <c r="C492" t="s">
        <v>153</v>
      </c>
      <c r="D492" t="s">
        <v>417</v>
      </c>
      <c r="E492" t="s">
        <v>417</v>
      </c>
      <c r="F492" t="s">
        <v>417</v>
      </c>
      <c r="G492" s="3" t="e">
        <f t="shared" si="7"/>
        <v>#DIV/0!</v>
      </c>
      <c r="I492" s="3">
        <f>D492/(VLOOKUP(B492,'2023 Team'!$B$2:$G$33,3,FALSE))</f>
        <v>0</v>
      </c>
    </row>
    <row r="493" spans="1:9" x14ac:dyDescent="0.25">
      <c r="A493" t="s">
        <v>902</v>
      </c>
      <c r="B493" t="s">
        <v>14</v>
      </c>
      <c r="C493" t="s">
        <v>153</v>
      </c>
      <c r="D493" t="s">
        <v>417</v>
      </c>
      <c r="E493" t="s">
        <v>417</v>
      </c>
      <c r="F493" t="s">
        <v>417</v>
      </c>
      <c r="G493" s="3" t="e">
        <f t="shared" si="7"/>
        <v>#DIV/0!</v>
      </c>
      <c r="I493" s="3">
        <f>D493/(VLOOKUP(B493,'2023 Team'!$B$2:$G$33,3,FALSE))</f>
        <v>0</v>
      </c>
    </row>
    <row r="494" spans="1:9" x14ac:dyDescent="0.25">
      <c r="A494" t="s">
        <v>903</v>
      </c>
      <c r="B494" t="s">
        <v>48</v>
      </c>
      <c r="C494" t="s">
        <v>153</v>
      </c>
      <c r="D494" t="s">
        <v>417</v>
      </c>
      <c r="E494" t="s">
        <v>417</v>
      </c>
      <c r="F494" t="s">
        <v>417</v>
      </c>
      <c r="G494" s="3" t="e">
        <f t="shared" si="7"/>
        <v>#DIV/0!</v>
      </c>
      <c r="I494" s="3">
        <f>D494/(VLOOKUP(B494,'2023 Team'!$B$2:$G$33,3,FALSE))</f>
        <v>0</v>
      </c>
    </row>
    <row r="495" spans="1:9" x14ac:dyDescent="0.25">
      <c r="A495" t="s">
        <v>1826</v>
      </c>
      <c r="B495" t="s">
        <v>48</v>
      </c>
      <c r="C495" t="s">
        <v>153</v>
      </c>
      <c r="D495" t="s">
        <v>417</v>
      </c>
      <c r="E495" t="s">
        <v>417</v>
      </c>
      <c r="F495" t="s">
        <v>417</v>
      </c>
      <c r="G495" s="3" t="e">
        <f t="shared" si="7"/>
        <v>#DIV/0!</v>
      </c>
      <c r="I495" s="3">
        <f>D495/(VLOOKUP(B495,'2023 Team'!$B$2:$G$33,3,FALSE))</f>
        <v>0</v>
      </c>
    </row>
    <row r="496" spans="1:9" x14ac:dyDescent="0.25">
      <c r="A496" t="s">
        <v>883</v>
      </c>
      <c r="B496" t="s">
        <v>30</v>
      </c>
      <c r="C496" t="s">
        <v>153</v>
      </c>
      <c r="D496" t="s">
        <v>417</v>
      </c>
      <c r="E496" t="s">
        <v>417</v>
      </c>
      <c r="F496" t="s">
        <v>417</v>
      </c>
      <c r="G496" s="3" t="e">
        <f t="shared" si="7"/>
        <v>#DIV/0!</v>
      </c>
      <c r="I496" s="3">
        <f>D496/(VLOOKUP(B496,'2023 Team'!$B$2:$G$33,3,FALSE))</f>
        <v>0</v>
      </c>
    </row>
    <row r="497" spans="1:9" x14ac:dyDescent="0.25">
      <c r="A497" t="s">
        <v>701</v>
      </c>
      <c r="B497" t="s">
        <v>48</v>
      </c>
      <c r="C497" t="s">
        <v>163</v>
      </c>
      <c r="D497" t="s">
        <v>417</v>
      </c>
      <c r="E497" t="s">
        <v>417</v>
      </c>
      <c r="F497" t="s">
        <v>417</v>
      </c>
      <c r="G497" s="3" t="e">
        <f t="shared" si="7"/>
        <v>#DIV/0!</v>
      </c>
      <c r="I497" s="3">
        <f>D497/(VLOOKUP(B497,'2023 Team'!$B$2:$G$33,3,FALSE))</f>
        <v>0</v>
      </c>
    </row>
    <row r="498" spans="1:9" x14ac:dyDescent="0.25">
      <c r="A498" t="s">
        <v>852</v>
      </c>
      <c r="B498" t="s">
        <v>22</v>
      </c>
      <c r="C498" t="s">
        <v>153</v>
      </c>
      <c r="D498" t="s">
        <v>417</v>
      </c>
      <c r="E498" t="s">
        <v>417</v>
      </c>
      <c r="F498" t="s">
        <v>417</v>
      </c>
      <c r="G498" s="3" t="e">
        <f t="shared" si="7"/>
        <v>#DIV/0!</v>
      </c>
      <c r="I498" s="3">
        <f>D498/(VLOOKUP(B498,'2023 Team'!$B$2:$G$33,3,FALSE))</f>
        <v>0</v>
      </c>
    </row>
    <row r="499" spans="1:9" x14ac:dyDescent="0.25">
      <c r="A499" t="s">
        <v>895</v>
      </c>
      <c r="B499" t="s">
        <v>34</v>
      </c>
      <c r="C499" t="s">
        <v>153</v>
      </c>
      <c r="D499" t="s">
        <v>417</v>
      </c>
      <c r="E499" t="s">
        <v>417</v>
      </c>
      <c r="F499" t="s">
        <v>417</v>
      </c>
      <c r="G499" s="3" t="e">
        <f t="shared" si="7"/>
        <v>#DIV/0!</v>
      </c>
      <c r="I499" s="3">
        <f>D499/(VLOOKUP(B499,'2023 Team'!$B$2:$G$33,3,FALSE))</f>
        <v>0</v>
      </c>
    </row>
    <row r="500" spans="1:9" x14ac:dyDescent="0.25">
      <c r="A500" t="s">
        <v>937</v>
      </c>
      <c r="B500" t="s">
        <v>58</v>
      </c>
      <c r="C500" t="s">
        <v>153</v>
      </c>
      <c r="D500" t="s">
        <v>417</v>
      </c>
      <c r="E500" t="s">
        <v>417</v>
      </c>
      <c r="F500" t="s">
        <v>417</v>
      </c>
      <c r="G500" s="3" t="e">
        <f t="shared" si="7"/>
        <v>#DIV/0!</v>
      </c>
      <c r="I500" s="3">
        <f>D500/(VLOOKUP(B500,'2023 Team'!$B$2:$G$33,3,FALSE))</f>
        <v>0</v>
      </c>
    </row>
    <row r="501" spans="1:9" x14ac:dyDescent="0.25">
      <c r="A501" t="s">
        <v>177</v>
      </c>
      <c r="B501" t="s">
        <v>52</v>
      </c>
      <c r="C501" t="s">
        <v>163</v>
      </c>
      <c r="D501" t="s">
        <v>417</v>
      </c>
      <c r="E501" t="s">
        <v>417</v>
      </c>
      <c r="F501" t="s">
        <v>417</v>
      </c>
      <c r="G501" s="3" t="e">
        <f t="shared" si="7"/>
        <v>#DIV/0!</v>
      </c>
      <c r="I501" s="3">
        <f>D501/(VLOOKUP(B501,'2023 Team'!$B$2:$G$33,3,FALSE))</f>
        <v>0</v>
      </c>
    </row>
    <row r="502" spans="1:9" x14ac:dyDescent="0.25">
      <c r="A502" t="s">
        <v>950</v>
      </c>
      <c r="B502" t="s">
        <v>48</v>
      </c>
      <c r="C502" t="s">
        <v>153</v>
      </c>
      <c r="D502" t="s">
        <v>417</v>
      </c>
      <c r="E502" t="s">
        <v>417</v>
      </c>
      <c r="F502" t="s">
        <v>417</v>
      </c>
      <c r="G502" s="3" t="e">
        <f t="shared" si="7"/>
        <v>#DIV/0!</v>
      </c>
      <c r="I502" s="3">
        <f>D502/(VLOOKUP(B502,'2023 Team'!$B$2:$G$33,3,FALSE))</f>
        <v>0</v>
      </c>
    </row>
    <row r="503" spans="1:9" x14ac:dyDescent="0.25">
      <c r="A503" t="s">
        <v>162</v>
      </c>
      <c r="B503" t="s">
        <v>60</v>
      </c>
      <c r="C503" t="s">
        <v>163</v>
      </c>
      <c r="D503" t="s">
        <v>417</v>
      </c>
      <c r="E503" t="s">
        <v>417</v>
      </c>
      <c r="F503" t="s">
        <v>417</v>
      </c>
      <c r="G503" s="3" t="e">
        <f t="shared" si="7"/>
        <v>#DIV/0!</v>
      </c>
      <c r="I503" s="3">
        <f>D503/(VLOOKUP(B503,'2023 Team'!$B$2:$G$33,3,FALSE))</f>
        <v>0</v>
      </c>
    </row>
    <row r="504" spans="1:9" x14ac:dyDescent="0.25">
      <c r="A504" t="s">
        <v>1827</v>
      </c>
      <c r="B504" t="s">
        <v>48</v>
      </c>
      <c r="C504" t="s">
        <v>163</v>
      </c>
      <c r="D504" t="s">
        <v>417</v>
      </c>
      <c r="E504" t="s">
        <v>417</v>
      </c>
      <c r="F504" t="s">
        <v>417</v>
      </c>
      <c r="G504" s="3" t="e">
        <f t="shared" ref="G504:G566" si="8">F504/D504</f>
        <v>#DIV/0!</v>
      </c>
      <c r="I504" s="3">
        <f>D504/(VLOOKUP(B504,'2023 Team'!$B$2:$G$33,3,FALSE))</f>
        <v>0</v>
      </c>
    </row>
    <row r="505" spans="1:9" x14ac:dyDescent="0.25">
      <c r="A505" t="s">
        <v>1027</v>
      </c>
      <c r="B505" t="s">
        <v>66</v>
      </c>
      <c r="C505" t="s">
        <v>153</v>
      </c>
      <c r="D505" t="s">
        <v>417</v>
      </c>
      <c r="E505" t="s">
        <v>417</v>
      </c>
      <c r="F505" t="s">
        <v>417</v>
      </c>
      <c r="G505" s="3" t="e">
        <f t="shared" si="8"/>
        <v>#DIV/0!</v>
      </c>
      <c r="I505" s="3">
        <f>D505/(VLOOKUP(B505,'2023 Team'!$B$2:$G$33,3,FALSE))</f>
        <v>0</v>
      </c>
    </row>
    <row r="506" spans="1:9" x14ac:dyDescent="0.25">
      <c r="A506" t="s">
        <v>1828</v>
      </c>
      <c r="B506" t="s">
        <v>42</v>
      </c>
      <c r="C506" t="s">
        <v>153</v>
      </c>
      <c r="D506" t="s">
        <v>417</v>
      </c>
      <c r="E506" t="s">
        <v>417</v>
      </c>
      <c r="F506" t="s">
        <v>417</v>
      </c>
      <c r="G506" s="3" t="e">
        <f t="shared" si="8"/>
        <v>#DIV/0!</v>
      </c>
      <c r="I506" s="3">
        <f>D506/(VLOOKUP(B506,'2023 Team'!$B$2:$G$33,3,FALSE))</f>
        <v>0</v>
      </c>
    </row>
    <row r="507" spans="1:9" x14ac:dyDescent="0.25">
      <c r="A507" t="s">
        <v>1829</v>
      </c>
      <c r="B507" t="s">
        <v>50</v>
      </c>
      <c r="C507" t="s">
        <v>163</v>
      </c>
      <c r="D507" t="s">
        <v>417</v>
      </c>
      <c r="E507" t="s">
        <v>417</v>
      </c>
      <c r="F507" t="s">
        <v>417</v>
      </c>
      <c r="G507" s="3" t="e">
        <f t="shared" si="8"/>
        <v>#DIV/0!</v>
      </c>
      <c r="I507" s="3">
        <f>D507/(VLOOKUP(B507,'2023 Team'!$B$2:$G$33,3,FALSE))</f>
        <v>0</v>
      </c>
    </row>
    <row r="508" spans="1:9" x14ac:dyDescent="0.25">
      <c r="A508" t="s">
        <v>929</v>
      </c>
      <c r="B508" t="s">
        <v>64</v>
      </c>
      <c r="C508" t="s">
        <v>153</v>
      </c>
      <c r="D508" t="s">
        <v>417</v>
      </c>
      <c r="E508" t="s">
        <v>417</v>
      </c>
      <c r="F508" t="s">
        <v>417</v>
      </c>
      <c r="G508" s="3" t="e">
        <f t="shared" si="8"/>
        <v>#DIV/0!</v>
      </c>
      <c r="I508" s="3">
        <f>D508/(VLOOKUP(B508,'2023 Team'!$B$2:$G$33,3,FALSE))</f>
        <v>0</v>
      </c>
    </row>
    <row r="509" spans="1:9" x14ac:dyDescent="0.25">
      <c r="A509" t="s">
        <v>1830</v>
      </c>
      <c r="B509" t="s">
        <v>8</v>
      </c>
      <c r="C509" t="s">
        <v>163</v>
      </c>
      <c r="D509" t="s">
        <v>417</v>
      </c>
      <c r="E509" t="s">
        <v>417</v>
      </c>
      <c r="F509" t="s">
        <v>417</v>
      </c>
      <c r="G509" s="3" t="e">
        <f t="shared" si="8"/>
        <v>#DIV/0!</v>
      </c>
      <c r="I509" s="3">
        <f>D509/(VLOOKUP(B509,'2023 Team'!$B$2:$G$33,3,FALSE))</f>
        <v>0</v>
      </c>
    </row>
    <row r="510" spans="1:9" x14ac:dyDescent="0.25">
      <c r="A510" t="s">
        <v>1831</v>
      </c>
      <c r="B510" t="s">
        <v>22</v>
      </c>
      <c r="C510" t="s">
        <v>163</v>
      </c>
      <c r="D510" t="s">
        <v>417</v>
      </c>
      <c r="E510" t="s">
        <v>417</v>
      </c>
      <c r="F510" t="s">
        <v>417</v>
      </c>
      <c r="G510" s="3" t="e">
        <f t="shared" si="8"/>
        <v>#DIV/0!</v>
      </c>
      <c r="I510" s="3">
        <f>D510/(VLOOKUP(B510,'2023 Team'!$B$2:$G$33,3,FALSE))</f>
        <v>0</v>
      </c>
    </row>
    <row r="511" spans="1:9" x14ac:dyDescent="0.25">
      <c r="A511" t="s">
        <v>1831</v>
      </c>
      <c r="B511" t="s">
        <v>28</v>
      </c>
      <c r="C511" t="s">
        <v>163</v>
      </c>
      <c r="D511" t="s">
        <v>417</v>
      </c>
      <c r="E511" t="s">
        <v>417</v>
      </c>
      <c r="F511" t="s">
        <v>417</v>
      </c>
      <c r="G511" s="3" t="e">
        <f t="shared" si="8"/>
        <v>#DIV/0!</v>
      </c>
      <c r="I511" s="3">
        <f>D511/(VLOOKUP(B511,'2023 Team'!$B$2:$G$33,3,FALSE))</f>
        <v>0</v>
      </c>
    </row>
    <row r="512" spans="1:9" x14ac:dyDescent="0.25">
      <c r="A512" t="s">
        <v>1832</v>
      </c>
      <c r="B512" t="s">
        <v>52</v>
      </c>
      <c r="C512" t="s">
        <v>163</v>
      </c>
      <c r="D512" t="s">
        <v>417</v>
      </c>
      <c r="E512" t="s">
        <v>417</v>
      </c>
      <c r="F512" t="s">
        <v>417</v>
      </c>
      <c r="G512" s="3" t="e">
        <f t="shared" si="8"/>
        <v>#DIV/0!</v>
      </c>
      <c r="I512" s="3">
        <f>D512/(VLOOKUP(B512,'2023 Team'!$B$2:$G$33,3,FALSE))</f>
        <v>0</v>
      </c>
    </row>
    <row r="513" spans="1:9" x14ac:dyDescent="0.25">
      <c r="A513" t="s">
        <v>1833</v>
      </c>
      <c r="B513" t="s">
        <v>68</v>
      </c>
      <c r="C513" t="s">
        <v>163</v>
      </c>
      <c r="D513" t="s">
        <v>417</v>
      </c>
      <c r="E513" t="s">
        <v>417</v>
      </c>
      <c r="F513" t="s">
        <v>417</v>
      </c>
      <c r="G513" s="3" t="e">
        <f t="shared" si="8"/>
        <v>#DIV/0!</v>
      </c>
      <c r="I513" s="3">
        <f>D513/(VLOOKUP(B513,'2023 Team'!$B$2:$G$33,3,FALSE))</f>
        <v>0</v>
      </c>
    </row>
    <row r="514" spans="1:9" x14ac:dyDescent="0.25">
      <c r="A514" t="s">
        <v>897</v>
      </c>
      <c r="B514" t="s">
        <v>34</v>
      </c>
      <c r="C514" t="s">
        <v>163</v>
      </c>
      <c r="D514" t="s">
        <v>417</v>
      </c>
      <c r="E514" t="s">
        <v>417</v>
      </c>
      <c r="F514" t="s">
        <v>417</v>
      </c>
      <c r="G514" s="3" t="e">
        <f t="shared" si="8"/>
        <v>#DIV/0!</v>
      </c>
      <c r="I514" s="3">
        <f>D514/(VLOOKUP(B514,'2023 Team'!$B$2:$G$33,3,FALSE))</f>
        <v>0</v>
      </c>
    </row>
    <row r="515" spans="1:9" x14ac:dyDescent="0.25">
      <c r="A515" t="s">
        <v>898</v>
      </c>
      <c r="B515" t="s">
        <v>34</v>
      </c>
      <c r="C515" t="s">
        <v>163</v>
      </c>
      <c r="D515" t="s">
        <v>417</v>
      </c>
      <c r="E515" t="s">
        <v>417</v>
      </c>
      <c r="F515" t="s">
        <v>417</v>
      </c>
      <c r="G515" s="3" t="e">
        <f t="shared" si="8"/>
        <v>#DIV/0!</v>
      </c>
      <c r="I515" s="3">
        <f>D515/(VLOOKUP(B515,'2023 Team'!$B$2:$G$33,3,FALSE))</f>
        <v>0</v>
      </c>
    </row>
    <row r="516" spans="1:9" x14ac:dyDescent="0.25">
      <c r="A516" t="s">
        <v>1834</v>
      </c>
      <c r="B516" t="s">
        <v>70</v>
      </c>
      <c r="C516" t="s">
        <v>163</v>
      </c>
      <c r="D516" t="s">
        <v>417</v>
      </c>
      <c r="E516" t="s">
        <v>417</v>
      </c>
      <c r="F516" t="s">
        <v>417</v>
      </c>
      <c r="G516" s="3" t="e">
        <f t="shared" si="8"/>
        <v>#DIV/0!</v>
      </c>
      <c r="I516" s="3">
        <f>D516/(VLOOKUP(B516,'2023 Team'!$B$2:$G$33,3,FALSE))</f>
        <v>0</v>
      </c>
    </row>
    <row r="517" spans="1:9" x14ac:dyDescent="0.25">
      <c r="A517" t="s">
        <v>1036</v>
      </c>
      <c r="B517" t="s">
        <v>22</v>
      </c>
      <c r="C517" t="s">
        <v>163</v>
      </c>
      <c r="D517" t="s">
        <v>417</v>
      </c>
      <c r="E517" t="s">
        <v>417</v>
      </c>
      <c r="F517" t="s">
        <v>417</v>
      </c>
      <c r="G517" s="3" t="e">
        <f t="shared" si="8"/>
        <v>#DIV/0!</v>
      </c>
      <c r="I517" s="3">
        <f>D517/(VLOOKUP(B517,'2023 Team'!$B$2:$G$33,3,FALSE))</f>
        <v>0</v>
      </c>
    </row>
    <row r="518" spans="1:9" x14ac:dyDescent="0.25">
      <c r="A518" t="s">
        <v>1835</v>
      </c>
      <c r="B518" t="s">
        <v>10</v>
      </c>
      <c r="C518" t="s">
        <v>153</v>
      </c>
      <c r="D518" t="s">
        <v>417</v>
      </c>
      <c r="E518" t="s">
        <v>417</v>
      </c>
      <c r="F518" t="s">
        <v>417</v>
      </c>
      <c r="G518" s="3" t="e">
        <f t="shared" si="8"/>
        <v>#DIV/0!</v>
      </c>
      <c r="I518" s="3">
        <f>D518/(VLOOKUP(B518,'2023 Team'!$B$2:$G$33,3,FALSE))</f>
        <v>0</v>
      </c>
    </row>
    <row r="519" spans="1:9" x14ac:dyDescent="0.25">
      <c r="A519" t="s">
        <v>1836</v>
      </c>
      <c r="B519" t="s">
        <v>32</v>
      </c>
      <c r="C519" t="s">
        <v>153</v>
      </c>
      <c r="D519" t="s">
        <v>417</v>
      </c>
      <c r="E519" t="s">
        <v>417</v>
      </c>
      <c r="F519" t="s">
        <v>417</v>
      </c>
      <c r="G519" s="3" t="e">
        <f t="shared" si="8"/>
        <v>#DIV/0!</v>
      </c>
      <c r="I519" s="3">
        <f>D519/(VLOOKUP(B519,'2023 Team'!$B$2:$G$33,3,FALSE))</f>
        <v>0</v>
      </c>
    </row>
    <row r="520" spans="1:9" x14ac:dyDescent="0.25">
      <c r="A520" t="s">
        <v>1837</v>
      </c>
      <c r="B520" t="s">
        <v>68</v>
      </c>
      <c r="C520" t="s">
        <v>153</v>
      </c>
      <c r="D520" t="s">
        <v>417</v>
      </c>
      <c r="E520" t="s">
        <v>417</v>
      </c>
      <c r="F520" t="s">
        <v>417</v>
      </c>
      <c r="G520" s="3" t="e">
        <f t="shared" si="8"/>
        <v>#DIV/0!</v>
      </c>
      <c r="I520" s="3">
        <f>D520/(VLOOKUP(B520,'2023 Team'!$B$2:$G$33,3,FALSE))</f>
        <v>0</v>
      </c>
    </row>
    <row r="521" spans="1:9" x14ac:dyDescent="0.25">
      <c r="A521" t="s">
        <v>833</v>
      </c>
      <c r="B521" t="s">
        <v>40</v>
      </c>
      <c r="C521" t="s">
        <v>163</v>
      </c>
      <c r="D521" t="s">
        <v>417</v>
      </c>
      <c r="E521" t="s">
        <v>417</v>
      </c>
      <c r="F521" t="s">
        <v>417</v>
      </c>
      <c r="G521" s="3" t="e">
        <f t="shared" si="8"/>
        <v>#DIV/0!</v>
      </c>
      <c r="I521" s="3">
        <f>D521/(VLOOKUP(B521,'2023 Team'!$B$2:$G$33,3,FALSE))</f>
        <v>0</v>
      </c>
    </row>
    <row r="522" spans="1:9" x14ac:dyDescent="0.25">
      <c r="A522" t="s">
        <v>981</v>
      </c>
      <c r="B522" t="s">
        <v>28</v>
      </c>
      <c r="C522" t="s">
        <v>163</v>
      </c>
      <c r="D522" t="s">
        <v>417</v>
      </c>
      <c r="E522" t="s">
        <v>417</v>
      </c>
      <c r="F522" t="s">
        <v>417</v>
      </c>
      <c r="G522" s="3" t="e">
        <f t="shared" si="8"/>
        <v>#DIV/0!</v>
      </c>
      <c r="I522" s="3">
        <f>D522/(VLOOKUP(B522,'2023 Team'!$B$2:$G$33,3,FALSE))</f>
        <v>0</v>
      </c>
    </row>
    <row r="523" spans="1:9" x14ac:dyDescent="0.25">
      <c r="A523" t="s">
        <v>729</v>
      </c>
      <c r="B523" t="s">
        <v>12</v>
      </c>
      <c r="C523" t="s">
        <v>613</v>
      </c>
      <c r="D523" t="s">
        <v>417</v>
      </c>
      <c r="E523" t="s">
        <v>417</v>
      </c>
      <c r="F523" t="s">
        <v>417</v>
      </c>
      <c r="G523" s="3" t="e">
        <f t="shared" si="8"/>
        <v>#DIV/0!</v>
      </c>
      <c r="I523" s="3">
        <f>D523/(VLOOKUP(B523,'2023 Team'!$B$2:$G$33,3,FALSE))</f>
        <v>0</v>
      </c>
    </row>
    <row r="524" spans="1:9" x14ac:dyDescent="0.25">
      <c r="A524" t="s">
        <v>874</v>
      </c>
      <c r="B524" t="s">
        <v>16</v>
      </c>
      <c r="C524" t="s">
        <v>153</v>
      </c>
      <c r="D524" t="s">
        <v>417</v>
      </c>
      <c r="E524" t="s">
        <v>417</v>
      </c>
      <c r="F524" t="s">
        <v>417</v>
      </c>
      <c r="G524" s="3" t="e">
        <f t="shared" si="8"/>
        <v>#DIV/0!</v>
      </c>
      <c r="I524" s="3">
        <f>D524/(VLOOKUP(B524,'2023 Team'!$B$2:$G$33,3,FALSE))</f>
        <v>0</v>
      </c>
    </row>
    <row r="525" spans="1:9" x14ac:dyDescent="0.25">
      <c r="A525" t="s">
        <v>1838</v>
      </c>
      <c r="B525" t="s">
        <v>60</v>
      </c>
      <c r="C525" t="s">
        <v>163</v>
      </c>
      <c r="D525" t="s">
        <v>417</v>
      </c>
      <c r="E525" t="s">
        <v>417</v>
      </c>
      <c r="F525" t="s">
        <v>417</v>
      </c>
      <c r="G525" s="3" t="e">
        <f t="shared" si="8"/>
        <v>#DIV/0!</v>
      </c>
      <c r="I525" s="3">
        <f>D525/(VLOOKUP(B525,'2023 Team'!$B$2:$G$33,3,FALSE))</f>
        <v>0</v>
      </c>
    </row>
    <row r="526" spans="1:9" x14ac:dyDescent="0.25">
      <c r="A526" t="s">
        <v>1839</v>
      </c>
      <c r="B526" t="s">
        <v>34</v>
      </c>
      <c r="C526" t="s">
        <v>163</v>
      </c>
      <c r="D526" t="s">
        <v>417</v>
      </c>
      <c r="E526" t="s">
        <v>417</v>
      </c>
      <c r="F526" t="s">
        <v>417</v>
      </c>
      <c r="G526" s="3" t="e">
        <f t="shared" si="8"/>
        <v>#DIV/0!</v>
      </c>
      <c r="I526" s="3">
        <f>D526/(VLOOKUP(B526,'2023 Team'!$B$2:$G$33,3,FALSE))</f>
        <v>0</v>
      </c>
    </row>
    <row r="527" spans="1:9" x14ac:dyDescent="0.25">
      <c r="A527" t="s">
        <v>1840</v>
      </c>
      <c r="B527" t="s">
        <v>28</v>
      </c>
      <c r="C527" t="s">
        <v>186</v>
      </c>
      <c r="D527" t="s">
        <v>417</v>
      </c>
      <c r="E527" t="s">
        <v>417</v>
      </c>
      <c r="F527" t="s">
        <v>417</v>
      </c>
      <c r="G527" s="3" t="e">
        <f t="shared" si="8"/>
        <v>#DIV/0!</v>
      </c>
      <c r="I527" s="3">
        <f>D527/(VLOOKUP(B527,'2023 Team'!$B$2:$G$33,3,FALSE))</f>
        <v>0</v>
      </c>
    </row>
    <row r="528" spans="1:9" x14ac:dyDescent="0.25">
      <c r="A528" t="s">
        <v>1841</v>
      </c>
      <c r="B528" t="s">
        <v>38</v>
      </c>
      <c r="C528" t="s">
        <v>163</v>
      </c>
      <c r="D528" t="s">
        <v>417</v>
      </c>
      <c r="E528" t="s">
        <v>417</v>
      </c>
      <c r="F528" t="s">
        <v>417</v>
      </c>
      <c r="G528" s="3" t="e">
        <f t="shared" si="8"/>
        <v>#DIV/0!</v>
      </c>
      <c r="I528" s="3">
        <f>D528/(VLOOKUP(B528,'2023 Team'!$B$2:$G$33,3,FALSE))</f>
        <v>0</v>
      </c>
    </row>
    <row r="529" spans="1:9" x14ac:dyDescent="0.25">
      <c r="A529" t="s">
        <v>982</v>
      </c>
      <c r="B529" t="s">
        <v>56</v>
      </c>
      <c r="C529" t="s">
        <v>153</v>
      </c>
      <c r="D529" t="s">
        <v>417</v>
      </c>
      <c r="E529" t="s">
        <v>417</v>
      </c>
      <c r="F529" t="s">
        <v>417</v>
      </c>
      <c r="G529" s="3" t="e">
        <f t="shared" si="8"/>
        <v>#DIV/0!</v>
      </c>
      <c r="I529" s="3">
        <f>D529/(VLOOKUP(B529,'2023 Team'!$B$2:$G$33,3,FALSE))</f>
        <v>0</v>
      </c>
    </row>
    <row r="530" spans="1:9" x14ac:dyDescent="0.25">
      <c r="A530" t="s">
        <v>786</v>
      </c>
      <c r="B530" t="s">
        <v>20</v>
      </c>
      <c r="C530" t="s">
        <v>153</v>
      </c>
      <c r="D530" t="s">
        <v>417</v>
      </c>
      <c r="E530" t="s">
        <v>417</v>
      </c>
      <c r="F530" t="s">
        <v>417</v>
      </c>
      <c r="G530" s="3" t="e">
        <f t="shared" si="8"/>
        <v>#DIV/0!</v>
      </c>
      <c r="I530" s="3">
        <f>D530/(VLOOKUP(B530,'2023 Team'!$B$2:$G$33,3,FALSE))</f>
        <v>0</v>
      </c>
    </row>
    <row r="531" spans="1:9" x14ac:dyDescent="0.25">
      <c r="A531" t="s">
        <v>1011</v>
      </c>
      <c r="B531" t="s">
        <v>32</v>
      </c>
      <c r="C531" t="s">
        <v>153</v>
      </c>
      <c r="D531" t="s">
        <v>417</v>
      </c>
      <c r="E531" t="s">
        <v>417</v>
      </c>
      <c r="F531" t="s">
        <v>417</v>
      </c>
      <c r="G531" s="3" t="e">
        <f t="shared" si="8"/>
        <v>#DIV/0!</v>
      </c>
      <c r="I531" s="3">
        <f>D531/(VLOOKUP(B531,'2023 Team'!$B$2:$G$33,3,FALSE))</f>
        <v>0</v>
      </c>
    </row>
    <row r="532" spans="1:9" x14ac:dyDescent="0.25">
      <c r="A532" t="s">
        <v>860</v>
      </c>
      <c r="B532" t="s">
        <v>24</v>
      </c>
      <c r="C532" t="s">
        <v>153</v>
      </c>
      <c r="D532" t="s">
        <v>417</v>
      </c>
      <c r="E532" t="s">
        <v>417</v>
      </c>
      <c r="F532" t="s">
        <v>417</v>
      </c>
      <c r="G532" s="3" t="e">
        <f t="shared" si="8"/>
        <v>#DIV/0!</v>
      </c>
      <c r="I532" s="3">
        <f>D532/(VLOOKUP(B532,'2023 Team'!$B$2:$G$33,3,FALSE))</f>
        <v>0</v>
      </c>
    </row>
    <row r="533" spans="1:9" x14ac:dyDescent="0.25">
      <c r="A533" t="s">
        <v>889</v>
      </c>
      <c r="B533" t="s">
        <v>32</v>
      </c>
      <c r="C533" t="s">
        <v>153</v>
      </c>
      <c r="D533" t="s">
        <v>417</v>
      </c>
      <c r="E533" t="s">
        <v>417</v>
      </c>
      <c r="F533" t="s">
        <v>417</v>
      </c>
      <c r="G533" s="3" t="e">
        <f t="shared" si="8"/>
        <v>#DIV/0!</v>
      </c>
      <c r="I533" s="3">
        <f>D533/(VLOOKUP(B533,'2023 Team'!$B$2:$G$33,3,FALSE))</f>
        <v>0</v>
      </c>
    </row>
    <row r="534" spans="1:9" x14ac:dyDescent="0.25">
      <c r="A534" t="s">
        <v>797</v>
      </c>
      <c r="B534" t="s">
        <v>14</v>
      </c>
      <c r="C534" t="s">
        <v>163</v>
      </c>
      <c r="D534" t="s">
        <v>417</v>
      </c>
      <c r="E534" t="s">
        <v>417</v>
      </c>
      <c r="F534" t="s">
        <v>417</v>
      </c>
      <c r="G534" s="3" t="e">
        <f t="shared" si="8"/>
        <v>#DIV/0!</v>
      </c>
      <c r="I534" s="3">
        <f>D534/(VLOOKUP(B534,'2023 Team'!$B$2:$G$33,3,FALSE))</f>
        <v>0</v>
      </c>
    </row>
    <row r="535" spans="1:9" x14ac:dyDescent="0.25">
      <c r="A535" t="s">
        <v>1039</v>
      </c>
      <c r="B535" t="s">
        <v>68</v>
      </c>
      <c r="C535" t="s">
        <v>1040</v>
      </c>
      <c r="D535" t="s">
        <v>417</v>
      </c>
      <c r="E535" t="s">
        <v>417</v>
      </c>
      <c r="F535" t="s">
        <v>417</v>
      </c>
      <c r="G535" s="3" t="e">
        <f t="shared" si="8"/>
        <v>#DIV/0!</v>
      </c>
      <c r="I535" s="3">
        <f>D535/(VLOOKUP(B535,'2023 Team'!$B$2:$G$33,3,FALSE))</f>
        <v>0</v>
      </c>
    </row>
    <row r="536" spans="1:9" x14ac:dyDescent="0.25">
      <c r="A536" t="s">
        <v>951</v>
      </c>
      <c r="B536" t="s">
        <v>30</v>
      </c>
      <c r="C536" t="s">
        <v>153</v>
      </c>
      <c r="D536" t="s">
        <v>417</v>
      </c>
      <c r="E536" t="s">
        <v>417</v>
      </c>
      <c r="F536" t="s">
        <v>417</v>
      </c>
      <c r="G536" s="3" t="e">
        <f t="shared" si="8"/>
        <v>#DIV/0!</v>
      </c>
      <c r="I536" s="3">
        <f>D536/(VLOOKUP(B536,'2023 Team'!$B$2:$G$33,3,FALSE))</f>
        <v>0</v>
      </c>
    </row>
    <row r="537" spans="1:9" x14ac:dyDescent="0.25">
      <c r="A537" t="s">
        <v>1842</v>
      </c>
      <c r="B537" t="s">
        <v>28</v>
      </c>
      <c r="C537" t="s">
        <v>805</v>
      </c>
      <c r="D537" t="s">
        <v>417</v>
      </c>
      <c r="E537" t="s">
        <v>417</v>
      </c>
      <c r="F537" t="s">
        <v>417</v>
      </c>
      <c r="G537" s="3" t="e">
        <f t="shared" si="8"/>
        <v>#DIV/0!</v>
      </c>
      <c r="I537" s="3">
        <f>D537/(VLOOKUP(B537,'2023 Team'!$B$2:$G$33,3,FALSE))</f>
        <v>0</v>
      </c>
    </row>
    <row r="538" spans="1:9" x14ac:dyDescent="0.25">
      <c r="A538" t="s">
        <v>976</v>
      </c>
      <c r="B538" t="s">
        <v>54</v>
      </c>
      <c r="C538" t="s">
        <v>163</v>
      </c>
      <c r="D538" t="s">
        <v>417</v>
      </c>
      <c r="E538" t="s">
        <v>417</v>
      </c>
      <c r="F538" t="s">
        <v>417</v>
      </c>
      <c r="G538" s="3" t="e">
        <f t="shared" si="8"/>
        <v>#DIV/0!</v>
      </c>
      <c r="I538" s="3">
        <f>D538/(VLOOKUP(B538,'2023 Team'!$B$2:$G$33,3,FALSE))</f>
        <v>0</v>
      </c>
    </row>
    <row r="539" spans="1:9" x14ac:dyDescent="0.25">
      <c r="A539" t="s">
        <v>984</v>
      </c>
      <c r="B539" t="s">
        <v>42</v>
      </c>
      <c r="C539" t="s">
        <v>153</v>
      </c>
      <c r="D539" t="s">
        <v>417</v>
      </c>
      <c r="E539" t="s">
        <v>417</v>
      </c>
      <c r="F539" t="s">
        <v>417</v>
      </c>
      <c r="G539" s="3" t="e">
        <f t="shared" si="8"/>
        <v>#DIV/0!</v>
      </c>
      <c r="I539" s="3">
        <f>D539/(VLOOKUP(B539,'2023 Team'!$B$2:$G$33,3,FALSE))</f>
        <v>0</v>
      </c>
    </row>
    <row r="540" spans="1:9" x14ac:dyDescent="0.25">
      <c r="A540" t="s">
        <v>996</v>
      </c>
      <c r="B540" t="s">
        <v>58</v>
      </c>
      <c r="C540" t="s">
        <v>163</v>
      </c>
      <c r="D540" t="s">
        <v>417</v>
      </c>
      <c r="E540" t="s">
        <v>417</v>
      </c>
      <c r="F540" t="s">
        <v>417</v>
      </c>
      <c r="G540" s="3" t="e">
        <f t="shared" si="8"/>
        <v>#DIV/0!</v>
      </c>
      <c r="I540" s="3">
        <f>D540/(VLOOKUP(B540,'2023 Team'!$B$2:$G$33,3,FALSE))</f>
        <v>0</v>
      </c>
    </row>
    <row r="541" spans="1:9" x14ac:dyDescent="0.25">
      <c r="A541" t="s">
        <v>1843</v>
      </c>
      <c r="B541" t="s">
        <v>38</v>
      </c>
      <c r="C541" t="s">
        <v>805</v>
      </c>
      <c r="D541" t="s">
        <v>417</v>
      </c>
      <c r="E541" t="s">
        <v>417</v>
      </c>
      <c r="F541" t="s">
        <v>417</v>
      </c>
      <c r="G541" s="3" t="e">
        <f t="shared" si="8"/>
        <v>#DIV/0!</v>
      </c>
      <c r="I541" s="3">
        <f>D541/(VLOOKUP(B541,'2023 Team'!$B$2:$G$33,3,FALSE))</f>
        <v>0</v>
      </c>
    </row>
    <row r="542" spans="1:9" x14ac:dyDescent="0.25">
      <c r="A542" t="s">
        <v>1844</v>
      </c>
      <c r="B542" t="s">
        <v>20</v>
      </c>
      <c r="C542" t="s">
        <v>153</v>
      </c>
      <c r="D542" t="s">
        <v>417</v>
      </c>
      <c r="E542" t="s">
        <v>417</v>
      </c>
      <c r="F542" t="s">
        <v>417</v>
      </c>
      <c r="G542" s="3" t="e">
        <f t="shared" si="8"/>
        <v>#DIV/0!</v>
      </c>
      <c r="I542" s="3">
        <f>D542/(VLOOKUP(B542,'2023 Team'!$B$2:$G$33,3,FALSE))</f>
        <v>0</v>
      </c>
    </row>
    <row r="543" spans="1:9" x14ac:dyDescent="0.25">
      <c r="A543" t="s">
        <v>1845</v>
      </c>
      <c r="B543" t="s">
        <v>10</v>
      </c>
      <c r="C543" t="s">
        <v>613</v>
      </c>
      <c r="D543" t="s">
        <v>417</v>
      </c>
      <c r="E543" t="s">
        <v>417</v>
      </c>
      <c r="F543" t="s">
        <v>417</v>
      </c>
      <c r="G543" s="3" t="e">
        <f t="shared" si="8"/>
        <v>#DIV/0!</v>
      </c>
      <c r="I543" s="3">
        <f>D543/(VLOOKUP(B543,'2023 Team'!$B$2:$G$33,3,FALSE))</f>
        <v>0</v>
      </c>
    </row>
    <row r="544" spans="1:9" x14ac:dyDescent="0.25">
      <c r="A544" t="s">
        <v>623</v>
      </c>
      <c r="B544" t="s">
        <v>64</v>
      </c>
      <c r="C544" t="s">
        <v>163</v>
      </c>
      <c r="D544" t="s">
        <v>417</v>
      </c>
      <c r="E544" t="s">
        <v>417</v>
      </c>
      <c r="F544" t="s">
        <v>417</v>
      </c>
      <c r="G544" s="3" t="e">
        <f t="shared" si="8"/>
        <v>#DIV/0!</v>
      </c>
      <c r="I544" s="3">
        <f>D544/(VLOOKUP(B544,'2023 Team'!$B$2:$G$33,3,FALSE))</f>
        <v>0</v>
      </c>
    </row>
    <row r="545" spans="1:9" x14ac:dyDescent="0.25">
      <c r="A545" t="s">
        <v>912</v>
      </c>
      <c r="B545" t="s">
        <v>50</v>
      </c>
      <c r="C545" t="s">
        <v>163</v>
      </c>
      <c r="D545" t="s">
        <v>417</v>
      </c>
      <c r="E545" t="s">
        <v>417</v>
      </c>
      <c r="F545" t="s">
        <v>417</v>
      </c>
      <c r="G545" s="3" t="e">
        <f t="shared" si="8"/>
        <v>#DIV/0!</v>
      </c>
      <c r="I545" s="3">
        <f>D545/(VLOOKUP(B545,'2023 Team'!$B$2:$G$33,3,FALSE))</f>
        <v>0</v>
      </c>
    </row>
    <row r="546" spans="1:9" x14ac:dyDescent="0.25">
      <c r="A546" t="s">
        <v>839</v>
      </c>
      <c r="B546" t="s">
        <v>46</v>
      </c>
      <c r="C546" t="s">
        <v>153</v>
      </c>
      <c r="D546" t="s">
        <v>417</v>
      </c>
      <c r="E546" t="s">
        <v>417</v>
      </c>
      <c r="F546" t="s">
        <v>417</v>
      </c>
      <c r="G546" s="3" t="e">
        <f t="shared" si="8"/>
        <v>#DIV/0!</v>
      </c>
      <c r="I546" s="3">
        <f>D546/(VLOOKUP(B546,'2023 Team'!$B$2:$G$33,3,FALSE))</f>
        <v>0</v>
      </c>
    </row>
    <row r="547" spans="1:9" x14ac:dyDescent="0.25">
      <c r="A547" t="s">
        <v>1846</v>
      </c>
      <c r="B547" t="s">
        <v>62</v>
      </c>
      <c r="C547" t="s">
        <v>163</v>
      </c>
      <c r="D547" t="s">
        <v>417</v>
      </c>
      <c r="E547" t="s">
        <v>417</v>
      </c>
      <c r="F547" t="s">
        <v>417</v>
      </c>
      <c r="G547" s="3" t="e">
        <f t="shared" si="8"/>
        <v>#DIV/0!</v>
      </c>
      <c r="I547" s="3">
        <f>D547/(VLOOKUP(B547,'2023 Team'!$B$2:$G$33,3,FALSE))</f>
        <v>0</v>
      </c>
    </row>
    <row r="548" spans="1:9" x14ac:dyDescent="0.25">
      <c r="A548" t="s">
        <v>1847</v>
      </c>
      <c r="B548" t="s">
        <v>18</v>
      </c>
      <c r="C548" t="s">
        <v>163</v>
      </c>
      <c r="D548" t="s">
        <v>417</v>
      </c>
      <c r="E548" t="s">
        <v>417</v>
      </c>
      <c r="F548" t="s">
        <v>417</v>
      </c>
      <c r="G548" s="3" t="e">
        <f t="shared" si="8"/>
        <v>#DIV/0!</v>
      </c>
      <c r="I548" s="3">
        <f>D548/(VLOOKUP(B548,'2023 Team'!$B$2:$G$33,3,FALSE))</f>
        <v>0</v>
      </c>
    </row>
    <row r="549" spans="1:9" x14ac:dyDescent="0.25">
      <c r="A549" t="s">
        <v>960</v>
      </c>
      <c r="B549" t="s">
        <v>58</v>
      </c>
      <c r="C549" t="s">
        <v>153</v>
      </c>
      <c r="D549" t="s">
        <v>417</v>
      </c>
      <c r="E549" t="s">
        <v>417</v>
      </c>
      <c r="F549" t="s">
        <v>417</v>
      </c>
      <c r="G549" s="3" t="e">
        <f t="shared" si="8"/>
        <v>#DIV/0!</v>
      </c>
      <c r="I549" s="3">
        <f>D549/(VLOOKUP(B549,'2023 Team'!$B$2:$G$33,3,FALSE))</f>
        <v>0</v>
      </c>
    </row>
    <row r="550" spans="1:9" x14ac:dyDescent="0.25">
      <c r="A550" t="s">
        <v>1848</v>
      </c>
      <c r="B550" t="s">
        <v>16</v>
      </c>
      <c r="C550" t="s">
        <v>163</v>
      </c>
      <c r="D550" t="s">
        <v>417</v>
      </c>
      <c r="E550" t="s">
        <v>417</v>
      </c>
      <c r="F550" t="s">
        <v>417</v>
      </c>
      <c r="G550" s="3" t="e">
        <f t="shared" si="8"/>
        <v>#DIV/0!</v>
      </c>
      <c r="I550" s="3">
        <f>D550/(VLOOKUP(B550,'2023 Team'!$B$2:$G$33,3,FALSE))</f>
        <v>0</v>
      </c>
    </row>
    <row r="551" spans="1:9" x14ac:dyDescent="0.25">
      <c r="A551" t="s">
        <v>905</v>
      </c>
      <c r="B551" t="s">
        <v>36</v>
      </c>
      <c r="C551" t="s">
        <v>153</v>
      </c>
      <c r="D551" t="s">
        <v>417</v>
      </c>
      <c r="E551" t="s">
        <v>417</v>
      </c>
      <c r="F551" t="s">
        <v>417</v>
      </c>
      <c r="G551" s="3" t="e">
        <f t="shared" si="8"/>
        <v>#DIV/0!</v>
      </c>
      <c r="I551" s="3">
        <f>D551/(VLOOKUP(B551,'2023 Team'!$B$2:$G$33,3,FALSE))</f>
        <v>0</v>
      </c>
    </row>
    <row r="552" spans="1:9" x14ac:dyDescent="0.25">
      <c r="A552" t="s">
        <v>1849</v>
      </c>
      <c r="B552" t="s">
        <v>50</v>
      </c>
      <c r="C552" t="s">
        <v>998</v>
      </c>
      <c r="D552" t="s">
        <v>417</v>
      </c>
      <c r="E552" t="s">
        <v>417</v>
      </c>
      <c r="F552" t="s">
        <v>417</v>
      </c>
      <c r="G552" s="3" t="e">
        <f t="shared" si="8"/>
        <v>#DIV/0!</v>
      </c>
      <c r="I552" s="3">
        <f>D552/(VLOOKUP(B552,'2023 Team'!$B$2:$G$33,3,FALSE))</f>
        <v>0</v>
      </c>
    </row>
    <row r="553" spans="1:9" x14ac:dyDescent="0.25">
      <c r="A553" t="s">
        <v>1850</v>
      </c>
      <c r="B553" t="s">
        <v>16</v>
      </c>
      <c r="C553" t="s">
        <v>153</v>
      </c>
      <c r="D553" t="s">
        <v>417</v>
      </c>
      <c r="E553" t="s">
        <v>417</v>
      </c>
      <c r="F553" t="s">
        <v>417</v>
      </c>
      <c r="G553" s="3" t="e">
        <f t="shared" si="8"/>
        <v>#DIV/0!</v>
      </c>
      <c r="I553" s="3">
        <f>D553/(VLOOKUP(B553,'2023 Team'!$B$2:$G$33,3,FALSE))</f>
        <v>0</v>
      </c>
    </row>
    <row r="554" spans="1:9" x14ac:dyDescent="0.25">
      <c r="A554" t="s">
        <v>184</v>
      </c>
      <c r="B554" t="s">
        <v>26</v>
      </c>
      <c r="C554" t="s">
        <v>163</v>
      </c>
      <c r="D554" t="s">
        <v>417</v>
      </c>
      <c r="E554" t="s">
        <v>417</v>
      </c>
      <c r="F554" t="s">
        <v>417</v>
      </c>
      <c r="G554" s="3" t="e">
        <f t="shared" si="8"/>
        <v>#DIV/0!</v>
      </c>
      <c r="I554" s="3">
        <f>D554/(VLOOKUP(B554,'2023 Team'!$B$2:$G$33,3,FALSE))</f>
        <v>0</v>
      </c>
    </row>
    <row r="555" spans="1:9" x14ac:dyDescent="0.25">
      <c r="A555" t="s">
        <v>1851</v>
      </c>
      <c r="B555" t="s">
        <v>8</v>
      </c>
      <c r="C555" t="s">
        <v>153</v>
      </c>
      <c r="D555" t="s">
        <v>417</v>
      </c>
      <c r="E555" t="s">
        <v>417</v>
      </c>
      <c r="F555" t="s">
        <v>417</v>
      </c>
      <c r="G555" s="3" t="e">
        <f t="shared" si="8"/>
        <v>#DIV/0!</v>
      </c>
      <c r="I555" s="3">
        <f>D555/(VLOOKUP(B555,'2023 Team'!$B$2:$G$33,3,FALSE))</f>
        <v>0</v>
      </c>
    </row>
    <row r="556" spans="1:9" x14ac:dyDescent="0.25">
      <c r="A556" t="s">
        <v>1852</v>
      </c>
      <c r="B556" t="s">
        <v>56</v>
      </c>
      <c r="C556" t="s">
        <v>163</v>
      </c>
      <c r="D556" t="s">
        <v>417</v>
      </c>
      <c r="E556" t="s">
        <v>417</v>
      </c>
      <c r="F556" t="s">
        <v>417</v>
      </c>
      <c r="G556" s="3" t="e">
        <f t="shared" si="8"/>
        <v>#DIV/0!</v>
      </c>
      <c r="I556" s="3">
        <f>D556/(VLOOKUP(B556,'2023 Team'!$B$2:$G$33,3,FALSE))</f>
        <v>0</v>
      </c>
    </row>
    <row r="557" spans="1:9" x14ac:dyDescent="0.25">
      <c r="A557" t="s">
        <v>939</v>
      </c>
      <c r="B557" t="s">
        <v>16</v>
      </c>
      <c r="C557" t="s">
        <v>153</v>
      </c>
      <c r="D557" t="s">
        <v>417</v>
      </c>
      <c r="E557" t="s">
        <v>417</v>
      </c>
      <c r="F557" t="s">
        <v>417</v>
      </c>
      <c r="G557" s="3" t="e">
        <f t="shared" si="8"/>
        <v>#DIV/0!</v>
      </c>
      <c r="I557" s="3">
        <f>D557/(VLOOKUP(B557,'2023 Team'!$B$2:$G$33,3,FALSE))</f>
        <v>0</v>
      </c>
    </row>
    <row r="558" spans="1:9" x14ac:dyDescent="0.25">
      <c r="A558" t="s">
        <v>1853</v>
      </c>
      <c r="B558" t="s">
        <v>52</v>
      </c>
      <c r="C558" t="s">
        <v>163</v>
      </c>
      <c r="D558" t="s">
        <v>417</v>
      </c>
      <c r="E558" t="s">
        <v>417</v>
      </c>
      <c r="F558" t="s">
        <v>417</v>
      </c>
      <c r="G558" s="3" t="e">
        <f t="shared" si="8"/>
        <v>#DIV/0!</v>
      </c>
      <c r="I558" s="3">
        <f>D558/(VLOOKUP(B558,'2023 Team'!$B$2:$G$33,3,FALSE))</f>
        <v>0</v>
      </c>
    </row>
    <row r="559" spans="1:9" x14ac:dyDescent="0.25">
      <c r="A559" t="s">
        <v>1854</v>
      </c>
      <c r="B559" t="s">
        <v>64</v>
      </c>
      <c r="C559" t="s">
        <v>163</v>
      </c>
      <c r="D559" t="s">
        <v>417</v>
      </c>
      <c r="E559" t="s">
        <v>417</v>
      </c>
      <c r="F559" t="s">
        <v>417</v>
      </c>
      <c r="G559" s="3" t="e">
        <f t="shared" si="8"/>
        <v>#DIV/0!</v>
      </c>
      <c r="I559" s="3">
        <f>D559/(VLOOKUP(B559,'2023 Team'!$B$2:$G$33,3,FALSE))</f>
        <v>0</v>
      </c>
    </row>
    <row r="560" spans="1:9" x14ac:dyDescent="0.25">
      <c r="A560" t="s">
        <v>862</v>
      </c>
      <c r="B560" t="s">
        <v>24</v>
      </c>
      <c r="C560" t="s">
        <v>163</v>
      </c>
      <c r="D560" t="s">
        <v>417</v>
      </c>
      <c r="E560" t="s">
        <v>417</v>
      </c>
      <c r="F560" t="s">
        <v>417</v>
      </c>
      <c r="G560" s="3" t="e">
        <f t="shared" si="8"/>
        <v>#DIV/0!</v>
      </c>
      <c r="I560" s="3">
        <f>D560/(VLOOKUP(B560,'2023 Team'!$B$2:$G$33,3,FALSE))</f>
        <v>0</v>
      </c>
    </row>
    <row r="561" spans="1:9" x14ac:dyDescent="0.25">
      <c r="A561" t="s">
        <v>914</v>
      </c>
      <c r="B561" t="s">
        <v>18</v>
      </c>
      <c r="C561" t="s">
        <v>153</v>
      </c>
      <c r="D561" t="s">
        <v>417</v>
      </c>
      <c r="E561" t="s">
        <v>417</v>
      </c>
      <c r="F561" t="s">
        <v>417</v>
      </c>
      <c r="G561" s="3" t="e">
        <f t="shared" si="8"/>
        <v>#DIV/0!</v>
      </c>
      <c r="I561" s="3">
        <f>D561/(VLOOKUP(B561,'2023 Team'!$B$2:$G$33,3,FALSE))</f>
        <v>0</v>
      </c>
    </row>
    <row r="562" spans="1:9" x14ac:dyDescent="0.25">
      <c r="A562" t="s">
        <v>961</v>
      </c>
      <c r="B562" t="s">
        <v>30</v>
      </c>
      <c r="C562" t="s">
        <v>163</v>
      </c>
      <c r="D562" t="s">
        <v>417</v>
      </c>
      <c r="E562" t="s">
        <v>417</v>
      </c>
      <c r="F562" t="s">
        <v>417</v>
      </c>
      <c r="G562" s="3" t="e">
        <f t="shared" si="8"/>
        <v>#DIV/0!</v>
      </c>
      <c r="I562" s="3">
        <f>D562/(VLOOKUP(B562,'2023 Team'!$B$2:$G$33,3,FALSE))</f>
        <v>0</v>
      </c>
    </row>
    <row r="563" spans="1:9" x14ac:dyDescent="0.25">
      <c r="A563" t="s">
        <v>906</v>
      </c>
      <c r="B563" t="s">
        <v>44</v>
      </c>
      <c r="C563" t="s">
        <v>163</v>
      </c>
      <c r="D563" t="s">
        <v>417</v>
      </c>
      <c r="E563" t="s">
        <v>417</v>
      </c>
      <c r="F563" t="s">
        <v>417</v>
      </c>
      <c r="G563" s="3" t="e">
        <f t="shared" si="8"/>
        <v>#DIV/0!</v>
      </c>
      <c r="I563" s="3">
        <f>D563/(VLOOKUP(B563,'2023 Team'!$B$2:$G$33,3,FALSE))</f>
        <v>0</v>
      </c>
    </row>
    <row r="564" spans="1:9" x14ac:dyDescent="0.25">
      <c r="A564" t="s">
        <v>869</v>
      </c>
      <c r="B564" t="s">
        <v>26</v>
      </c>
      <c r="C564" t="s">
        <v>153</v>
      </c>
      <c r="D564" t="s">
        <v>417</v>
      </c>
      <c r="E564" t="s">
        <v>417</v>
      </c>
      <c r="F564" t="s">
        <v>417</v>
      </c>
      <c r="G564" s="3" t="e">
        <f t="shared" si="8"/>
        <v>#DIV/0!</v>
      </c>
      <c r="I564" s="3">
        <f>D564/(VLOOKUP(B564,'2023 Team'!$B$2:$G$33,3,FALSE))</f>
        <v>0</v>
      </c>
    </row>
    <row r="565" spans="1:9" x14ac:dyDescent="0.25">
      <c r="A565" t="s">
        <v>1855</v>
      </c>
      <c r="B565" t="s">
        <v>12</v>
      </c>
      <c r="C565" t="s">
        <v>163</v>
      </c>
      <c r="D565" t="s">
        <v>417</v>
      </c>
      <c r="E565" t="s">
        <v>417</v>
      </c>
      <c r="F565" t="s">
        <v>417</v>
      </c>
      <c r="G565" s="3" t="e">
        <f t="shared" si="8"/>
        <v>#DIV/0!</v>
      </c>
      <c r="I565" s="3">
        <f>D565/(VLOOKUP(B565,'2023 Team'!$B$2:$G$33,3,FALSE))</f>
        <v>0</v>
      </c>
    </row>
    <row r="566" spans="1:9" x14ac:dyDescent="0.25">
      <c r="A566" t="s">
        <v>836</v>
      </c>
      <c r="B566" t="s">
        <v>16</v>
      </c>
      <c r="C566" t="s">
        <v>153</v>
      </c>
      <c r="D566" t="s">
        <v>417</v>
      </c>
      <c r="E566" t="s">
        <v>417</v>
      </c>
      <c r="F566" t="s">
        <v>417</v>
      </c>
      <c r="G566" s="3" t="e">
        <f t="shared" si="8"/>
        <v>#DIV/0!</v>
      </c>
      <c r="I566" s="3">
        <f>D566/(VLOOKUP(B566,'2023 Team'!$B$2:$G$33,3,FALSE))</f>
        <v>0</v>
      </c>
    </row>
    <row r="567" spans="1:9" x14ac:dyDescent="0.25">
      <c r="A567" t="s">
        <v>1856</v>
      </c>
      <c r="B567" t="s">
        <v>70</v>
      </c>
      <c r="C567" t="s">
        <v>153</v>
      </c>
      <c r="D567" t="s">
        <v>417</v>
      </c>
      <c r="E567" t="s">
        <v>417</v>
      </c>
      <c r="F567" t="s">
        <v>417</v>
      </c>
      <c r="G567" s="3" t="e">
        <f t="shared" ref="G567:G630" si="9">F567/D567</f>
        <v>#DIV/0!</v>
      </c>
      <c r="I567" s="3">
        <f>D567/(VLOOKUP(B567,'2023 Team'!$B$2:$G$33,3,FALSE))</f>
        <v>0</v>
      </c>
    </row>
    <row r="568" spans="1:9" x14ac:dyDescent="0.25">
      <c r="A568" t="s">
        <v>1857</v>
      </c>
      <c r="B568" t="s">
        <v>56</v>
      </c>
      <c r="C568" t="s">
        <v>153</v>
      </c>
      <c r="D568" t="s">
        <v>417</v>
      </c>
      <c r="E568" t="s">
        <v>417</v>
      </c>
      <c r="F568" t="s">
        <v>417</v>
      </c>
      <c r="G568" s="3" t="e">
        <f t="shared" si="9"/>
        <v>#DIV/0!</v>
      </c>
      <c r="I568" s="3">
        <f>D568/(VLOOKUP(B568,'2023 Team'!$B$2:$G$33,3,FALSE))</f>
        <v>0</v>
      </c>
    </row>
    <row r="569" spans="1:9" x14ac:dyDescent="0.25">
      <c r="A569" t="s">
        <v>1003</v>
      </c>
      <c r="B569" t="s">
        <v>38</v>
      </c>
      <c r="C569" t="s">
        <v>163</v>
      </c>
      <c r="D569" t="s">
        <v>417</v>
      </c>
      <c r="E569" t="s">
        <v>417</v>
      </c>
      <c r="F569" t="s">
        <v>417</v>
      </c>
      <c r="G569" s="3" t="e">
        <f t="shared" si="9"/>
        <v>#DIV/0!</v>
      </c>
      <c r="I569" s="3">
        <f>D569/(VLOOKUP(B569,'2023 Team'!$B$2:$G$33,3,FALSE))</f>
        <v>0</v>
      </c>
    </row>
    <row r="570" spans="1:9" x14ac:dyDescent="0.25">
      <c r="A570" t="s">
        <v>1858</v>
      </c>
      <c r="B570" t="s">
        <v>40</v>
      </c>
      <c r="C570" t="s">
        <v>934</v>
      </c>
      <c r="D570" t="s">
        <v>417</v>
      </c>
      <c r="E570" t="s">
        <v>417</v>
      </c>
      <c r="F570" t="s">
        <v>417</v>
      </c>
      <c r="G570" s="3" t="e">
        <f t="shared" si="9"/>
        <v>#DIV/0!</v>
      </c>
      <c r="I570" s="3">
        <f>D570/(VLOOKUP(B570,'2023 Team'!$B$2:$G$33,3,FALSE))</f>
        <v>0</v>
      </c>
    </row>
    <row r="571" spans="1:9" x14ac:dyDescent="0.25">
      <c r="A571" t="s">
        <v>1859</v>
      </c>
      <c r="B571" t="s">
        <v>42</v>
      </c>
      <c r="C571" t="s">
        <v>153</v>
      </c>
      <c r="D571" t="s">
        <v>417</v>
      </c>
      <c r="E571" t="s">
        <v>417</v>
      </c>
      <c r="F571" t="s">
        <v>417</v>
      </c>
      <c r="G571" s="3" t="e">
        <f t="shared" si="9"/>
        <v>#DIV/0!</v>
      </c>
      <c r="I571" s="3">
        <f>D571/(VLOOKUP(B571,'2023 Team'!$B$2:$G$33,3,FALSE))</f>
        <v>0</v>
      </c>
    </row>
    <row r="572" spans="1:9" x14ac:dyDescent="0.25">
      <c r="A572" t="s">
        <v>818</v>
      </c>
      <c r="B572" t="s">
        <v>12</v>
      </c>
      <c r="C572" t="s">
        <v>163</v>
      </c>
      <c r="D572" t="s">
        <v>417</v>
      </c>
      <c r="E572" t="s">
        <v>417</v>
      </c>
      <c r="F572" t="s">
        <v>417</v>
      </c>
      <c r="G572" s="3" t="e">
        <f t="shared" si="9"/>
        <v>#DIV/0!</v>
      </c>
      <c r="I572" s="3">
        <f>D572/(VLOOKUP(B572,'2023 Team'!$B$2:$G$33,3,FALSE))</f>
        <v>0</v>
      </c>
    </row>
    <row r="573" spans="1:9" x14ac:dyDescent="0.25">
      <c r="A573" t="s">
        <v>736</v>
      </c>
      <c r="B573" t="s">
        <v>54</v>
      </c>
      <c r="C573" t="s">
        <v>153</v>
      </c>
      <c r="D573" t="s">
        <v>417</v>
      </c>
      <c r="E573" t="s">
        <v>417</v>
      </c>
      <c r="F573" t="s">
        <v>417</v>
      </c>
      <c r="G573" s="3" t="e">
        <f t="shared" si="9"/>
        <v>#DIV/0!</v>
      </c>
      <c r="I573" s="3">
        <f>D573/(VLOOKUP(B573,'2023 Team'!$B$2:$G$33,3,FALSE))</f>
        <v>0</v>
      </c>
    </row>
    <row r="574" spans="1:9" x14ac:dyDescent="0.25">
      <c r="A574" t="s">
        <v>1004</v>
      </c>
      <c r="B574" t="s">
        <v>60</v>
      </c>
      <c r="C574" t="s">
        <v>153</v>
      </c>
      <c r="D574" t="s">
        <v>417</v>
      </c>
      <c r="E574" t="s">
        <v>417</v>
      </c>
      <c r="F574" t="s">
        <v>417</v>
      </c>
      <c r="G574" s="3" t="e">
        <f t="shared" si="9"/>
        <v>#DIV/0!</v>
      </c>
      <c r="I574" s="3">
        <f>D574/(VLOOKUP(B574,'2023 Team'!$B$2:$G$33,3,FALSE))</f>
        <v>0</v>
      </c>
    </row>
    <row r="575" spans="1:9" x14ac:dyDescent="0.25">
      <c r="A575" t="s">
        <v>633</v>
      </c>
      <c r="B575" t="s">
        <v>36</v>
      </c>
      <c r="C575" t="s">
        <v>163</v>
      </c>
      <c r="D575" t="s">
        <v>417</v>
      </c>
      <c r="E575" t="s">
        <v>417</v>
      </c>
      <c r="F575" t="s">
        <v>417</v>
      </c>
      <c r="G575" s="3" t="e">
        <f t="shared" si="9"/>
        <v>#DIV/0!</v>
      </c>
      <c r="I575" s="3">
        <f>D575/(VLOOKUP(B575,'2023 Team'!$B$2:$G$33,3,FALSE))</f>
        <v>0</v>
      </c>
    </row>
    <row r="576" spans="1:9" x14ac:dyDescent="0.25">
      <c r="A576" t="s">
        <v>1860</v>
      </c>
      <c r="B576" t="s">
        <v>58</v>
      </c>
      <c r="C576" t="s">
        <v>163</v>
      </c>
      <c r="D576" t="s">
        <v>417</v>
      </c>
      <c r="E576" t="s">
        <v>417</v>
      </c>
      <c r="F576" t="s">
        <v>417</v>
      </c>
      <c r="G576" s="3" t="e">
        <f t="shared" si="9"/>
        <v>#DIV/0!</v>
      </c>
      <c r="I576" s="3">
        <f>D576/(VLOOKUP(B576,'2023 Team'!$B$2:$G$33,3,FALSE))</f>
        <v>0</v>
      </c>
    </row>
    <row r="577" spans="1:9" x14ac:dyDescent="0.25">
      <c r="A577" t="s">
        <v>890</v>
      </c>
      <c r="B577" t="s">
        <v>38</v>
      </c>
      <c r="C577" t="s">
        <v>163</v>
      </c>
      <c r="D577" t="s">
        <v>417</v>
      </c>
      <c r="E577" t="s">
        <v>417</v>
      </c>
      <c r="F577" t="s">
        <v>417</v>
      </c>
      <c r="G577" s="3" t="e">
        <f t="shared" si="9"/>
        <v>#DIV/0!</v>
      </c>
      <c r="I577" s="3">
        <f>D577/(VLOOKUP(B577,'2023 Team'!$B$2:$G$33,3,FALSE))</f>
        <v>0</v>
      </c>
    </row>
    <row r="578" spans="1:9" x14ac:dyDescent="0.25">
      <c r="A578" t="s">
        <v>1861</v>
      </c>
      <c r="B578" t="s">
        <v>66</v>
      </c>
      <c r="C578" t="s">
        <v>153</v>
      </c>
      <c r="D578" t="s">
        <v>417</v>
      </c>
      <c r="E578" t="s">
        <v>417</v>
      </c>
      <c r="F578" t="s">
        <v>417</v>
      </c>
      <c r="G578" s="3" t="e">
        <f t="shared" si="9"/>
        <v>#DIV/0!</v>
      </c>
      <c r="I578" s="3">
        <f>D578/(VLOOKUP(B578,'2023 Team'!$B$2:$G$33,3,FALSE))</f>
        <v>0</v>
      </c>
    </row>
    <row r="579" spans="1:9" x14ac:dyDescent="0.25">
      <c r="A579" t="s">
        <v>1862</v>
      </c>
      <c r="B579" t="s">
        <v>68</v>
      </c>
      <c r="C579" t="s">
        <v>153</v>
      </c>
      <c r="D579" t="s">
        <v>417</v>
      </c>
      <c r="E579" t="s">
        <v>417</v>
      </c>
      <c r="F579" t="s">
        <v>417</v>
      </c>
      <c r="G579" s="3" t="e">
        <f t="shared" si="9"/>
        <v>#DIV/0!</v>
      </c>
      <c r="I579" s="3">
        <f>D579/(VLOOKUP(B579,'2023 Team'!$B$2:$G$33,3,FALSE))</f>
        <v>0</v>
      </c>
    </row>
    <row r="580" spans="1:9" x14ac:dyDescent="0.25">
      <c r="A580" t="s">
        <v>947</v>
      </c>
      <c r="B580" t="s">
        <v>68</v>
      </c>
      <c r="C580" t="s">
        <v>163</v>
      </c>
      <c r="D580" t="s">
        <v>417</v>
      </c>
      <c r="E580" t="s">
        <v>417</v>
      </c>
      <c r="F580" t="s">
        <v>417</v>
      </c>
      <c r="G580" s="3" t="e">
        <f t="shared" si="9"/>
        <v>#DIV/0!</v>
      </c>
      <c r="I580" s="3">
        <f>D580/(VLOOKUP(B580,'2023 Team'!$B$2:$G$33,3,FALSE))</f>
        <v>0</v>
      </c>
    </row>
    <row r="581" spans="1:9" x14ac:dyDescent="0.25">
      <c r="A581" t="s">
        <v>884</v>
      </c>
      <c r="B581" t="s">
        <v>68</v>
      </c>
      <c r="C581" t="s">
        <v>153</v>
      </c>
      <c r="D581" t="s">
        <v>417</v>
      </c>
      <c r="E581" t="s">
        <v>417</v>
      </c>
      <c r="F581" t="s">
        <v>417</v>
      </c>
      <c r="G581" s="3" t="e">
        <f t="shared" si="9"/>
        <v>#DIV/0!</v>
      </c>
      <c r="I581" s="3">
        <f>D581/(VLOOKUP(B581,'2023 Team'!$B$2:$G$33,3,FALSE))</f>
        <v>0</v>
      </c>
    </row>
    <row r="582" spans="1:9" x14ac:dyDescent="0.25">
      <c r="A582" t="s">
        <v>1863</v>
      </c>
      <c r="B582" t="s">
        <v>20</v>
      </c>
      <c r="C582" t="s">
        <v>153</v>
      </c>
      <c r="D582" t="s">
        <v>417</v>
      </c>
      <c r="E582" t="s">
        <v>417</v>
      </c>
      <c r="F582" t="s">
        <v>417</v>
      </c>
      <c r="G582" s="3" t="e">
        <f t="shared" si="9"/>
        <v>#DIV/0!</v>
      </c>
      <c r="I582" s="3">
        <f>D582/(VLOOKUP(B582,'2023 Team'!$B$2:$G$33,3,FALSE))</f>
        <v>0</v>
      </c>
    </row>
    <row r="583" spans="1:9" x14ac:dyDescent="0.25">
      <c r="A583" t="s">
        <v>1864</v>
      </c>
      <c r="B583" t="s">
        <v>60</v>
      </c>
      <c r="C583" t="s">
        <v>153</v>
      </c>
      <c r="D583" t="s">
        <v>417</v>
      </c>
      <c r="E583" t="s">
        <v>417</v>
      </c>
      <c r="F583" t="s">
        <v>417</v>
      </c>
      <c r="G583" s="3" t="e">
        <f t="shared" si="9"/>
        <v>#DIV/0!</v>
      </c>
      <c r="I583" s="3">
        <f>D583/(VLOOKUP(B583,'2023 Team'!$B$2:$G$33,3,FALSE))</f>
        <v>0</v>
      </c>
    </row>
    <row r="584" spans="1:9" x14ac:dyDescent="0.25">
      <c r="A584" t="s">
        <v>948</v>
      </c>
      <c r="B584" t="s">
        <v>46</v>
      </c>
      <c r="C584" t="s">
        <v>163</v>
      </c>
      <c r="D584" t="s">
        <v>417</v>
      </c>
      <c r="E584" t="s">
        <v>417</v>
      </c>
      <c r="F584" t="s">
        <v>417</v>
      </c>
      <c r="G584" s="3" t="e">
        <f t="shared" si="9"/>
        <v>#DIV/0!</v>
      </c>
      <c r="I584" s="3">
        <f>D584/(VLOOKUP(B584,'2023 Team'!$B$2:$G$33,3,FALSE))</f>
        <v>0</v>
      </c>
    </row>
    <row r="585" spans="1:9" x14ac:dyDescent="0.25">
      <c r="A585" t="s">
        <v>800</v>
      </c>
      <c r="B585" t="s">
        <v>8</v>
      </c>
      <c r="C585" t="s">
        <v>163</v>
      </c>
      <c r="D585" t="s">
        <v>417</v>
      </c>
      <c r="E585" t="s">
        <v>417</v>
      </c>
      <c r="F585" t="s">
        <v>417</v>
      </c>
      <c r="G585" s="3" t="e">
        <f t="shared" si="9"/>
        <v>#DIV/0!</v>
      </c>
      <c r="I585" s="3">
        <f>D585/(VLOOKUP(B585,'2023 Team'!$B$2:$G$33,3,FALSE))</f>
        <v>0</v>
      </c>
    </row>
    <row r="586" spans="1:9" x14ac:dyDescent="0.25">
      <c r="A586" t="s">
        <v>1865</v>
      </c>
      <c r="B586" t="s">
        <v>34</v>
      </c>
      <c r="C586" t="s">
        <v>163</v>
      </c>
      <c r="D586" t="s">
        <v>417</v>
      </c>
      <c r="E586" t="s">
        <v>417</v>
      </c>
      <c r="F586" t="s">
        <v>417</v>
      </c>
      <c r="G586" s="3" t="e">
        <f t="shared" si="9"/>
        <v>#DIV/0!</v>
      </c>
      <c r="I586" s="3">
        <f>D586/(VLOOKUP(B586,'2023 Team'!$B$2:$G$33,3,FALSE))</f>
        <v>0</v>
      </c>
    </row>
    <row r="587" spans="1:9" x14ac:dyDescent="0.25">
      <c r="A587" t="s">
        <v>811</v>
      </c>
      <c r="B587" t="s">
        <v>62</v>
      </c>
      <c r="C587" t="s">
        <v>153</v>
      </c>
      <c r="D587" t="s">
        <v>417</v>
      </c>
      <c r="E587" t="s">
        <v>417</v>
      </c>
      <c r="F587" t="s">
        <v>417</v>
      </c>
      <c r="G587" s="3" t="e">
        <f t="shared" si="9"/>
        <v>#DIV/0!</v>
      </c>
      <c r="I587" s="3">
        <f>D587/(VLOOKUP(B587,'2023 Team'!$B$2:$G$33,3,FALSE))</f>
        <v>0</v>
      </c>
    </row>
    <row r="588" spans="1:9" x14ac:dyDescent="0.25">
      <c r="A588" t="s">
        <v>876</v>
      </c>
      <c r="B588" t="s">
        <v>28</v>
      </c>
      <c r="C588" t="s">
        <v>153</v>
      </c>
      <c r="D588" t="s">
        <v>417</v>
      </c>
      <c r="E588" t="s">
        <v>417</v>
      </c>
      <c r="F588" t="s">
        <v>417</v>
      </c>
      <c r="G588" s="3" t="e">
        <f t="shared" si="9"/>
        <v>#DIV/0!</v>
      </c>
      <c r="I588" s="3">
        <f>D588/(VLOOKUP(B588,'2023 Team'!$B$2:$G$33,3,FALSE))</f>
        <v>0</v>
      </c>
    </row>
    <row r="589" spans="1:9" x14ac:dyDescent="0.25">
      <c r="A589" t="s">
        <v>1866</v>
      </c>
      <c r="B589" t="s">
        <v>56</v>
      </c>
      <c r="C589" t="s">
        <v>153</v>
      </c>
      <c r="D589" t="s">
        <v>417</v>
      </c>
      <c r="E589" t="s">
        <v>417</v>
      </c>
      <c r="F589" t="s">
        <v>417</v>
      </c>
      <c r="G589" s="3" t="e">
        <f t="shared" si="9"/>
        <v>#DIV/0!</v>
      </c>
      <c r="I589" s="3">
        <f>D589/(VLOOKUP(B589,'2023 Team'!$B$2:$G$33,3,FALSE))</f>
        <v>0</v>
      </c>
    </row>
    <row r="590" spans="1:9" x14ac:dyDescent="0.25">
      <c r="A590" t="s">
        <v>667</v>
      </c>
      <c r="B590" t="s">
        <v>58</v>
      </c>
      <c r="C590" t="s">
        <v>163</v>
      </c>
      <c r="D590" t="s">
        <v>417</v>
      </c>
      <c r="E590" t="s">
        <v>417</v>
      </c>
      <c r="F590" t="s">
        <v>417</v>
      </c>
      <c r="G590" s="3" t="e">
        <f t="shared" si="9"/>
        <v>#DIV/0!</v>
      </c>
      <c r="I590" s="3">
        <f>D590/(VLOOKUP(B590,'2023 Team'!$B$2:$G$33,3,FALSE))</f>
        <v>0</v>
      </c>
    </row>
    <row r="591" spans="1:9" x14ac:dyDescent="0.25">
      <c r="A591" t="s">
        <v>1588</v>
      </c>
      <c r="G591" s="3" t="e">
        <f t="shared" si="9"/>
        <v>#DIV/0!</v>
      </c>
      <c r="H591" t="s">
        <v>293</v>
      </c>
      <c r="I591" s="3" t="e">
        <f>D591/(VLOOKUP(B591,'2023 Team'!$B$2:$G$33,3,FALSE))</f>
        <v>#N/A</v>
      </c>
    </row>
    <row r="592" spans="1:9" x14ac:dyDescent="0.25">
      <c r="A592" t="s">
        <v>1037</v>
      </c>
      <c r="B592" t="s">
        <v>68</v>
      </c>
      <c r="C592" t="s">
        <v>163</v>
      </c>
      <c r="D592" t="s">
        <v>417</v>
      </c>
      <c r="E592" t="s">
        <v>417</v>
      </c>
      <c r="F592" t="s">
        <v>417</v>
      </c>
      <c r="G592" s="3" t="e">
        <f t="shared" si="9"/>
        <v>#DIV/0!</v>
      </c>
      <c r="H592" t="s">
        <v>788</v>
      </c>
      <c r="I592" s="3">
        <f>D592/(VLOOKUP(B592,'2025 Team'!$B$2:$G$33,3,FALSE))</f>
        <v>0</v>
      </c>
    </row>
    <row r="593" spans="1:9" x14ac:dyDescent="0.25">
      <c r="A593" t="s">
        <v>1038</v>
      </c>
      <c r="B593" t="s">
        <v>68</v>
      </c>
      <c r="C593" t="s">
        <v>163</v>
      </c>
      <c r="D593" t="s">
        <v>417</v>
      </c>
      <c r="E593" t="s">
        <v>417</v>
      </c>
      <c r="F593" t="s">
        <v>417</v>
      </c>
      <c r="G593" s="3" t="e">
        <f t="shared" si="9"/>
        <v>#DIV/0!</v>
      </c>
      <c r="H593" t="s">
        <v>788</v>
      </c>
      <c r="I593" s="3">
        <f>D593/(VLOOKUP(B593,'2025 Team'!$B$2:$G$33,3,FALSE))</f>
        <v>0</v>
      </c>
    </row>
    <row r="594" spans="1:9" x14ac:dyDescent="0.25">
      <c r="A594" t="s">
        <v>1039</v>
      </c>
      <c r="B594" t="s">
        <v>68</v>
      </c>
      <c r="C594" t="s">
        <v>1040</v>
      </c>
      <c r="D594" t="s">
        <v>417</v>
      </c>
      <c r="E594" t="s">
        <v>417</v>
      </c>
      <c r="F594" t="s">
        <v>417</v>
      </c>
      <c r="G594" s="3" t="e">
        <f t="shared" si="9"/>
        <v>#DIV/0!</v>
      </c>
      <c r="H594" t="s">
        <v>788</v>
      </c>
      <c r="I594" s="3">
        <f>D594/(VLOOKUP(B594,'2025 Team'!$B$2:$G$33,3,FALSE))</f>
        <v>0</v>
      </c>
    </row>
    <row r="595" spans="1:9" x14ac:dyDescent="0.25">
      <c r="A595" t="s">
        <v>1041</v>
      </c>
      <c r="B595" t="s">
        <v>70</v>
      </c>
      <c r="C595" t="s">
        <v>153</v>
      </c>
      <c r="D595" t="s">
        <v>417</v>
      </c>
      <c r="E595" t="s">
        <v>417</v>
      </c>
      <c r="F595" t="s">
        <v>417</v>
      </c>
      <c r="G595" s="3" t="e">
        <f t="shared" si="9"/>
        <v>#DIV/0!</v>
      </c>
      <c r="H595" t="s">
        <v>788</v>
      </c>
      <c r="I595" s="3">
        <f>D595/(VLOOKUP(B595,'2025 Team'!$B$2:$G$33,3,FALSE))</f>
        <v>0</v>
      </c>
    </row>
    <row r="596" spans="1:9" x14ac:dyDescent="0.25">
      <c r="A596" t="s">
        <v>1042</v>
      </c>
      <c r="B596" t="s">
        <v>70</v>
      </c>
      <c r="C596" t="s">
        <v>163</v>
      </c>
      <c r="D596" t="s">
        <v>417</v>
      </c>
      <c r="E596" t="s">
        <v>417</v>
      </c>
      <c r="F596" t="s">
        <v>417</v>
      </c>
      <c r="G596" s="3" t="e">
        <f t="shared" si="9"/>
        <v>#DIV/0!</v>
      </c>
      <c r="H596" t="s">
        <v>788</v>
      </c>
      <c r="I596" s="3">
        <f>D596/(VLOOKUP(B596,'2025 Team'!$B$2:$G$33,3,FALSE))</f>
        <v>0</v>
      </c>
    </row>
    <row r="597" spans="1:9" x14ac:dyDescent="0.25">
      <c r="A597" t="s">
        <v>187</v>
      </c>
      <c r="B597" t="s">
        <v>70</v>
      </c>
      <c r="C597" t="s">
        <v>163</v>
      </c>
      <c r="D597" t="s">
        <v>417</v>
      </c>
      <c r="E597" t="s">
        <v>417</v>
      </c>
      <c r="F597" t="s">
        <v>417</v>
      </c>
      <c r="G597" s="3" t="e">
        <f t="shared" si="9"/>
        <v>#DIV/0!</v>
      </c>
      <c r="H597" t="s">
        <v>788</v>
      </c>
      <c r="I597" s="3">
        <f>D597/(VLOOKUP(B597,'2025 Team'!$B$2:$G$33,3,FALSE))</f>
        <v>0</v>
      </c>
    </row>
    <row r="598" spans="1:9" x14ac:dyDescent="0.25">
      <c r="A598" t="s">
        <v>1043</v>
      </c>
      <c r="B598" t="s">
        <v>70</v>
      </c>
      <c r="C598" t="s">
        <v>163</v>
      </c>
      <c r="D598" t="s">
        <v>417</v>
      </c>
      <c r="E598" t="s">
        <v>417</v>
      </c>
      <c r="F598" t="s">
        <v>417</v>
      </c>
      <c r="G598" s="3" t="e">
        <f t="shared" si="9"/>
        <v>#DIV/0!</v>
      </c>
      <c r="H598" t="s">
        <v>788</v>
      </c>
      <c r="I598" s="3">
        <f>D598/(VLOOKUP(B598,'2025 Team'!$B$2:$G$33,3,FALSE))</f>
        <v>0</v>
      </c>
    </row>
    <row r="599" spans="1:9" x14ac:dyDescent="0.25">
      <c r="A599" t="s">
        <v>1044</v>
      </c>
      <c r="B599" t="s">
        <v>70</v>
      </c>
      <c r="C599" t="s">
        <v>153</v>
      </c>
      <c r="D599" t="s">
        <v>417</v>
      </c>
      <c r="E599" t="s">
        <v>417</v>
      </c>
      <c r="F599" t="s">
        <v>417</v>
      </c>
      <c r="G599" s="3" t="e">
        <f t="shared" si="9"/>
        <v>#DIV/0!</v>
      </c>
      <c r="H599" t="s">
        <v>788</v>
      </c>
      <c r="I599" s="3">
        <f>D599/(VLOOKUP(B599,'2025 Team'!$B$2:$G$33,3,FALSE))</f>
        <v>0</v>
      </c>
    </row>
    <row r="600" spans="1:9" x14ac:dyDescent="0.25">
      <c r="A600" t="s">
        <v>1045</v>
      </c>
      <c r="B600" t="s">
        <v>70</v>
      </c>
      <c r="C600" t="s">
        <v>163</v>
      </c>
      <c r="D600" t="s">
        <v>417</v>
      </c>
      <c r="E600" t="s">
        <v>417</v>
      </c>
      <c r="F600" t="s">
        <v>417</v>
      </c>
      <c r="G600" s="3" t="e">
        <f t="shared" si="9"/>
        <v>#DIV/0!</v>
      </c>
      <c r="H600" t="s">
        <v>788</v>
      </c>
      <c r="I600" s="3">
        <f>D600/(VLOOKUP(B600,'2025 Team'!$B$2:$G$33,3,FALSE))</f>
        <v>0</v>
      </c>
    </row>
    <row r="601" spans="1:9" x14ac:dyDescent="0.25">
      <c r="A601" t="s">
        <v>1046</v>
      </c>
      <c r="B601" t="s">
        <v>70</v>
      </c>
      <c r="C601" t="s">
        <v>163</v>
      </c>
      <c r="D601" t="s">
        <v>417</v>
      </c>
      <c r="E601" t="s">
        <v>417</v>
      </c>
      <c r="F601" t="s">
        <v>417</v>
      </c>
      <c r="G601" s="3" t="e">
        <f t="shared" si="9"/>
        <v>#DIV/0!</v>
      </c>
      <c r="H601" t="s">
        <v>788</v>
      </c>
      <c r="I601" s="3">
        <f>D601/(VLOOKUP(B601,'2025 Team'!$B$2:$G$33,3,FALSE))</f>
        <v>0</v>
      </c>
    </row>
    <row r="602" spans="1:9" x14ac:dyDescent="0.25">
      <c r="A602" t="s">
        <v>1047</v>
      </c>
      <c r="B602" t="s">
        <v>70</v>
      </c>
      <c r="C602" t="s">
        <v>163</v>
      </c>
      <c r="D602" t="s">
        <v>417</v>
      </c>
      <c r="E602" t="s">
        <v>417</v>
      </c>
      <c r="F602" t="s">
        <v>417</v>
      </c>
      <c r="G602" s="3" t="e">
        <f t="shared" si="9"/>
        <v>#DIV/0!</v>
      </c>
      <c r="H602" t="s">
        <v>788</v>
      </c>
      <c r="I602" s="3">
        <f>D602/(VLOOKUP(B602,'2025 Team'!$B$2:$G$33,3,FALSE))</f>
        <v>0</v>
      </c>
    </row>
    <row r="603" spans="1:9" x14ac:dyDescent="0.25">
      <c r="A603" t="s">
        <v>1048</v>
      </c>
      <c r="B603" t="s">
        <v>70</v>
      </c>
      <c r="C603" t="s">
        <v>163</v>
      </c>
      <c r="D603" t="s">
        <v>417</v>
      </c>
      <c r="E603" t="s">
        <v>417</v>
      </c>
      <c r="F603" t="s">
        <v>417</v>
      </c>
      <c r="G603" s="3" t="e">
        <f t="shared" si="9"/>
        <v>#DIV/0!</v>
      </c>
      <c r="H603" t="s">
        <v>788</v>
      </c>
      <c r="I603" s="3">
        <f>D603/(VLOOKUP(B603,'2025 Team'!$B$2:$G$33,3,FALSE))</f>
        <v>0</v>
      </c>
    </row>
    <row r="604" spans="1:9" x14ac:dyDescent="0.25">
      <c r="A604" t="s">
        <v>1049</v>
      </c>
      <c r="B604" t="s">
        <v>70</v>
      </c>
      <c r="C604" t="s">
        <v>153</v>
      </c>
      <c r="D604" t="s">
        <v>417</v>
      </c>
      <c r="E604" t="s">
        <v>417</v>
      </c>
      <c r="F604" t="s">
        <v>417</v>
      </c>
      <c r="G604" s="3" t="e">
        <f t="shared" si="9"/>
        <v>#DIV/0!</v>
      </c>
      <c r="H604" t="s">
        <v>788</v>
      </c>
      <c r="I604" s="3">
        <f>D604/(VLOOKUP(B604,'2025 Team'!$B$2:$G$33,3,FALSE))</f>
        <v>0</v>
      </c>
    </row>
    <row r="605" spans="1:9" x14ac:dyDescent="0.25">
      <c r="A605" t="s">
        <v>1050</v>
      </c>
      <c r="B605" t="s">
        <v>70</v>
      </c>
      <c r="C605" t="s">
        <v>153</v>
      </c>
      <c r="D605" t="s">
        <v>417</v>
      </c>
      <c r="E605" t="s">
        <v>417</v>
      </c>
      <c r="F605" t="s">
        <v>417</v>
      </c>
      <c r="G605" s="3" t="e">
        <f t="shared" si="9"/>
        <v>#DIV/0!</v>
      </c>
      <c r="H605" t="s">
        <v>788</v>
      </c>
      <c r="I605" s="3">
        <f>D605/(VLOOKUP(B605,'2025 Team'!$B$2:$G$33,3,FALSE))</f>
        <v>0</v>
      </c>
    </row>
  </sheetData>
  <autoFilter ref="A1:I605" xr:uid="{6ABD159E-8734-4496-998F-99E57F4210FB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FE2A-BAA4-41C5-BC01-F06B4AB49302}">
  <dimension ref="A1:I629"/>
  <sheetViews>
    <sheetView workbookViewId="0">
      <selection activeCell="F2" sqref="F2"/>
    </sheetView>
  </sheetViews>
  <sheetFormatPr defaultRowHeight="15" x14ac:dyDescent="0.25"/>
  <sheetData>
    <row r="1" spans="1:9" x14ac:dyDescent="0.25">
      <c r="A1" t="s">
        <v>71</v>
      </c>
      <c r="B1" t="s">
        <v>0</v>
      </c>
      <c r="C1" t="s">
        <v>72</v>
      </c>
      <c r="D1" t="s">
        <v>74</v>
      </c>
      <c r="E1" t="s">
        <v>76</v>
      </c>
      <c r="F1" t="s">
        <v>188</v>
      </c>
      <c r="G1" s="2" t="s">
        <v>189</v>
      </c>
      <c r="H1" t="s">
        <v>79</v>
      </c>
      <c r="I1" s="3" t="s">
        <v>190</v>
      </c>
    </row>
    <row r="2" spans="1:9" x14ac:dyDescent="0.25">
      <c r="A2" s="5" t="s">
        <v>166</v>
      </c>
      <c r="B2" s="5" t="s">
        <v>68</v>
      </c>
      <c r="C2" s="5" t="s">
        <v>159</v>
      </c>
      <c r="D2" s="5">
        <v>349</v>
      </c>
      <c r="E2" s="5">
        <v>1538</v>
      </c>
      <c r="F2" s="5">
        <v>13</v>
      </c>
      <c r="G2" s="6">
        <f t="shared" ref="G2:G60" si="0">F2/D2</f>
        <v>3.7249283667621778E-2</v>
      </c>
      <c r="H2" s="5">
        <v>4.4000000000000004</v>
      </c>
      <c r="I2" s="6">
        <f>D2/(VLOOKUP(B2,'[1]2022 Team'!$B$2:$G$33,3,FALSE))</f>
        <v>0.71663244353182753</v>
      </c>
    </row>
    <row r="3" spans="1:9" x14ac:dyDescent="0.25">
      <c r="A3" s="5" t="s">
        <v>231</v>
      </c>
      <c r="B3" s="5" t="s">
        <v>40</v>
      </c>
      <c r="C3" s="5" t="s">
        <v>159</v>
      </c>
      <c r="D3" s="5">
        <v>340</v>
      </c>
      <c r="E3" s="5">
        <v>1653</v>
      </c>
      <c r="F3" s="5">
        <v>12</v>
      </c>
      <c r="G3" s="6">
        <f t="shared" si="0"/>
        <v>3.5294117647058823E-2</v>
      </c>
      <c r="H3" s="5">
        <v>4.9000000000000004</v>
      </c>
      <c r="I3" s="6">
        <f>D3/(VLOOKUP(B3,'[1]2022 Team'!$B$2:$G$33,3,FALSE))</f>
        <v>0.79439252336448596</v>
      </c>
    </row>
    <row r="4" spans="1:9" x14ac:dyDescent="0.25">
      <c r="A4" s="5" t="s">
        <v>356</v>
      </c>
      <c r="B4" s="5" t="s">
        <v>22</v>
      </c>
      <c r="C4" s="5" t="s">
        <v>159</v>
      </c>
      <c r="D4" s="5">
        <v>302</v>
      </c>
      <c r="E4" s="5">
        <v>1525</v>
      </c>
      <c r="F4" s="5">
        <v>12</v>
      </c>
      <c r="G4" s="6">
        <f t="shared" si="0"/>
        <v>3.9735099337748346E-2</v>
      </c>
      <c r="H4" s="5">
        <v>5</v>
      </c>
      <c r="I4" s="6">
        <f>D4/(VLOOKUP(B4,'[1]2022 Team'!$B$2:$G$33,3,FALSE))</f>
        <v>0.56766917293233088</v>
      </c>
    </row>
    <row r="5" spans="1:9" x14ac:dyDescent="0.25">
      <c r="A5" s="5" t="s">
        <v>204</v>
      </c>
      <c r="B5" s="5" t="s">
        <v>54</v>
      </c>
      <c r="C5" s="5" t="s">
        <v>159</v>
      </c>
      <c r="D5" s="5">
        <v>295</v>
      </c>
      <c r="E5" s="5">
        <v>1312</v>
      </c>
      <c r="F5" s="5">
        <v>10</v>
      </c>
      <c r="G5" s="6">
        <f t="shared" si="0"/>
        <v>3.3898305084745763E-2</v>
      </c>
      <c r="H5" s="5">
        <v>4.4000000000000004</v>
      </c>
      <c r="I5" s="6">
        <f>D5/(VLOOKUP(B5,'[1]2022 Team'!$B$2:$G$33,3,FALSE))</f>
        <v>0.56730769230769229</v>
      </c>
    </row>
    <row r="6" spans="1:9" x14ac:dyDescent="0.25">
      <c r="A6" s="5" t="s">
        <v>560</v>
      </c>
      <c r="B6" s="5" t="s">
        <v>60</v>
      </c>
      <c r="C6" s="5" t="s">
        <v>159</v>
      </c>
      <c r="D6" s="5">
        <v>272</v>
      </c>
      <c r="E6" s="5">
        <v>1034</v>
      </c>
      <c r="F6" s="5">
        <v>7</v>
      </c>
      <c r="G6" s="6">
        <f t="shared" si="0"/>
        <v>2.5735294117647058E-2</v>
      </c>
      <c r="H6" s="5">
        <v>3.8</v>
      </c>
      <c r="I6" s="6">
        <f>D6/(VLOOKUP(B6,'[1]2022 Team'!$B$2:$G$33,3,FALSE))</f>
        <v>0.54400000000000004</v>
      </c>
    </row>
    <row r="7" spans="1:9" x14ac:dyDescent="0.25">
      <c r="A7" s="5" t="s">
        <v>1669</v>
      </c>
      <c r="B7" s="5" t="s">
        <v>48</v>
      </c>
      <c r="C7" s="5" t="s">
        <v>159</v>
      </c>
      <c r="D7" s="5">
        <v>264</v>
      </c>
      <c r="E7" s="5">
        <v>1173</v>
      </c>
      <c r="F7" s="5">
        <v>8</v>
      </c>
      <c r="G7" s="6">
        <f t="shared" si="0"/>
        <v>3.0303030303030304E-2</v>
      </c>
      <c r="H7" s="5">
        <v>4.4000000000000004</v>
      </c>
      <c r="I7" s="6">
        <f>D7/(VLOOKUP(B7,'[1]2022 Team'!$B$2:$G$33,3,FALSE))</f>
        <v>0.65346534653465349</v>
      </c>
    </row>
    <row r="8" spans="1:9" x14ac:dyDescent="0.25">
      <c r="A8" s="5" t="s">
        <v>1655</v>
      </c>
      <c r="B8" s="5" t="s">
        <v>28</v>
      </c>
      <c r="C8" s="5" t="s">
        <v>159</v>
      </c>
      <c r="D8" s="5">
        <v>262</v>
      </c>
      <c r="E8" s="5">
        <v>1066</v>
      </c>
      <c r="F8" s="5">
        <v>17</v>
      </c>
      <c r="G8" s="6">
        <f t="shared" si="0"/>
        <v>6.4885496183206104E-2</v>
      </c>
      <c r="H8" s="5">
        <v>4.0999999999999996</v>
      </c>
      <c r="I8" s="6">
        <f>D8/(VLOOKUP(B8,'[1]2022 Team'!$B$2:$G$33,3,FALSE))</f>
        <v>0.54583333333333328</v>
      </c>
    </row>
    <row r="9" spans="1:9" x14ac:dyDescent="0.25">
      <c r="A9" s="5" t="s">
        <v>545</v>
      </c>
      <c r="B9" s="5" t="s">
        <v>58</v>
      </c>
      <c r="C9" s="5" t="s">
        <v>159</v>
      </c>
      <c r="D9" s="5">
        <v>259</v>
      </c>
      <c r="E9" s="5">
        <v>1269</v>
      </c>
      <c r="F9" s="5">
        <v>11</v>
      </c>
      <c r="G9" s="6">
        <f t="shared" si="0"/>
        <v>4.2471042471042469E-2</v>
      </c>
      <c r="H9" s="5">
        <v>4.9000000000000004</v>
      </c>
      <c r="I9" s="6">
        <f>D9/(VLOOKUP(B9,'[1]2022 Team'!$B$2:$G$33,3,FALSE))</f>
        <v>0.47610294117647056</v>
      </c>
    </row>
    <row r="10" spans="1:9" x14ac:dyDescent="0.25">
      <c r="A10" s="5" t="s">
        <v>182</v>
      </c>
      <c r="B10" s="5" t="s">
        <v>16</v>
      </c>
      <c r="C10" s="5" t="s">
        <v>159</v>
      </c>
      <c r="D10" s="5">
        <v>85</v>
      </c>
      <c r="E10" s="5">
        <v>393</v>
      </c>
      <c r="F10" s="5">
        <v>2</v>
      </c>
      <c r="G10" s="6">
        <f t="shared" si="0"/>
        <v>2.3529411764705882E-2</v>
      </c>
      <c r="H10" s="5">
        <v>4.5999999999999996</v>
      </c>
      <c r="I10" s="6">
        <f>D10/(VLOOKUP(B10,'[1]2022 Team'!$B$2:$G$33,3,FALSE))</f>
        <v>0.17598343685300208</v>
      </c>
    </row>
    <row r="11" spans="1:9" x14ac:dyDescent="0.25">
      <c r="A11" s="5" t="s">
        <v>182</v>
      </c>
      <c r="B11" s="5" t="s">
        <v>62</v>
      </c>
      <c r="C11" s="5" t="s">
        <v>159</v>
      </c>
      <c r="D11" s="5">
        <v>159</v>
      </c>
      <c r="E11" s="5">
        <v>746</v>
      </c>
      <c r="F11" s="5">
        <v>6</v>
      </c>
      <c r="G11" s="6">
        <f t="shared" si="0"/>
        <v>3.7735849056603772E-2</v>
      </c>
      <c r="H11" s="5">
        <v>4.7</v>
      </c>
      <c r="I11" s="6">
        <f>D11/(VLOOKUP(B11,'[1]2022 Team'!$B$2:$G$33,3,FALSE))</f>
        <v>0.31547619047619047</v>
      </c>
    </row>
    <row r="12" spans="1:9" x14ac:dyDescent="0.25">
      <c r="A12" s="5" t="s">
        <v>1627</v>
      </c>
      <c r="B12" s="5" t="s">
        <v>24</v>
      </c>
      <c r="C12" s="5" t="s">
        <v>159</v>
      </c>
      <c r="D12" s="5">
        <v>231</v>
      </c>
      <c r="E12" s="5">
        <v>876</v>
      </c>
      <c r="F12" s="5">
        <v>12</v>
      </c>
      <c r="G12" s="6">
        <f t="shared" si="0"/>
        <v>5.1948051948051951E-2</v>
      </c>
      <c r="H12" s="5">
        <v>3.8</v>
      </c>
      <c r="I12" s="6">
        <f>D12/(VLOOKUP(B12,'[1]2022 Team'!$B$2:$G$33,3,FALSE))</f>
        <v>0.43502824858757061</v>
      </c>
    </row>
    <row r="13" spans="1:9" x14ac:dyDescent="0.25">
      <c r="A13" s="5" t="s">
        <v>240</v>
      </c>
      <c r="B13" s="5" t="s">
        <v>64</v>
      </c>
      <c r="C13" s="5" t="s">
        <v>159</v>
      </c>
      <c r="D13" s="5">
        <v>228</v>
      </c>
      <c r="E13" s="5">
        <v>1050</v>
      </c>
      <c r="F13" s="5">
        <v>9</v>
      </c>
      <c r="G13" s="6">
        <f t="shared" si="0"/>
        <v>3.9473684210526314E-2</v>
      </c>
      <c r="H13" s="5">
        <v>4.5999999999999996</v>
      </c>
      <c r="I13" s="6">
        <f>D13/(VLOOKUP(B13,'[1]2022 Team'!$B$2:$G$33,3,FALSE))</f>
        <v>0.53647058823529414</v>
      </c>
    </row>
    <row r="14" spans="1:9" x14ac:dyDescent="0.25">
      <c r="A14" s="5" t="s">
        <v>348</v>
      </c>
      <c r="B14" s="5" t="s">
        <v>52</v>
      </c>
      <c r="C14" s="5" t="s">
        <v>159</v>
      </c>
      <c r="D14" s="5">
        <v>223</v>
      </c>
      <c r="E14" s="5">
        <v>897</v>
      </c>
      <c r="F14" s="5">
        <v>2</v>
      </c>
      <c r="G14" s="6">
        <f t="shared" si="0"/>
        <v>8.9686098654708519E-3</v>
      </c>
      <c r="H14" s="5">
        <v>4</v>
      </c>
      <c r="I14" s="6">
        <f>D14/(VLOOKUP(B14,'[1]2022 Team'!$B$2:$G$33,3,FALSE))</f>
        <v>0.47956989247311826</v>
      </c>
    </row>
    <row r="15" spans="1:9" x14ac:dyDescent="0.25">
      <c r="A15" s="5" t="s">
        <v>236</v>
      </c>
      <c r="B15" s="5" t="s">
        <v>36</v>
      </c>
      <c r="C15" s="5" t="s">
        <v>159</v>
      </c>
      <c r="D15" s="5">
        <v>220</v>
      </c>
      <c r="E15" s="5">
        <v>1125</v>
      </c>
      <c r="F15" s="5">
        <v>5</v>
      </c>
      <c r="G15" s="6">
        <f t="shared" si="0"/>
        <v>2.2727272727272728E-2</v>
      </c>
      <c r="H15" s="5">
        <v>5.0999999999999996</v>
      </c>
      <c r="I15" s="6">
        <f>D15/(VLOOKUP(B15,'[1]2022 Team'!$B$2:$G$33,3,FALSE))</f>
        <v>0.49107142857142855</v>
      </c>
    </row>
    <row r="16" spans="1:9" x14ac:dyDescent="0.25">
      <c r="A16" s="5" t="s">
        <v>602</v>
      </c>
      <c r="B16" s="5" t="s">
        <v>32</v>
      </c>
      <c r="C16" s="5" t="s">
        <v>159</v>
      </c>
      <c r="D16" s="5">
        <v>220</v>
      </c>
      <c r="E16" s="5">
        <v>939</v>
      </c>
      <c r="F16" s="5">
        <v>4</v>
      </c>
      <c r="G16" s="6">
        <f t="shared" si="0"/>
        <v>1.8181818181818181E-2</v>
      </c>
      <c r="H16" s="5">
        <v>4.3</v>
      </c>
      <c r="I16" s="6">
        <f>D16/(VLOOKUP(B16,'[1]2022 Team'!$B$2:$G$33,3,FALSE))</f>
        <v>0.55276381909547734</v>
      </c>
    </row>
    <row r="17" spans="1:9" x14ac:dyDescent="0.25">
      <c r="A17" s="5" t="s">
        <v>308</v>
      </c>
      <c r="B17" s="5" t="s">
        <v>30</v>
      </c>
      <c r="C17" s="5" t="s">
        <v>159</v>
      </c>
      <c r="D17" s="5">
        <v>213</v>
      </c>
      <c r="E17" s="5">
        <v>1121</v>
      </c>
      <c r="F17" s="5">
        <v>2</v>
      </c>
      <c r="G17" s="6">
        <f t="shared" si="0"/>
        <v>9.3896713615023476E-3</v>
      </c>
      <c r="H17" s="5">
        <v>5.3</v>
      </c>
      <c r="I17" s="6">
        <f>D17/(VLOOKUP(B17,'[1]2022 Team'!$B$2:$G$33,3,FALSE))</f>
        <v>0.46710526315789475</v>
      </c>
    </row>
    <row r="18" spans="1:9" x14ac:dyDescent="0.25">
      <c r="A18" s="5" t="s">
        <v>317</v>
      </c>
      <c r="B18" s="5" t="s">
        <v>10</v>
      </c>
      <c r="C18" s="5" t="s">
        <v>159</v>
      </c>
      <c r="D18" s="5">
        <v>210</v>
      </c>
      <c r="E18" s="5">
        <v>1035</v>
      </c>
      <c r="F18" s="5">
        <v>3</v>
      </c>
      <c r="G18" s="6">
        <f t="shared" si="0"/>
        <v>1.4285714285714285E-2</v>
      </c>
      <c r="H18" s="5">
        <v>4.9000000000000004</v>
      </c>
      <c r="I18" s="6">
        <f>D18/(VLOOKUP(B18,'[1]2022 Team'!$B$2:$G$33,3,FALSE))</f>
        <v>0.37567084078711988</v>
      </c>
    </row>
    <row r="19" spans="1:9" x14ac:dyDescent="0.25">
      <c r="A19" s="5" t="s">
        <v>1593</v>
      </c>
      <c r="B19" s="5" t="s">
        <v>20</v>
      </c>
      <c r="C19" s="5" t="s">
        <v>159</v>
      </c>
      <c r="D19" s="5">
        <v>210</v>
      </c>
      <c r="E19" s="5">
        <v>814</v>
      </c>
      <c r="F19" s="5">
        <v>7</v>
      </c>
      <c r="G19" s="6">
        <f t="shared" si="0"/>
        <v>3.3333333333333333E-2</v>
      </c>
      <c r="H19" s="5">
        <v>3.9</v>
      </c>
      <c r="I19" s="6">
        <f>D19/(VLOOKUP(B19,'[1]2022 Team'!$B$2:$G$33,3,FALSE))</f>
        <v>0.52631578947368418</v>
      </c>
    </row>
    <row r="20" spans="1:9" x14ac:dyDescent="0.25">
      <c r="A20" s="5" t="s">
        <v>324</v>
      </c>
      <c r="B20" s="5" t="s">
        <v>50</v>
      </c>
      <c r="C20" s="5" t="s">
        <v>159</v>
      </c>
      <c r="D20" s="5">
        <v>210</v>
      </c>
      <c r="E20" s="5">
        <v>1040</v>
      </c>
      <c r="F20" s="5">
        <v>5</v>
      </c>
      <c r="G20" s="6">
        <f t="shared" si="0"/>
        <v>2.3809523809523808E-2</v>
      </c>
      <c r="H20" s="5">
        <v>5</v>
      </c>
      <c r="I20" s="6">
        <f>D20/(VLOOKUP(B20,'[1]2022 Team'!$B$2:$G$33,3,FALSE))</f>
        <v>0.49411764705882355</v>
      </c>
    </row>
    <row r="21" spans="1:9" x14ac:dyDescent="0.25">
      <c r="A21" s="5" t="s">
        <v>373</v>
      </c>
      <c r="B21" s="5" t="s">
        <v>70</v>
      </c>
      <c r="C21" s="5" t="s">
        <v>159</v>
      </c>
      <c r="D21" s="5">
        <v>205</v>
      </c>
      <c r="E21" s="5">
        <v>797</v>
      </c>
      <c r="F21" s="5">
        <v>2</v>
      </c>
      <c r="G21" s="6">
        <f t="shared" si="0"/>
        <v>9.7560975609756097E-3</v>
      </c>
      <c r="H21" s="5">
        <v>3.9</v>
      </c>
      <c r="I21" s="6">
        <f>D21/(VLOOKUP(B21,'[1]2022 Team'!$B$2:$G$33,3,FALSE))</f>
        <v>0.38104089219330856</v>
      </c>
    </row>
    <row r="22" spans="1:9" x14ac:dyDescent="0.25">
      <c r="A22" s="5" t="s">
        <v>549</v>
      </c>
      <c r="B22" s="5" t="s">
        <v>42</v>
      </c>
      <c r="C22" s="5" t="s">
        <v>159</v>
      </c>
      <c r="D22" s="5">
        <v>204</v>
      </c>
      <c r="E22" s="5">
        <v>915</v>
      </c>
      <c r="F22" s="5">
        <v>13</v>
      </c>
      <c r="G22" s="6">
        <f t="shared" si="0"/>
        <v>6.3725490196078427E-2</v>
      </c>
      <c r="H22" s="5">
        <v>4.5</v>
      </c>
      <c r="I22" s="6">
        <f>D22/(VLOOKUP(B22,'[1]2022 Team'!$B$2:$G$33,3,FALSE))</f>
        <v>0.50495049504950495</v>
      </c>
    </row>
    <row r="23" spans="1:9" x14ac:dyDescent="0.25">
      <c r="A23" s="5" t="s">
        <v>1651</v>
      </c>
      <c r="B23" s="5" t="s">
        <v>16</v>
      </c>
      <c r="C23" s="5" t="s">
        <v>159</v>
      </c>
      <c r="D23" s="5">
        <v>203</v>
      </c>
      <c r="E23" s="5">
        <v>914</v>
      </c>
      <c r="F23" s="5">
        <v>5</v>
      </c>
      <c r="G23" s="6">
        <f t="shared" si="0"/>
        <v>2.4630541871921183E-2</v>
      </c>
      <c r="H23" s="5">
        <v>4.5</v>
      </c>
      <c r="I23" s="6">
        <f>D23/(VLOOKUP(B23,'[1]2022 Team'!$B$2:$G$33,3,FALSE))</f>
        <v>0.42028985507246375</v>
      </c>
    </row>
    <row r="24" spans="1:9" x14ac:dyDescent="0.25">
      <c r="A24" s="5" t="s">
        <v>158</v>
      </c>
      <c r="B24" s="5" t="s">
        <v>18</v>
      </c>
      <c r="C24" s="5" t="s">
        <v>159</v>
      </c>
      <c r="D24" s="5">
        <v>201</v>
      </c>
      <c r="E24" s="5">
        <v>801</v>
      </c>
      <c r="F24" s="5">
        <v>5</v>
      </c>
      <c r="G24" s="6">
        <f t="shared" si="0"/>
        <v>2.4875621890547265E-2</v>
      </c>
      <c r="H24" s="5">
        <v>4</v>
      </c>
      <c r="I24" s="6">
        <f>D24/(VLOOKUP(B24,'[1]2022 Team'!$B$2:$G$33,3,FALSE))</f>
        <v>0.36021505376344087</v>
      </c>
    </row>
    <row r="25" spans="1:9" x14ac:dyDescent="0.25">
      <c r="A25" s="5" t="s">
        <v>252</v>
      </c>
      <c r="B25" s="5" t="s">
        <v>24</v>
      </c>
      <c r="C25" s="5" t="s">
        <v>159</v>
      </c>
      <c r="D25" s="5">
        <v>193</v>
      </c>
      <c r="E25" s="5">
        <v>1007</v>
      </c>
      <c r="F25" s="5">
        <v>9</v>
      </c>
      <c r="G25" s="6">
        <f t="shared" si="0"/>
        <v>4.6632124352331605E-2</v>
      </c>
      <c r="H25" s="5">
        <v>5.2</v>
      </c>
      <c r="I25" s="6">
        <f>D25/(VLOOKUP(B25,'[1]2022 Team'!$B$2:$G$33,3,FALSE))</f>
        <v>0.36346516007532959</v>
      </c>
    </row>
    <row r="26" spans="1:9" x14ac:dyDescent="0.25">
      <c r="A26" s="5" t="s">
        <v>199</v>
      </c>
      <c r="B26" s="5" t="s">
        <v>34</v>
      </c>
      <c r="C26" s="5" t="s">
        <v>159</v>
      </c>
      <c r="D26" s="5">
        <v>192</v>
      </c>
      <c r="E26" s="5">
        <v>861</v>
      </c>
      <c r="F26" s="5">
        <v>4</v>
      </c>
      <c r="G26" s="6">
        <f t="shared" si="0"/>
        <v>2.0833333333333332E-2</v>
      </c>
      <c r="H26" s="5">
        <v>4.5</v>
      </c>
      <c r="I26" s="6">
        <f>D26/(VLOOKUP(B26,'[1]2022 Team'!$B$2:$G$33,3,FALSE))</f>
        <v>0.43735763097949887</v>
      </c>
    </row>
    <row r="27" spans="1:9" x14ac:dyDescent="0.25">
      <c r="A27" s="5" t="s">
        <v>1704</v>
      </c>
      <c r="B27" s="5" t="s">
        <v>66</v>
      </c>
      <c r="C27" s="5" t="s">
        <v>159</v>
      </c>
      <c r="D27" s="5">
        <v>189</v>
      </c>
      <c r="E27" s="5">
        <v>668</v>
      </c>
      <c r="F27" s="5">
        <v>3</v>
      </c>
      <c r="G27" s="6">
        <f t="shared" si="0"/>
        <v>1.5873015873015872E-2</v>
      </c>
      <c r="H27" s="5">
        <v>3.5</v>
      </c>
      <c r="I27" s="6">
        <f>D27/(VLOOKUP(B27,'[1]2022 Team'!$B$2:$G$33,3,FALSE))</f>
        <v>0.48963730569948188</v>
      </c>
    </row>
    <row r="28" spans="1:9" x14ac:dyDescent="0.25">
      <c r="A28" s="5" t="s">
        <v>176</v>
      </c>
      <c r="B28" s="5" t="s">
        <v>44</v>
      </c>
      <c r="C28" s="5" t="s">
        <v>159</v>
      </c>
      <c r="D28" s="5">
        <v>188</v>
      </c>
      <c r="E28" s="5">
        <v>786</v>
      </c>
      <c r="F28" s="5">
        <v>7</v>
      </c>
      <c r="G28" s="6">
        <f t="shared" si="0"/>
        <v>3.7234042553191488E-2</v>
      </c>
      <c r="H28" s="5">
        <v>4.2</v>
      </c>
      <c r="I28" s="6">
        <f>D28/(VLOOKUP(B28,'[1]2022 Team'!$B$2:$G$33,3,FALSE))</f>
        <v>0.45742092457420924</v>
      </c>
    </row>
    <row r="29" spans="1:9" x14ac:dyDescent="0.25">
      <c r="A29" s="5" t="s">
        <v>570</v>
      </c>
      <c r="B29" s="5" t="s">
        <v>30</v>
      </c>
      <c r="C29" s="5" t="s">
        <v>159</v>
      </c>
      <c r="D29" s="5">
        <v>186</v>
      </c>
      <c r="E29" s="5">
        <v>770</v>
      </c>
      <c r="F29" s="5">
        <v>7</v>
      </c>
      <c r="G29" s="6">
        <f t="shared" si="0"/>
        <v>3.7634408602150539E-2</v>
      </c>
      <c r="H29" s="5">
        <v>4.0999999999999996</v>
      </c>
      <c r="I29" s="6">
        <f>D29/(VLOOKUP(B29,'[1]2022 Team'!$B$2:$G$33,3,FALSE))</f>
        <v>0.40789473684210525</v>
      </c>
    </row>
    <row r="30" spans="1:9" x14ac:dyDescent="0.25">
      <c r="A30" s="5" t="s">
        <v>501</v>
      </c>
      <c r="B30" s="5" t="s">
        <v>8</v>
      </c>
      <c r="C30" s="5" t="s">
        <v>159</v>
      </c>
      <c r="D30" s="5">
        <v>183</v>
      </c>
      <c r="E30" s="5">
        <v>782</v>
      </c>
      <c r="F30" s="5">
        <v>7</v>
      </c>
      <c r="G30" s="6">
        <f t="shared" si="0"/>
        <v>3.825136612021858E-2</v>
      </c>
      <c r="H30" s="5">
        <v>4.3</v>
      </c>
      <c r="I30" s="6">
        <f>D30/(VLOOKUP(B30,'[1]2022 Team'!$B$2:$G$33,3,FALSE))</f>
        <v>0.42165898617511521</v>
      </c>
    </row>
    <row r="31" spans="1:9" x14ac:dyDescent="0.25">
      <c r="A31" s="5" t="s">
        <v>520</v>
      </c>
      <c r="B31" s="5" t="s">
        <v>46</v>
      </c>
      <c r="C31" s="5" t="s">
        <v>159</v>
      </c>
      <c r="D31" s="5">
        <v>181</v>
      </c>
      <c r="E31" s="5">
        <v>891</v>
      </c>
      <c r="F31" s="5">
        <v>3</v>
      </c>
      <c r="G31" s="6">
        <f t="shared" si="0"/>
        <v>1.6574585635359115E-2</v>
      </c>
      <c r="H31" s="5">
        <v>4.9000000000000004</v>
      </c>
      <c r="I31" s="6">
        <f>D31/(VLOOKUP(B31,'[1]2022 Team'!$B$2:$G$33,3,FALSE))</f>
        <v>0.46410256410256412</v>
      </c>
    </row>
    <row r="32" spans="1:9" x14ac:dyDescent="0.25">
      <c r="A32" s="5" t="s">
        <v>345</v>
      </c>
      <c r="B32" s="5" t="s">
        <v>14</v>
      </c>
      <c r="C32" s="5" t="s">
        <v>159</v>
      </c>
      <c r="D32" s="5">
        <v>177</v>
      </c>
      <c r="E32" s="5">
        <v>819</v>
      </c>
      <c r="F32" s="5">
        <v>5</v>
      </c>
      <c r="G32" s="6">
        <f t="shared" si="0"/>
        <v>2.8248587570621469E-2</v>
      </c>
      <c r="H32" s="5">
        <v>4.5999999999999996</v>
      </c>
      <c r="I32" s="6">
        <f>D32/(VLOOKUP(B32,'[1]2022 Team'!$B$2:$G$33,3,FALSE))</f>
        <v>0.41162790697674417</v>
      </c>
    </row>
    <row r="33" spans="1:9" x14ac:dyDescent="0.25">
      <c r="A33" s="5" t="s">
        <v>1678</v>
      </c>
      <c r="B33" s="5" t="s">
        <v>62</v>
      </c>
      <c r="C33" s="5" t="s">
        <v>159</v>
      </c>
      <c r="D33" s="5">
        <v>92</v>
      </c>
      <c r="E33" s="5">
        <v>468</v>
      </c>
      <c r="F33" s="5">
        <v>2</v>
      </c>
      <c r="G33" s="6">
        <f t="shared" si="0"/>
        <v>2.1739130434782608E-2</v>
      </c>
      <c r="H33" s="5">
        <v>5.0999999999999996</v>
      </c>
      <c r="I33" s="6">
        <f>D33/(VLOOKUP(B33,'[1]2022 Team'!$B$2:$G$33,3,FALSE))</f>
        <v>0.18253968253968253</v>
      </c>
    </row>
    <row r="34" spans="1:9" x14ac:dyDescent="0.25">
      <c r="A34" s="5" t="s">
        <v>1678</v>
      </c>
      <c r="B34" s="5" t="s">
        <v>46</v>
      </c>
      <c r="C34" s="5" t="s">
        <v>159</v>
      </c>
      <c r="D34" s="5">
        <v>84</v>
      </c>
      <c r="E34" s="5">
        <v>392</v>
      </c>
      <c r="F34" s="5">
        <v>3</v>
      </c>
      <c r="G34" s="6">
        <f t="shared" si="0"/>
        <v>3.5714285714285712E-2</v>
      </c>
      <c r="H34" s="5">
        <v>4.7</v>
      </c>
      <c r="I34" s="6">
        <f>D34/(VLOOKUP(B34,'[1]2022 Team'!$B$2:$G$33,3,FALSE))</f>
        <v>0.2153846153846154</v>
      </c>
    </row>
    <row r="35" spans="1:9" x14ac:dyDescent="0.25">
      <c r="A35" s="5" t="s">
        <v>1662</v>
      </c>
      <c r="B35" s="5" t="s">
        <v>52</v>
      </c>
      <c r="C35" s="5" t="s">
        <v>159</v>
      </c>
      <c r="D35" s="5">
        <v>11</v>
      </c>
      <c r="E35" s="5">
        <v>57</v>
      </c>
      <c r="F35" s="5">
        <v>1</v>
      </c>
      <c r="G35" s="6">
        <f t="shared" si="0"/>
        <v>9.0909090909090912E-2</v>
      </c>
      <c r="H35" s="5">
        <v>5.2</v>
      </c>
      <c r="I35" s="6">
        <f>D35/(VLOOKUP(B35,'[1]2022 Team'!$B$2:$G$33,3,FALSE))</f>
        <v>2.3655913978494623E-2</v>
      </c>
    </row>
    <row r="36" spans="1:9" x14ac:dyDescent="0.25">
      <c r="A36" s="5" t="s">
        <v>1662</v>
      </c>
      <c r="B36" s="5" t="s">
        <v>26</v>
      </c>
      <c r="C36" s="5" t="s">
        <v>159</v>
      </c>
      <c r="D36" s="5">
        <v>160</v>
      </c>
      <c r="E36" s="5">
        <v>703</v>
      </c>
      <c r="F36" s="5">
        <v>5</v>
      </c>
      <c r="G36" s="6">
        <f t="shared" si="0"/>
        <v>3.125E-2</v>
      </c>
      <c r="H36" s="5">
        <v>4.4000000000000004</v>
      </c>
      <c r="I36" s="6">
        <f>D36/(VLOOKUP(B36,'[1]2022 Team'!$B$2:$G$33,3,FALSE))</f>
        <v>0.36036036036036034</v>
      </c>
    </row>
    <row r="37" spans="1:9" x14ac:dyDescent="0.25">
      <c r="A37" s="5" t="s">
        <v>365</v>
      </c>
      <c r="B37" s="5" t="s">
        <v>38</v>
      </c>
      <c r="C37" s="5" t="s">
        <v>159</v>
      </c>
      <c r="D37" s="5">
        <v>170</v>
      </c>
      <c r="E37" s="5">
        <v>830</v>
      </c>
      <c r="F37" s="5">
        <v>5</v>
      </c>
      <c r="G37" s="6">
        <f t="shared" si="0"/>
        <v>2.9411764705882353E-2</v>
      </c>
      <c r="H37" s="5">
        <v>4.9000000000000004</v>
      </c>
      <c r="I37" s="6">
        <f>D37/(VLOOKUP(B37,'[1]2022 Team'!$B$2:$G$33,3,FALSE))</f>
        <v>0.407673860911271</v>
      </c>
    </row>
    <row r="38" spans="1:9" x14ac:dyDescent="0.25">
      <c r="A38" s="5" t="s">
        <v>98</v>
      </c>
      <c r="B38" s="5" t="s">
        <v>58</v>
      </c>
      <c r="C38" s="5" t="s">
        <v>82</v>
      </c>
      <c r="D38" s="5">
        <v>165</v>
      </c>
      <c r="E38" s="5">
        <v>760</v>
      </c>
      <c r="F38" s="5">
        <v>13</v>
      </c>
      <c r="G38" s="6">
        <f t="shared" si="0"/>
        <v>7.8787878787878782E-2</v>
      </c>
      <c r="H38" s="5">
        <v>4.5999999999999996</v>
      </c>
      <c r="I38" s="6">
        <f>D38/(VLOOKUP(B38,'[1]2022 Team'!$B$2:$G$33,3,FALSE))</f>
        <v>0.30330882352941174</v>
      </c>
    </row>
    <row r="39" spans="1:9" x14ac:dyDescent="0.25">
      <c r="A39" s="5" t="s">
        <v>117</v>
      </c>
      <c r="B39" s="5" t="s">
        <v>18</v>
      </c>
      <c r="C39" s="5" t="s">
        <v>82</v>
      </c>
      <c r="D39" s="5">
        <v>160</v>
      </c>
      <c r="E39" s="5">
        <v>1143</v>
      </c>
      <c r="F39" s="5">
        <v>8</v>
      </c>
      <c r="G39" s="6">
        <f t="shared" si="0"/>
        <v>0.05</v>
      </c>
      <c r="H39" s="5">
        <v>7.1</v>
      </c>
      <c r="I39" s="6">
        <f>D39/(VLOOKUP(B39,'[1]2022 Team'!$B$2:$G$33,3,FALSE))</f>
        <v>0.28673835125448027</v>
      </c>
    </row>
    <row r="40" spans="1:9" x14ac:dyDescent="0.25">
      <c r="A40" s="5" t="s">
        <v>499</v>
      </c>
      <c r="B40" s="5" t="s">
        <v>70</v>
      </c>
      <c r="C40" s="5" t="s">
        <v>159</v>
      </c>
      <c r="D40" s="5">
        <v>149</v>
      </c>
      <c r="E40" s="5">
        <v>546</v>
      </c>
      <c r="F40" s="5">
        <v>3</v>
      </c>
      <c r="G40" s="6">
        <f t="shared" si="0"/>
        <v>2.0134228187919462E-2</v>
      </c>
      <c r="H40" s="5">
        <v>3.7</v>
      </c>
      <c r="I40" s="6">
        <f>D40/(VLOOKUP(B40,'[1]2022 Team'!$B$2:$G$33,3,FALSE))</f>
        <v>0.27695167286245354</v>
      </c>
    </row>
    <row r="41" spans="1:9" x14ac:dyDescent="0.25">
      <c r="A41" s="5" t="s">
        <v>1674</v>
      </c>
      <c r="B41" s="5" t="s">
        <v>10</v>
      </c>
      <c r="C41" s="5" t="s">
        <v>159</v>
      </c>
      <c r="D41" s="5">
        <v>144</v>
      </c>
      <c r="E41" s="5">
        <v>695</v>
      </c>
      <c r="F41" s="5">
        <v>8</v>
      </c>
      <c r="G41" s="6">
        <f t="shared" si="0"/>
        <v>5.5555555555555552E-2</v>
      </c>
      <c r="H41" s="5">
        <v>4.8</v>
      </c>
      <c r="I41" s="6">
        <f>D41/(VLOOKUP(B41,'[1]2022 Team'!$B$2:$G$33,3,FALSE))</f>
        <v>0.25760286225402507</v>
      </c>
    </row>
    <row r="42" spans="1:9" x14ac:dyDescent="0.25">
      <c r="A42" s="5" t="s">
        <v>543</v>
      </c>
      <c r="B42" s="5" t="s">
        <v>18</v>
      </c>
      <c r="C42" s="5" t="s">
        <v>159</v>
      </c>
      <c r="D42" s="5">
        <v>129</v>
      </c>
      <c r="E42" s="5">
        <v>731</v>
      </c>
      <c r="F42" s="5">
        <v>4</v>
      </c>
      <c r="G42" s="6">
        <f t="shared" si="0"/>
        <v>3.1007751937984496E-2</v>
      </c>
      <c r="H42" s="5">
        <v>5.7</v>
      </c>
      <c r="I42" s="6">
        <f>D42/(VLOOKUP(B42,'[1]2022 Team'!$B$2:$G$33,3,FALSE))</f>
        <v>0.23118279569892472</v>
      </c>
    </row>
    <row r="43" spans="1:9" x14ac:dyDescent="0.25">
      <c r="A43" s="5" t="s">
        <v>341</v>
      </c>
      <c r="B43" s="5" t="s">
        <v>66</v>
      </c>
      <c r="C43" s="5" t="s">
        <v>159</v>
      </c>
      <c r="D43" s="5">
        <v>129</v>
      </c>
      <c r="E43" s="5">
        <v>481</v>
      </c>
      <c r="F43" s="5">
        <v>1</v>
      </c>
      <c r="G43" s="6">
        <f t="shared" si="0"/>
        <v>7.7519379844961239E-3</v>
      </c>
      <c r="H43" s="5">
        <v>3.7</v>
      </c>
      <c r="I43" s="6">
        <f>D43/(VLOOKUP(B43,'[1]2022 Team'!$B$2:$G$33,3,FALSE))</f>
        <v>0.33419689119170987</v>
      </c>
    </row>
    <row r="44" spans="1:9" x14ac:dyDescent="0.25">
      <c r="A44" s="5" t="s">
        <v>97</v>
      </c>
      <c r="B44" s="5" t="s">
        <v>14</v>
      </c>
      <c r="C44" s="5" t="s">
        <v>82</v>
      </c>
      <c r="D44" s="5">
        <v>124</v>
      </c>
      <c r="E44" s="5">
        <v>762</v>
      </c>
      <c r="F44" s="5">
        <v>7</v>
      </c>
      <c r="G44" s="6">
        <f t="shared" si="0"/>
        <v>5.6451612903225805E-2</v>
      </c>
      <c r="H44" s="5">
        <v>6.1</v>
      </c>
      <c r="I44" s="6">
        <f>D44/(VLOOKUP(B44,'[1]2022 Team'!$B$2:$G$33,3,FALSE))</f>
        <v>0.28837209302325584</v>
      </c>
    </row>
    <row r="45" spans="1:9" x14ac:dyDescent="0.25">
      <c r="A45" s="5" t="s">
        <v>305</v>
      </c>
      <c r="B45" s="5" t="s">
        <v>22</v>
      </c>
      <c r="C45" s="5" t="s">
        <v>159</v>
      </c>
      <c r="D45" s="5">
        <v>123</v>
      </c>
      <c r="E45" s="5">
        <v>468</v>
      </c>
      <c r="F45" s="5">
        <v>3</v>
      </c>
      <c r="G45" s="6">
        <f t="shared" si="0"/>
        <v>2.4390243902439025E-2</v>
      </c>
      <c r="H45" s="5">
        <v>3.8</v>
      </c>
      <c r="I45" s="6">
        <f>D45/(VLOOKUP(B45,'[1]2022 Team'!$B$2:$G$33,3,FALSE))</f>
        <v>0.23120300751879699</v>
      </c>
    </row>
    <row r="46" spans="1:9" x14ac:dyDescent="0.25">
      <c r="A46" s="5" t="s">
        <v>102</v>
      </c>
      <c r="B46" s="5" t="s">
        <v>54</v>
      </c>
      <c r="C46" s="5" t="s">
        <v>82</v>
      </c>
      <c r="D46" s="5">
        <v>120</v>
      </c>
      <c r="E46" s="5">
        <v>708</v>
      </c>
      <c r="F46" s="5">
        <v>7</v>
      </c>
      <c r="G46" s="6">
        <f t="shared" si="0"/>
        <v>5.8333333333333334E-2</v>
      </c>
      <c r="H46" s="5">
        <v>5.9</v>
      </c>
      <c r="I46" s="6">
        <f>D46/(VLOOKUP(B46,'[1]2022 Team'!$B$2:$G$33,3,FALSE))</f>
        <v>0.23076923076923078</v>
      </c>
    </row>
    <row r="47" spans="1:9" x14ac:dyDescent="0.25">
      <c r="A47" s="5" t="s">
        <v>395</v>
      </c>
      <c r="B47" s="5" t="s">
        <v>56</v>
      </c>
      <c r="C47" s="5" t="s">
        <v>159</v>
      </c>
      <c r="D47" s="5">
        <v>114</v>
      </c>
      <c r="E47" s="5">
        <v>402</v>
      </c>
      <c r="F47" s="5">
        <v>3</v>
      </c>
      <c r="G47" s="6">
        <f t="shared" si="0"/>
        <v>2.6315789473684209E-2</v>
      </c>
      <c r="H47" s="5">
        <v>3.5</v>
      </c>
      <c r="I47" s="6">
        <f>D47/(VLOOKUP(B47,'[1]2022 Team'!$B$2:$G$33,3,FALSE))</f>
        <v>0.2814814814814815</v>
      </c>
    </row>
    <row r="48" spans="1:9" x14ac:dyDescent="0.25">
      <c r="A48" s="5" t="s">
        <v>106</v>
      </c>
      <c r="B48" s="5" t="s">
        <v>12</v>
      </c>
      <c r="C48" s="5" t="s">
        <v>82</v>
      </c>
      <c r="D48" s="5">
        <v>112</v>
      </c>
      <c r="E48" s="5">
        <v>764</v>
      </c>
      <c r="F48" s="5">
        <v>3</v>
      </c>
      <c r="G48" s="6">
        <f t="shared" si="0"/>
        <v>2.6785714285714284E-2</v>
      </c>
      <c r="H48" s="5">
        <v>6.8</v>
      </c>
      <c r="I48" s="6">
        <f>D48/(VLOOKUP(B48,'[1]2022 Team'!$B$2:$G$33,3,FALSE))</f>
        <v>0.21292775665399238</v>
      </c>
    </row>
    <row r="49" spans="1:9" x14ac:dyDescent="0.25">
      <c r="A49" s="5" t="s">
        <v>1760</v>
      </c>
      <c r="B49" s="5" t="s">
        <v>36</v>
      </c>
      <c r="C49" s="5" t="s">
        <v>159</v>
      </c>
      <c r="D49" s="5">
        <v>81</v>
      </c>
      <c r="E49" s="5">
        <v>340</v>
      </c>
      <c r="F49" s="5">
        <v>3</v>
      </c>
      <c r="G49" s="6">
        <f t="shared" si="0"/>
        <v>3.7037037037037035E-2</v>
      </c>
      <c r="H49" s="5">
        <v>4.2</v>
      </c>
      <c r="I49" s="6">
        <f>D49/(VLOOKUP(B49,'[1]2022 Team'!$B$2:$G$33,3,FALSE))</f>
        <v>0.18080357142857142</v>
      </c>
    </row>
    <row r="50" spans="1:9" x14ac:dyDescent="0.25">
      <c r="A50" s="5" t="s">
        <v>1760</v>
      </c>
      <c r="B50" s="5" t="s">
        <v>56</v>
      </c>
      <c r="C50" s="5" t="s">
        <v>159</v>
      </c>
      <c r="D50" s="5">
        <v>29</v>
      </c>
      <c r="E50" s="5">
        <v>85</v>
      </c>
      <c r="F50" s="5">
        <v>0</v>
      </c>
      <c r="G50" s="6">
        <f t="shared" si="0"/>
        <v>0</v>
      </c>
      <c r="H50" s="5">
        <v>2.9</v>
      </c>
      <c r="I50" s="6">
        <f>D50/(VLOOKUP(B50,'[1]2022 Team'!$B$2:$G$33,3,FALSE))</f>
        <v>7.160493827160494E-2</v>
      </c>
    </row>
    <row r="51" spans="1:9" x14ac:dyDescent="0.25">
      <c r="A51" s="5" t="s">
        <v>1741</v>
      </c>
      <c r="B51" s="5" t="s">
        <v>12</v>
      </c>
      <c r="C51" s="5" t="s">
        <v>159</v>
      </c>
      <c r="D51" s="5">
        <v>109</v>
      </c>
      <c r="E51" s="5">
        <v>482</v>
      </c>
      <c r="F51" s="5">
        <v>4</v>
      </c>
      <c r="G51" s="6">
        <f t="shared" si="0"/>
        <v>3.669724770642202E-2</v>
      </c>
      <c r="H51" s="5">
        <v>4.4000000000000004</v>
      </c>
      <c r="I51" s="6">
        <f>D51/(VLOOKUP(B51,'[1]2022 Team'!$B$2:$G$33,3,FALSE))</f>
        <v>0.20722433460076045</v>
      </c>
    </row>
    <row r="52" spans="1:9" x14ac:dyDescent="0.25">
      <c r="A52" s="5" t="s">
        <v>1692</v>
      </c>
      <c r="B52" s="5" t="s">
        <v>50</v>
      </c>
      <c r="C52" s="5" t="s">
        <v>159</v>
      </c>
      <c r="D52" s="5">
        <v>106</v>
      </c>
      <c r="E52" s="5">
        <v>462</v>
      </c>
      <c r="F52" s="5">
        <v>3</v>
      </c>
      <c r="G52" s="6">
        <f t="shared" si="0"/>
        <v>2.8301886792452831E-2</v>
      </c>
      <c r="H52" s="5">
        <v>4.4000000000000004</v>
      </c>
      <c r="I52" s="6">
        <f>D52/(VLOOKUP(B52,'[1]2022 Team'!$B$2:$G$33,3,FALSE))</f>
        <v>0.24941176470588236</v>
      </c>
    </row>
    <row r="53" spans="1:9" x14ac:dyDescent="0.25">
      <c r="A53" s="5" t="s">
        <v>267</v>
      </c>
      <c r="B53" s="5" t="s">
        <v>28</v>
      </c>
      <c r="C53" s="5" t="s">
        <v>159</v>
      </c>
      <c r="D53" s="5">
        <v>99</v>
      </c>
      <c r="E53" s="5">
        <v>542</v>
      </c>
      <c r="F53" s="5">
        <v>5</v>
      </c>
      <c r="G53" s="6">
        <f t="shared" si="0"/>
        <v>5.0505050505050504E-2</v>
      </c>
      <c r="H53" s="5">
        <v>5.5</v>
      </c>
      <c r="I53" s="6">
        <f>D53/(VLOOKUP(B53,'[1]2022 Team'!$B$2:$G$33,3,FALSE))</f>
        <v>0.20624999999999999</v>
      </c>
    </row>
    <row r="54" spans="1:9" x14ac:dyDescent="0.25">
      <c r="A54" s="5" t="s">
        <v>152</v>
      </c>
      <c r="B54" s="5" t="s">
        <v>52</v>
      </c>
      <c r="C54" s="5" t="s">
        <v>1571</v>
      </c>
      <c r="D54" s="5">
        <v>96</v>
      </c>
      <c r="E54" s="5">
        <v>575</v>
      </c>
      <c r="F54" s="5">
        <v>7</v>
      </c>
      <c r="G54" s="6">
        <f t="shared" si="0"/>
        <v>7.2916666666666671E-2</v>
      </c>
      <c r="H54" s="5">
        <v>6</v>
      </c>
      <c r="I54" s="6">
        <f>D54/(VLOOKUP(B54,'[1]2022 Team'!$B$2:$G$33,3,FALSE))</f>
        <v>0.20645161290322581</v>
      </c>
    </row>
    <row r="55" spans="1:9" x14ac:dyDescent="0.25">
      <c r="A55" s="5" t="s">
        <v>320</v>
      </c>
      <c r="B55" s="5" t="s">
        <v>16</v>
      </c>
      <c r="C55" s="5" t="s">
        <v>159</v>
      </c>
      <c r="D55" s="5">
        <v>95</v>
      </c>
      <c r="E55" s="5">
        <v>466</v>
      </c>
      <c r="F55" s="5">
        <v>2</v>
      </c>
      <c r="G55" s="6">
        <f t="shared" si="0"/>
        <v>2.1052631578947368E-2</v>
      </c>
      <c r="H55" s="5">
        <v>4.9000000000000004</v>
      </c>
      <c r="I55" s="6">
        <f>D55/(VLOOKUP(B55,'[1]2022 Team'!$B$2:$G$33,3,FALSE))</f>
        <v>0.19668737060041408</v>
      </c>
    </row>
    <row r="56" spans="1:9" x14ac:dyDescent="0.25">
      <c r="A56" s="5" t="s">
        <v>404</v>
      </c>
      <c r="B56" s="5" t="s">
        <v>20</v>
      </c>
      <c r="C56" s="5" t="s">
        <v>159</v>
      </c>
      <c r="D56" s="5">
        <v>95</v>
      </c>
      <c r="E56" s="5">
        <v>394</v>
      </c>
      <c r="F56" s="5">
        <v>2</v>
      </c>
      <c r="G56" s="6">
        <f t="shared" si="0"/>
        <v>2.1052631578947368E-2</v>
      </c>
      <c r="H56" s="5">
        <v>4.0999999999999996</v>
      </c>
      <c r="I56" s="6">
        <f>D56/(VLOOKUP(B56,'[1]2022 Team'!$B$2:$G$33,3,FALSE))</f>
        <v>0.23809523809523808</v>
      </c>
    </row>
    <row r="57" spans="1:9" x14ac:dyDescent="0.25">
      <c r="A57" s="5" t="s">
        <v>1629</v>
      </c>
      <c r="B57" s="5" t="s">
        <v>14</v>
      </c>
      <c r="C57" s="5" t="s">
        <v>159</v>
      </c>
      <c r="D57" s="5">
        <v>17</v>
      </c>
      <c r="E57" s="5">
        <v>91</v>
      </c>
      <c r="F57" s="5">
        <v>0</v>
      </c>
      <c r="G57" s="6">
        <f t="shared" si="0"/>
        <v>0</v>
      </c>
      <c r="H57" s="5">
        <v>5.4</v>
      </c>
      <c r="I57" s="6">
        <f>D57/(VLOOKUP(B57,'[1]2022 Team'!$B$2:$G$33,3,FALSE))</f>
        <v>3.9534883720930232E-2</v>
      </c>
    </row>
    <row r="58" spans="1:9" x14ac:dyDescent="0.25">
      <c r="A58" s="5" t="s">
        <v>1629</v>
      </c>
      <c r="B58" s="5" t="s">
        <v>34</v>
      </c>
      <c r="C58" s="5" t="s">
        <v>159</v>
      </c>
      <c r="D58" s="5">
        <v>76</v>
      </c>
      <c r="E58" s="5">
        <v>365</v>
      </c>
      <c r="F58" s="5">
        <v>1</v>
      </c>
      <c r="G58" s="6">
        <f t="shared" si="0"/>
        <v>1.3157894736842105E-2</v>
      </c>
      <c r="H58" s="5">
        <v>4.8</v>
      </c>
      <c r="I58" s="6">
        <f>D58/(VLOOKUP(B58,'[1]2022 Team'!$B$2:$G$33,3,FALSE))</f>
        <v>0.17312072892938496</v>
      </c>
    </row>
    <row r="59" spans="1:9" x14ac:dyDescent="0.25">
      <c r="A59" s="5" t="s">
        <v>330</v>
      </c>
      <c r="B59" s="5" t="s">
        <v>12</v>
      </c>
      <c r="C59" s="5" t="s">
        <v>159</v>
      </c>
      <c r="D59" s="5">
        <v>92</v>
      </c>
      <c r="E59" s="5">
        <v>520</v>
      </c>
      <c r="F59" s="5">
        <v>2</v>
      </c>
      <c r="G59" s="6">
        <f t="shared" si="0"/>
        <v>2.1739130434782608E-2</v>
      </c>
      <c r="H59" s="5">
        <v>5.7</v>
      </c>
      <c r="I59" s="6">
        <f>D59/(VLOOKUP(B59,'[1]2022 Team'!$B$2:$G$33,3,FALSE))</f>
        <v>0.17490494296577946</v>
      </c>
    </row>
    <row r="60" spans="1:9" x14ac:dyDescent="0.25">
      <c r="A60" s="5" t="s">
        <v>1688</v>
      </c>
      <c r="B60" s="5" t="s">
        <v>26</v>
      </c>
      <c r="C60" s="5" t="s">
        <v>159</v>
      </c>
      <c r="D60" s="5">
        <v>90</v>
      </c>
      <c r="E60" s="5">
        <v>318</v>
      </c>
      <c r="F60" s="5">
        <v>2</v>
      </c>
      <c r="G60" s="6">
        <f t="shared" si="0"/>
        <v>2.2222222222222223E-2</v>
      </c>
      <c r="H60" s="5">
        <v>3.5</v>
      </c>
      <c r="I60" s="6">
        <f>D60/(VLOOKUP(B60,'[1]2022 Team'!$B$2:$G$33,3,FALSE))</f>
        <v>0.20270270270270271</v>
      </c>
    </row>
    <row r="61" spans="1:9" x14ac:dyDescent="0.25">
      <c r="A61" s="5" t="s">
        <v>195</v>
      </c>
      <c r="B61" s="5" t="s">
        <v>14</v>
      </c>
      <c r="C61" s="5" t="s">
        <v>159</v>
      </c>
      <c r="D61" s="5">
        <v>89</v>
      </c>
      <c r="E61" s="5">
        <v>507</v>
      </c>
      <c r="F61" s="5">
        <v>2</v>
      </c>
      <c r="G61" s="6">
        <f t="shared" ref="G61:G121" si="1">F61/D61</f>
        <v>2.247191011235955E-2</v>
      </c>
      <c r="H61" s="5">
        <v>5.7</v>
      </c>
      <c r="I61" s="6">
        <f>D61/(VLOOKUP(B61,'[1]2022 Team'!$B$2:$G$33,3,FALSE))</f>
        <v>0.2069767441860465</v>
      </c>
    </row>
    <row r="62" spans="1:9" x14ac:dyDescent="0.25">
      <c r="A62" s="5" t="s">
        <v>1624</v>
      </c>
      <c r="B62" s="5" t="s">
        <v>12</v>
      </c>
      <c r="C62" s="5" t="s">
        <v>159</v>
      </c>
      <c r="D62" s="5">
        <v>87</v>
      </c>
      <c r="E62" s="5">
        <v>433</v>
      </c>
      <c r="F62" s="5">
        <v>3</v>
      </c>
      <c r="G62" s="6">
        <f t="shared" si="1"/>
        <v>3.4482758620689655E-2</v>
      </c>
      <c r="H62" s="5">
        <v>5</v>
      </c>
      <c r="I62" s="6">
        <f>D62/(VLOOKUP(B62,'[1]2022 Team'!$B$2:$G$33,3,FALSE))</f>
        <v>0.16539923954372623</v>
      </c>
    </row>
    <row r="63" spans="1:9" x14ac:dyDescent="0.25">
      <c r="A63" s="5" t="s">
        <v>407</v>
      </c>
      <c r="B63" s="5" t="s">
        <v>56</v>
      </c>
      <c r="C63" s="5" t="s">
        <v>159</v>
      </c>
      <c r="D63" s="5">
        <v>85</v>
      </c>
      <c r="E63" s="5">
        <v>300</v>
      </c>
      <c r="F63" s="5">
        <v>1</v>
      </c>
      <c r="G63" s="6">
        <f t="shared" si="1"/>
        <v>1.1764705882352941E-2</v>
      </c>
      <c r="H63" s="5">
        <v>3.5</v>
      </c>
      <c r="I63" s="6">
        <f>D63/(VLOOKUP(B63,'[1]2022 Team'!$B$2:$G$33,3,FALSE))</f>
        <v>0.20987654320987653</v>
      </c>
    </row>
    <row r="64" spans="1:9" x14ac:dyDescent="0.25">
      <c r="A64" s="5" t="s">
        <v>115</v>
      </c>
      <c r="B64" s="5" t="s">
        <v>10</v>
      </c>
      <c r="C64" s="5" t="s">
        <v>82</v>
      </c>
      <c r="D64" s="5">
        <v>85</v>
      </c>
      <c r="E64" s="5">
        <v>438</v>
      </c>
      <c r="F64" s="5">
        <v>4</v>
      </c>
      <c r="G64" s="6">
        <f t="shared" si="1"/>
        <v>4.7058823529411764E-2</v>
      </c>
      <c r="H64" s="5">
        <v>5.2</v>
      </c>
      <c r="I64" s="6">
        <f>D64/(VLOOKUP(B64,'[1]2022 Team'!$B$2:$G$33,3,FALSE))</f>
        <v>0.15205724508050089</v>
      </c>
    </row>
    <row r="65" spans="1:9" x14ac:dyDescent="0.25">
      <c r="A65" s="5" t="s">
        <v>178</v>
      </c>
      <c r="B65" s="5" t="s">
        <v>56</v>
      </c>
      <c r="C65" s="5" t="s">
        <v>159</v>
      </c>
      <c r="D65" s="5">
        <v>80</v>
      </c>
      <c r="E65" s="5">
        <v>463</v>
      </c>
      <c r="F65" s="5">
        <v>4</v>
      </c>
      <c r="G65" s="6">
        <f t="shared" si="1"/>
        <v>0.05</v>
      </c>
      <c r="H65" s="5">
        <v>5.8</v>
      </c>
      <c r="I65" s="6">
        <f>D65/(VLOOKUP(B65,'[1]2022 Team'!$B$2:$G$33,3,FALSE))</f>
        <v>0.19753086419753085</v>
      </c>
    </row>
    <row r="66" spans="1:9" x14ac:dyDescent="0.25">
      <c r="A66" s="5" t="s">
        <v>271</v>
      </c>
      <c r="B66" s="5" t="s">
        <v>60</v>
      </c>
      <c r="C66" s="5" t="s">
        <v>159</v>
      </c>
      <c r="D66" s="5">
        <v>77</v>
      </c>
      <c r="E66" s="5">
        <v>379</v>
      </c>
      <c r="F66" s="5">
        <v>1</v>
      </c>
      <c r="G66" s="6">
        <f t="shared" si="1"/>
        <v>1.2987012987012988E-2</v>
      </c>
      <c r="H66" s="5">
        <v>4.9000000000000004</v>
      </c>
      <c r="I66" s="6">
        <f>D66/(VLOOKUP(B66,'[1]2022 Team'!$B$2:$G$33,3,FALSE))</f>
        <v>0.154</v>
      </c>
    </row>
    <row r="67" spans="1:9" x14ac:dyDescent="0.25">
      <c r="A67" s="5" t="s">
        <v>2407</v>
      </c>
      <c r="B67" s="5" t="s">
        <v>8</v>
      </c>
      <c r="C67" s="5" t="s">
        <v>159</v>
      </c>
      <c r="D67" s="5">
        <v>70</v>
      </c>
      <c r="E67" s="5">
        <v>299</v>
      </c>
      <c r="F67" s="5">
        <v>2</v>
      </c>
      <c r="G67" s="6">
        <f t="shared" si="1"/>
        <v>2.8571428571428571E-2</v>
      </c>
      <c r="H67" s="5">
        <v>4.3</v>
      </c>
      <c r="I67" s="6">
        <f>D67/(VLOOKUP(B67,'[1]2022 Team'!$B$2:$G$33,3,FALSE))</f>
        <v>0.16129032258064516</v>
      </c>
    </row>
    <row r="68" spans="1:9" x14ac:dyDescent="0.25">
      <c r="A68" s="5" t="s">
        <v>2407</v>
      </c>
      <c r="B68" s="5" t="s">
        <v>32</v>
      </c>
      <c r="C68" s="5" t="s">
        <v>159</v>
      </c>
      <c r="D68" s="5">
        <v>3</v>
      </c>
      <c r="E68" s="5">
        <v>1</v>
      </c>
      <c r="F68" s="5">
        <v>0</v>
      </c>
      <c r="G68" s="6">
        <f t="shared" si="1"/>
        <v>0</v>
      </c>
      <c r="H68" s="5">
        <v>0.3</v>
      </c>
      <c r="I68" s="6">
        <f>D68/(VLOOKUP(B68,'[1]2022 Team'!$B$2:$G$33,3,FALSE))</f>
        <v>7.537688442211055E-3</v>
      </c>
    </row>
    <row r="69" spans="1:9" x14ac:dyDescent="0.25">
      <c r="A69" s="5" t="s">
        <v>2407</v>
      </c>
      <c r="B69" s="5" t="s">
        <v>52</v>
      </c>
      <c r="C69" s="5" t="s">
        <v>159</v>
      </c>
      <c r="D69" s="5">
        <v>4</v>
      </c>
      <c r="E69" s="5">
        <v>13</v>
      </c>
      <c r="F69" s="5">
        <v>0</v>
      </c>
      <c r="G69" s="6">
        <f t="shared" si="1"/>
        <v>0</v>
      </c>
      <c r="H69" s="5">
        <v>3.3</v>
      </c>
      <c r="I69" s="6">
        <f>D69/(VLOOKUP(B69,'[1]2022 Team'!$B$2:$G$33,3,FALSE))</f>
        <v>8.6021505376344086E-3</v>
      </c>
    </row>
    <row r="70" spans="1:9" x14ac:dyDescent="0.25">
      <c r="A70" s="5" t="s">
        <v>2408</v>
      </c>
      <c r="B70" s="5" t="s">
        <v>10</v>
      </c>
      <c r="C70" s="5" t="s">
        <v>159</v>
      </c>
      <c r="D70" s="5">
        <v>76</v>
      </c>
      <c r="E70" s="5">
        <v>366</v>
      </c>
      <c r="F70" s="5">
        <v>1</v>
      </c>
      <c r="G70" s="6">
        <f t="shared" si="1"/>
        <v>1.3157894736842105E-2</v>
      </c>
      <c r="H70" s="5">
        <v>4.8</v>
      </c>
      <c r="I70" s="6">
        <f>D70/(VLOOKUP(B70,'[1]2022 Team'!$B$2:$G$33,3,FALSE))</f>
        <v>0.13595706618962433</v>
      </c>
    </row>
    <row r="71" spans="1:9" x14ac:dyDescent="0.25">
      <c r="A71" s="5" t="s">
        <v>111</v>
      </c>
      <c r="B71" s="5" t="s">
        <v>20</v>
      </c>
      <c r="C71" s="5" t="s">
        <v>82</v>
      </c>
      <c r="D71" s="5">
        <v>75</v>
      </c>
      <c r="E71" s="5">
        <v>257</v>
      </c>
      <c r="F71" s="5">
        <v>5</v>
      </c>
      <c r="G71" s="6">
        <f t="shared" si="1"/>
        <v>6.6666666666666666E-2</v>
      </c>
      <c r="H71" s="5">
        <v>3.4</v>
      </c>
      <c r="I71" s="6">
        <f>D71/(VLOOKUP(B71,'[1]2022 Team'!$B$2:$G$33,3,FALSE))</f>
        <v>0.18796992481203006</v>
      </c>
    </row>
    <row r="72" spans="1:9" x14ac:dyDescent="0.25">
      <c r="A72" s="5" t="s">
        <v>1634</v>
      </c>
      <c r="B72" s="5" t="s">
        <v>48</v>
      </c>
      <c r="C72" s="5" t="s">
        <v>159</v>
      </c>
      <c r="D72" s="5">
        <v>74</v>
      </c>
      <c r="E72" s="5">
        <v>283</v>
      </c>
      <c r="F72" s="5">
        <v>5</v>
      </c>
      <c r="G72" s="6">
        <f t="shared" si="1"/>
        <v>6.7567567567567571E-2</v>
      </c>
      <c r="H72" s="5">
        <v>3.8</v>
      </c>
      <c r="I72" s="6">
        <f>D72/(VLOOKUP(B72,'[1]2022 Team'!$B$2:$G$33,3,FALSE))</f>
        <v>0.18316831683168316</v>
      </c>
    </row>
    <row r="73" spans="1:9" x14ac:dyDescent="0.25">
      <c r="A73" s="5" t="s">
        <v>1581</v>
      </c>
      <c r="B73" s="5" t="s">
        <v>38</v>
      </c>
      <c r="C73" s="5" t="s">
        <v>159</v>
      </c>
      <c r="D73" s="5">
        <v>72</v>
      </c>
      <c r="E73" s="5">
        <v>291</v>
      </c>
      <c r="F73" s="5">
        <v>1</v>
      </c>
      <c r="G73" s="6">
        <f t="shared" si="1"/>
        <v>1.3888888888888888E-2</v>
      </c>
      <c r="H73" s="5">
        <v>4</v>
      </c>
      <c r="I73" s="6">
        <f>D73/(VLOOKUP(B73,'[1]2022 Team'!$B$2:$G$33,3,FALSE))</f>
        <v>0.17266187050359713</v>
      </c>
    </row>
    <row r="74" spans="1:9" x14ac:dyDescent="0.25">
      <c r="A74" s="5" t="s">
        <v>635</v>
      </c>
      <c r="B74" s="5" t="s">
        <v>38</v>
      </c>
      <c r="C74" s="5" t="s">
        <v>159</v>
      </c>
      <c r="D74" s="5">
        <v>71</v>
      </c>
      <c r="E74" s="5">
        <v>302</v>
      </c>
      <c r="F74" s="5">
        <v>3</v>
      </c>
      <c r="G74" s="6">
        <f t="shared" si="1"/>
        <v>4.2253521126760563E-2</v>
      </c>
      <c r="H74" s="5">
        <v>4.3</v>
      </c>
      <c r="I74" s="6">
        <f>D74/(VLOOKUP(B74,'[1]2022 Team'!$B$2:$G$33,3,FALSE))</f>
        <v>0.17026378896882494</v>
      </c>
    </row>
    <row r="75" spans="1:9" x14ac:dyDescent="0.25">
      <c r="A75" s="5" t="s">
        <v>1676</v>
      </c>
      <c r="B75" s="5" t="s">
        <v>44</v>
      </c>
      <c r="C75" s="5" t="s">
        <v>159</v>
      </c>
      <c r="D75" s="5">
        <v>70</v>
      </c>
      <c r="E75" s="5">
        <v>283</v>
      </c>
      <c r="F75" s="5">
        <v>3</v>
      </c>
      <c r="G75" s="6">
        <f t="shared" si="1"/>
        <v>4.2857142857142858E-2</v>
      </c>
      <c r="H75" s="5">
        <v>4</v>
      </c>
      <c r="I75" s="6">
        <f>D75/(VLOOKUP(B75,'[1]2022 Team'!$B$2:$G$33,3,FALSE))</f>
        <v>0.170316301703163</v>
      </c>
    </row>
    <row r="76" spans="1:9" x14ac:dyDescent="0.25">
      <c r="A76" s="5" t="s">
        <v>1653</v>
      </c>
      <c r="B76" s="5" t="s">
        <v>42</v>
      </c>
      <c r="C76" s="5" t="s">
        <v>159</v>
      </c>
      <c r="D76" s="5">
        <v>69</v>
      </c>
      <c r="E76" s="5">
        <v>287</v>
      </c>
      <c r="F76" s="5">
        <v>2</v>
      </c>
      <c r="G76" s="6">
        <f t="shared" si="1"/>
        <v>2.8985507246376812E-2</v>
      </c>
      <c r="H76" s="5">
        <v>4.2</v>
      </c>
      <c r="I76" s="6">
        <f>D76/(VLOOKUP(B76,'[1]2022 Team'!$B$2:$G$33,3,FALSE))</f>
        <v>0.1707920792079208</v>
      </c>
    </row>
    <row r="77" spans="1:9" x14ac:dyDescent="0.25">
      <c r="A77" s="5" t="s">
        <v>1702</v>
      </c>
      <c r="B77" s="5" t="s">
        <v>34</v>
      </c>
      <c r="C77" s="5" t="s">
        <v>159</v>
      </c>
      <c r="D77" s="5">
        <v>68</v>
      </c>
      <c r="E77" s="5">
        <v>236</v>
      </c>
      <c r="F77" s="5">
        <v>1</v>
      </c>
      <c r="G77" s="6">
        <f t="shared" si="1"/>
        <v>1.4705882352941176E-2</v>
      </c>
      <c r="H77" s="5">
        <v>3.5</v>
      </c>
      <c r="I77" s="6">
        <f>D77/(VLOOKUP(B77,'[1]2022 Team'!$B$2:$G$33,3,FALSE))</f>
        <v>0.15489749430523919</v>
      </c>
    </row>
    <row r="78" spans="1:9" x14ac:dyDescent="0.25">
      <c r="A78" s="5" t="s">
        <v>99</v>
      </c>
      <c r="B78" s="5" t="s">
        <v>64</v>
      </c>
      <c r="C78" s="5" t="s">
        <v>82</v>
      </c>
      <c r="D78" s="5">
        <v>68</v>
      </c>
      <c r="E78" s="5">
        <v>366</v>
      </c>
      <c r="F78" s="5">
        <v>1</v>
      </c>
      <c r="G78" s="6">
        <f t="shared" si="1"/>
        <v>1.4705882352941176E-2</v>
      </c>
      <c r="H78" s="5">
        <v>5.4</v>
      </c>
      <c r="I78" s="6">
        <f>D78/(VLOOKUP(B78,'[1]2022 Team'!$B$2:$G$33,3,FALSE))</f>
        <v>0.16</v>
      </c>
    </row>
    <row r="79" spans="1:9" x14ac:dyDescent="0.25">
      <c r="A79" s="5" t="s">
        <v>1675</v>
      </c>
      <c r="B79" s="5" t="s">
        <v>46</v>
      </c>
      <c r="C79" s="5" t="s">
        <v>159</v>
      </c>
      <c r="D79" s="5">
        <v>42</v>
      </c>
      <c r="E79" s="5">
        <v>120</v>
      </c>
      <c r="F79" s="5">
        <v>2</v>
      </c>
      <c r="G79" s="6">
        <f t="shared" si="1"/>
        <v>4.7619047619047616E-2</v>
      </c>
      <c r="H79" s="5">
        <v>2.9</v>
      </c>
      <c r="I79" s="6">
        <f>D79/(VLOOKUP(B79,'[1]2022 Team'!$B$2:$G$33,3,FALSE))</f>
        <v>0.1076923076923077</v>
      </c>
    </row>
    <row r="80" spans="1:9" x14ac:dyDescent="0.25">
      <c r="A80" s="5" t="s">
        <v>1675</v>
      </c>
      <c r="B80" s="5" t="s">
        <v>26</v>
      </c>
      <c r="C80" s="5" t="s">
        <v>159</v>
      </c>
      <c r="D80" s="5">
        <v>26</v>
      </c>
      <c r="E80" s="5">
        <v>125</v>
      </c>
      <c r="F80" s="5">
        <v>0</v>
      </c>
      <c r="G80" s="6">
        <f t="shared" si="1"/>
        <v>0</v>
      </c>
      <c r="H80" s="5">
        <v>4.8</v>
      </c>
      <c r="I80" s="6">
        <f>D80/(VLOOKUP(B80,'[1]2022 Team'!$B$2:$G$33,3,FALSE))</f>
        <v>5.8558558558558557E-2</v>
      </c>
    </row>
    <row r="81" spans="1:9" x14ac:dyDescent="0.25">
      <c r="A81" s="5" t="s">
        <v>121</v>
      </c>
      <c r="B81" s="5" t="s">
        <v>8</v>
      </c>
      <c r="C81" s="5" t="s">
        <v>82</v>
      </c>
      <c r="D81" s="5">
        <v>67</v>
      </c>
      <c r="E81" s="5">
        <v>418</v>
      </c>
      <c r="F81" s="5">
        <v>3</v>
      </c>
      <c r="G81" s="6">
        <f t="shared" si="1"/>
        <v>4.4776119402985072E-2</v>
      </c>
      <c r="H81" s="5">
        <v>6.2</v>
      </c>
      <c r="I81" s="6">
        <f>D81/(VLOOKUP(B81,'[1]2022 Team'!$B$2:$G$33,3,FALSE))</f>
        <v>0.15437788018433179</v>
      </c>
    </row>
    <row r="82" spans="1:9" x14ac:dyDescent="0.25">
      <c r="A82" s="5" t="s">
        <v>2409</v>
      </c>
      <c r="B82" s="5" t="s">
        <v>52</v>
      </c>
      <c r="C82" s="5" t="s">
        <v>159</v>
      </c>
      <c r="D82" s="5">
        <v>62</v>
      </c>
      <c r="E82" s="5">
        <v>233</v>
      </c>
      <c r="F82" s="5">
        <v>1</v>
      </c>
      <c r="G82" s="6">
        <f t="shared" si="1"/>
        <v>1.6129032258064516E-2</v>
      </c>
      <c r="H82" s="5">
        <v>3.8</v>
      </c>
      <c r="I82" s="6">
        <f>D82/(VLOOKUP(B82,'[1]2022 Team'!$B$2:$G$33,3,FALSE))</f>
        <v>0.13333333333333333</v>
      </c>
    </row>
    <row r="83" spans="1:9" x14ac:dyDescent="0.25">
      <c r="A83" s="5" t="s">
        <v>87</v>
      </c>
      <c r="B83" s="5" t="s">
        <v>36</v>
      </c>
      <c r="C83" s="5" t="s">
        <v>82</v>
      </c>
      <c r="D83" s="5">
        <v>62</v>
      </c>
      <c r="E83" s="5">
        <v>291</v>
      </c>
      <c r="F83" s="5">
        <v>5</v>
      </c>
      <c r="G83" s="6">
        <f t="shared" si="1"/>
        <v>8.0645161290322578E-2</v>
      </c>
      <c r="H83" s="5">
        <v>4.7</v>
      </c>
      <c r="I83" s="6">
        <f>D83/(VLOOKUP(B83,'[1]2022 Team'!$B$2:$G$33,3,FALSE))</f>
        <v>0.13839285714285715</v>
      </c>
    </row>
    <row r="84" spans="1:9" x14ac:dyDescent="0.25">
      <c r="A84" s="5" t="s">
        <v>91</v>
      </c>
      <c r="B84" s="5" t="s">
        <v>38</v>
      </c>
      <c r="C84" s="5" t="s">
        <v>82</v>
      </c>
      <c r="D84" s="5">
        <v>61</v>
      </c>
      <c r="E84" s="5">
        <v>358</v>
      </c>
      <c r="F84" s="5">
        <v>4</v>
      </c>
      <c r="G84" s="6">
        <f t="shared" si="1"/>
        <v>6.5573770491803282E-2</v>
      </c>
      <c r="H84" s="5">
        <v>5.9</v>
      </c>
      <c r="I84" s="6">
        <f>D84/(VLOOKUP(B84,'[1]2022 Team'!$B$2:$G$33,3,FALSE))</f>
        <v>0.14628297362110312</v>
      </c>
    </row>
    <row r="85" spans="1:9" x14ac:dyDescent="0.25">
      <c r="A85" s="5" t="s">
        <v>1706</v>
      </c>
      <c r="B85" s="5" t="s">
        <v>64</v>
      </c>
      <c r="C85" s="5" t="s">
        <v>159</v>
      </c>
      <c r="D85" s="5">
        <v>57</v>
      </c>
      <c r="E85" s="5">
        <v>346</v>
      </c>
      <c r="F85" s="5">
        <v>2</v>
      </c>
      <c r="G85" s="6">
        <f t="shared" si="1"/>
        <v>3.5087719298245612E-2</v>
      </c>
      <c r="H85" s="5">
        <v>6.1</v>
      </c>
      <c r="I85" s="6">
        <f>D85/(VLOOKUP(B85,'[1]2022 Team'!$B$2:$G$33,3,FALSE))</f>
        <v>0.13411764705882354</v>
      </c>
    </row>
    <row r="86" spans="1:9" x14ac:dyDescent="0.25">
      <c r="A86" s="5" t="s">
        <v>138</v>
      </c>
      <c r="B86" s="5" t="s">
        <v>60</v>
      </c>
      <c r="C86" s="5" t="s">
        <v>82</v>
      </c>
      <c r="D86" s="5">
        <v>55</v>
      </c>
      <c r="E86" s="5">
        <v>237</v>
      </c>
      <c r="F86" s="5">
        <v>3</v>
      </c>
      <c r="G86" s="6">
        <f t="shared" si="1"/>
        <v>5.4545454545454543E-2</v>
      </c>
      <c r="H86" s="5">
        <v>4.3</v>
      </c>
      <c r="I86" s="6">
        <f>D86/(VLOOKUP(B86,'[1]2022 Team'!$B$2:$G$33,3,FALSE))</f>
        <v>0.11</v>
      </c>
    </row>
    <row r="87" spans="1:9" x14ac:dyDescent="0.25">
      <c r="A87" s="5" t="s">
        <v>126</v>
      </c>
      <c r="B87" s="5" t="s">
        <v>26</v>
      </c>
      <c r="C87" s="5" t="s">
        <v>82</v>
      </c>
      <c r="D87" s="5">
        <v>55</v>
      </c>
      <c r="E87" s="5">
        <v>277</v>
      </c>
      <c r="F87" s="5">
        <v>3</v>
      </c>
      <c r="G87" s="6">
        <f t="shared" si="1"/>
        <v>5.4545454545454543E-2</v>
      </c>
      <c r="H87" s="5">
        <v>5</v>
      </c>
      <c r="I87" s="6">
        <f>D87/(VLOOKUP(B87,'[1]2022 Team'!$B$2:$G$33,3,FALSE))</f>
        <v>0.12387387387387387</v>
      </c>
    </row>
    <row r="88" spans="1:9" x14ac:dyDescent="0.25">
      <c r="A88" s="5" t="s">
        <v>1673</v>
      </c>
      <c r="B88" s="5" t="s">
        <v>54</v>
      </c>
      <c r="C88" s="5" t="s">
        <v>159</v>
      </c>
      <c r="D88" s="5">
        <v>54</v>
      </c>
      <c r="E88" s="5">
        <v>220</v>
      </c>
      <c r="F88" s="5">
        <v>1</v>
      </c>
      <c r="G88" s="6">
        <f t="shared" si="1"/>
        <v>1.8518518518518517E-2</v>
      </c>
      <c r="H88" s="5">
        <v>4.0999999999999996</v>
      </c>
      <c r="I88" s="6">
        <f>D88/(VLOOKUP(B88,'[1]2022 Team'!$B$2:$G$33,3,FALSE))</f>
        <v>0.10384615384615385</v>
      </c>
    </row>
    <row r="89" spans="1:9" x14ac:dyDescent="0.25">
      <c r="A89" s="5" t="s">
        <v>90</v>
      </c>
      <c r="B89" s="5" t="s">
        <v>42</v>
      </c>
      <c r="C89" s="5" t="s">
        <v>82</v>
      </c>
      <c r="D89" s="5">
        <v>54</v>
      </c>
      <c r="E89" s="5">
        <v>147</v>
      </c>
      <c r="F89" s="5">
        <v>0</v>
      </c>
      <c r="G89" s="6">
        <f t="shared" si="1"/>
        <v>0</v>
      </c>
      <c r="H89" s="5">
        <v>2.7</v>
      </c>
      <c r="I89" s="6">
        <f>D89/(VLOOKUP(B89,'[1]2022 Team'!$B$2:$G$33,3,FALSE))</f>
        <v>0.13366336633663367</v>
      </c>
    </row>
    <row r="90" spans="1:9" x14ac:dyDescent="0.25">
      <c r="A90" s="5" t="s">
        <v>1697</v>
      </c>
      <c r="B90" s="5" t="s">
        <v>58</v>
      </c>
      <c r="C90" s="5" t="s">
        <v>159</v>
      </c>
      <c r="D90" s="5">
        <v>54</v>
      </c>
      <c r="E90" s="5">
        <v>217</v>
      </c>
      <c r="F90" s="5">
        <v>3</v>
      </c>
      <c r="G90" s="6">
        <f t="shared" si="1"/>
        <v>5.5555555555555552E-2</v>
      </c>
      <c r="H90" s="5">
        <v>4</v>
      </c>
      <c r="I90" s="6">
        <f>D90/(VLOOKUP(B90,'[1]2022 Team'!$B$2:$G$33,3,FALSE))</f>
        <v>9.9264705882352935E-2</v>
      </c>
    </row>
    <row r="91" spans="1:9" x14ac:dyDescent="0.25">
      <c r="A91" s="5" t="s">
        <v>359</v>
      </c>
      <c r="B91" s="5" t="s">
        <v>58</v>
      </c>
      <c r="C91" s="5" t="s">
        <v>159</v>
      </c>
      <c r="D91" s="5">
        <v>53</v>
      </c>
      <c r="E91" s="5">
        <v>240</v>
      </c>
      <c r="F91" s="5">
        <v>4</v>
      </c>
      <c r="G91" s="6">
        <f t="shared" si="1"/>
        <v>7.5471698113207544E-2</v>
      </c>
      <c r="H91" s="5">
        <v>4.5</v>
      </c>
      <c r="I91" s="6">
        <f>D91/(VLOOKUP(B91,'[1]2022 Team'!$B$2:$G$33,3,FALSE))</f>
        <v>9.7426470588235295E-2</v>
      </c>
    </row>
    <row r="92" spans="1:9" x14ac:dyDescent="0.25">
      <c r="A92" s="5" t="s">
        <v>94</v>
      </c>
      <c r="B92" s="5" t="s">
        <v>22</v>
      </c>
      <c r="C92" s="5" t="s">
        <v>82</v>
      </c>
      <c r="D92" s="5">
        <v>49</v>
      </c>
      <c r="E92" s="5">
        <v>243</v>
      </c>
      <c r="F92" s="5">
        <v>2</v>
      </c>
      <c r="G92" s="6">
        <f t="shared" si="1"/>
        <v>4.0816326530612242E-2</v>
      </c>
      <c r="H92" s="5">
        <v>5</v>
      </c>
      <c r="I92" s="6">
        <f>D92/(VLOOKUP(B92,'[1]2022 Team'!$B$2:$G$33,3,FALSE))</f>
        <v>9.2105263157894732E-2</v>
      </c>
    </row>
    <row r="93" spans="1:9" x14ac:dyDescent="0.25">
      <c r="A93" s="5" t="s">
        <v>522</v>
      </c>
      <c r="B93" s="5" t="s">
        <v>12</v>
      </c>
      <c r="C93" s="5" t="s">
        <v>159</v>
      </c>
      <c r="D93" s="5">
        <v>49</v>
      </c>
      <c r="E93" s="5">
        <v>262</v>
      </c>
      <c r="F93" s="5">
        <v>0</v>
      </c>
      <c r="G93" s="6">
        <f t="shared" si="1"/>
        <v>0</v>
      </c>
      <c r="H93" s="5">
        <v>5.3</v>
      </c>
      <c r="I93" s="6">
        <f>D93/(VLOOKUP(B93,'[1]2022 Team'!$B$2:$G$33,3,FALSE))</f>
        <v>9.3155893536121678E-2</v>
      </c>
    </row>
    <row r="94" spans="1:9" x14ac:dyDescent="0.25">
      <c r="A94" s="5" t="s">
        <v>107</v>
      </c>
      <c r="B94" s="5" t="s">
        <v>50</v>
      </c>
      <c r="C94" s="5" t="s">
        <v>82</v>
      </c>
      <c r="D94" s="5">
        <v>47</v>
      </c>
      <c r="E94" s="5">
        <v>102</v>
      </c>
      <c r="F94" s="5">
        <v>1</v>
      </c>
      <c r="G94" s="6">
        <f t="shared" si="1"/>
        <v>2.1276595744680851E-2</v>
      </c>
      <c r="H94" s="5">
        <v>2.2000000000000002</v>
      </c>
      <c r="I94" s="6">
        <f>D94/(VLOOKUP(B94,'[1]2022 Team'!$B$2:$G$33,3,FALSE))</f>
        <v>0.11058823529411765</v>
      </c>
    </row>
    <row r="95" spans="1:9" x14ac:dyDescent="0.25">
      <c r="A95" s="5" t="s">
        <v>263</v>
      </c>
      <c r="B95" s="5" t="s">
        <v>26</v>
      </c>
      <c r="C95" s="5" t="s">
        <v>159</v>
      </c>
      <c r="D95" s="5">
        <v>47</v>
      </c>
      <c r="E95" s="5">
        <v>204</v>
      </c>
      <c r="F95" s="5">
        <v>0</v>
      </c>
      <c r="G95" s="6">
        <f t="shared" si="1"/>
        <v>0</v>
      </c>
      <c r="H95" s="5">
        <v>4.3</v>
      </c>
      <c r="I95" s="6">
        <f>D95/(VLOOKUP(B95,'[1]2022 Team'!$B$2:$G$33,3,FALSE))</f>
        <v>0.10585585585585586</v>
      </c>
    </row>
    <row r="96" spans="1:9" x14ac:dyDescent="0.25">
      <c r="A96" s="5" t="s">
        <v>1803</v>
      </c>
      <c r="B96" s="5" t="s">
        <v>36</v>
      </c>
      <c r="C96" s="5" t="s">
        <v>159</v>
      </c>
      <c r="D96" s="5">
        <v>46</v>
      </c>
      <c r="E96" s="5">
        <v>194</v>
      </c>
      <c r="F96" s="5">
        <v>2</v>
      </c>
      <c r="G96" s="6">
        <f t="shared" si="1"/>
        <v>4.3478260869565216E-2</v>
      </c>
      <c r="H96" s="5">
        <v>4.2</v>
      </c>
      <c r="I96" s="6">
        <f>D96/(VLOOKUP(B96,'[1]2022 Team'!$B$2:$G$33,3,FALSE))</f>
        <v>0.10267857142857142</v>
      </c>
    </row>
    <row r="97" spans="1:9" x14ac:dyDescent="0.25">
      <c r="A97" s="5" t="s">
        <v>910</v>
      </c>
      <c r="B97" s="5" t="s">
        <v>62</v>
      </c>
      <c r="C97" s="5" t="s">
        <v>159</v>
      </c>
      <c r="D97" s="5">
        <v>45</v>
      </c>
      <c r="E97" s="5">
        <v>279</v>
      </c>
      <c r="F97" s="5">
        <v>2</v>
      </c>
      <c r="G97" s="6">
        <f t="shared" si="1"/>
        <v>4.4444444444444446E-2</v>
      </c>
      <c r="H97" s="5">
        <v>6.2</v>
      </c>
      <c r="I97" s="6">
        <f>D97/(VLOOKUP(B97,'[1]2022 Team'!$B$2:$G$33,3,FALSE))</f>
        <v>8.9285714285714288E-2</v>
      </c>
    </row>
    <row r="98" spans="1:9" x14ac:dyDescent="0.25">
      <c r="A98" s="5" t="s">
        <v>83</v>
      </c>
      <c r="B98" s="5" t="s">
        <v>24</v>
      </c>
      <c r="C98" s="5" t="s">
        <v>82</v>
      </c>
      <c r="D98" s="5">
        <v>45</v>
      </c>
      <c r="E98" s="5">
        <v>182</v>
      </c>
      <c r="F98" s="5">
        <v>1</v>
      </c>
      <c r="G98" s="6">
        <f t="shared" si="1"/>
        <v>2.2222222222222223E-2</v>
      </c>
      <c r="H98" s="5">
        <v>4</v>
      </c>
      <c r="I98" s="6">
        <f>D98/(VLOOKUP(B98,'[1]2022 Team'!$B$2:$G$33,3,FALSE))</f>
        <v>8.4745762711864403E-2</v>
      </c>
    </row>
    <row r="99" spans="1:9" x14ac:dyDescent="0.25">
      <c r="A99" s="5" t="s">
        <v>130</v>
      </c>
      <c r="B99" s="5" t="s">
        <v>12</v>
      </c>
      <c r="C99" s="5" t="s">
        <v>82</v>
      </c>
      <c r="D99" s="5">
        <v>43</v>
      </c>
      <c r="E99" s="5">
        <v>137</v>
      </c>
      <c r="F99" s="5">
        <v>1</v>
      </c>
      <c r="G99" s="6">
        <f t="shared" si="1"/>
        <v>2.3255813953488372E-2</v>
      </c>
      <c r="H99" s="5">
        <v>3.2</v>
      </c>
      <c r="I99" s="6">
        <f>D99/(VLOOKUP(B99,'[1]2022 Team'!$B$2:$G$33,3,FALSE))</f>
        <v>8.17490494296578E-2</v>
      </c>
    </row>
    <row r="100" spans="1:9" x14ac:dyDescent="0.25">
      <c r="A100" s="5" t="s">
        <v>294</v>
      </c>
      <c r="B100" s="5" t="s">
        <v>62</v>
      </c>
      <c r="C100" s="5" t="s">
        <v>159</v>
      </c>
      <c r="D100" s="5">
        <v>43</v>
      </c>
      <c r="E100" s="5">
        <v>258</v>
      </c>
      <c r="F100" s="5">
        <v>1</v>
      </c>
      <c r="G100" s="6">
        <f t="shared" si="1"/>
        <v>2.3255813953488372E-2</v>
      </c>
      <c r="H100" s="5">
        <v>6</v>
      </c>
      <c r="I100" s="6">
        <f>D100/(VLOOKUP(B100,'[1]2022 Team'!$B$2:$G$33,3,FALSE))</f>
        <v>8.531746031746032E-2</v>
      </c>
    </row>
    <row r="101" spans="1:9" x14ac:dyDescent="0.25">
      <c r="A101" s="5" t="s">
        <v>2410</v>
      </c>
      <c r="B101" s="5" t="s">
        <v>28</v>
      </c>
      <c r="C101" s="5" t="s">
        <v>159</v>
      </c>
      <c r="D101" s="5">
        <v>42</v>
      </c>
      <c r="E101" s="5">
        <v>170</v>
      </c>
      <c r="F101" s="5">
        <v>1</v>
      </c>
      <c r="G101" s="6">
        <f t="shared" si="1"/>
        <v>2.3809523809523808E-2</v>
      </c>
      <c r="H101" s="5">
        <v>4</v>
      </c>
      <c r="I101" s="6">
        <f>D101/(VLOOKUP(B101,'[1]2022 Team'!$B$2:$G$33,3,FALSE))</f>
        <v>8.7499999999999994E-2</v>
      </c>
    </row>
    <row r="102" spans="1:9" x14ac:dyDescent="0.25">
      <c r="A102" s="5" t="s">
        <v>595</v>
      </c>
      <c r="B102" s="5" t="s">
        <v>32</v>
      </c>
      <c r="C102" s="5" t="s">
        <v>159</v>
      </c>
      <c r="D102" s="5">
        <v>42</v>
      </c>
      <c r="E102" s="5">
        <v>123</v>
      </c>
      <c r="F102" s="5">
        <v>1</v>
      </c>
      <c r="G102" s="6">
        <f t="shared" si="1"/>
        <v>2.3809523809523808E-2</v>
      </c>
      <c r="H102" s="5">
        <v>2.9</v>
      </c>
      <c r="I102" s="6">
        <f>D102/(VLOOKUP(B102,'[1]2022 Team'!$B$2:$G$33,3,FALSE))</f>
        <v>0.10552763819095477</v>
      </c>
    </row>
    <row r="103" spans="1:9" x14ac:dyDescent="0.25">
      <c r="A103" s="5" t="s">
        <v>534</v>
      </c>
      <c r="B103" s="5" t="s">
        <v>62</v>
      </c>
      <c r="C103" s="5" t="s">
        <v>163</v>
      </c>
      <c r="D103" s="5">
        <v>42</v>
      </c>
      <c r="E103" s="5">
        <v>232</v>
      </c>
      <c r="F103" s="5">
        <v>3</v>
      </c>
      <c r="G103" s="6">
        <f t="shared" si="1"/>
        <v>7.1428571428571425E-2</v>
      </c>
      <c r="H103" s="5">
        <v>5.5</v>
      </c>
      <c r="I103" s="6">
        <f>D103/(VLOOKUP(B103,'[1]2022 Team'!$B$2:$G$33,3,FALSE))</f>
        <v>8.3333333333333329E-2</v>
      </c>
    </row>
    <row r="104" spans="1:9" x14ac:dyDescent="0.25">
      <c r="A104" s="5" t="s">
        <v>1664</v>
      </c>
      <c r="B104" s="5" t="s">
        <v>32</v>
      </c>
      <c r="C104" s="5" t="s">
        <v>159</v>
      </c>
      <c r="D104" s="5">
        <v>41</v>
      </c>
      <c r="E104" s="5">
        <v>117</v>
      </c>
      <c r="F104" s="5">
        <v>0</v>
      </c>
      <c r="G104" s="6">
        <f t="shared" si="1"/>
        <v>0</v>
      </c>
      <c r="H104" s="5">
        <v>2.9</v>
      </c>
      <c r="I104" s="6">
        <f>D104/(VLOOKUP(B104,'[1]2022 Team'!$B$2:$G$33,3,FALSE))</f>
        <v>0.10301507537688442</v>
      </c>
    </row>
    <row r="105" spans="1:9" x14ac:dyDescent="0.25">
      <c r="A105" s="5" t="s">
        <v>448</v>
      </c>
      <c r="B105" s="5" t="s">
        <v>24</v>
      </c>
      <c r="C105" s="5" t="s">
        <v>159</v>
      </c>
      <c r="D105" s="5">
        <v>38</v>
      </c>
      <c r="E105" s="5">
        <v>161</v>
      </c>
      <c r="F105" s="5">
        <v>1</v>
      </c>
      <c r="G105" s="6">
        <f t="shared" si="1"/>
        <v>2.6315789473684209E-2</v>
      </c>
      <c r="H105" s="5">
        <v>4.2</v>
      </c>
      <c r="I105" s="6">
        <f>D105/(VLOOKUP(B105,'[1]2022 Team'!$B$2:$G$33,3,FALSE))</f>
        <v>7.1563088512241052E-2</v>
      </c>
    </row>
    <row r="106" spans="1:9" x14ac:dyDescent="0.25">
      <c r="A106" s="5" t="s">
        <v>828</v>
      </c>
      <c r="B106" s="5" t="s">
        <v>70</v>
      </c>
      <c r="C106" s="5" t="s">
        <v>163</v>
      </c>
      <c r="D106" s="5">
        <v>38</v>
      </c>
      <c r="E106" s="5">
        <v>187</v>
      </c>
      <c r="F106" s="5">
        <v>1</v>
      </c>
      <c r="G106" s="6">
        <f t="shared" si="1"/>
        <v>2.6315789473684209E-2</v>
      </c>
      <c r="H106" s="5">
        <v>4.9000000000000004</v>
      </c>
      <c r="I106" s="6">
        <f>D106/(VLOOKUP(B106,'[1]2022 Team'!$B$2:$G$33,3,FALSE))</f>
        <v>7.0631970260223054E-2</v>
      </c>
    </row>
    <row r="107" spans="1:9" x14ac:dyDescent="0.25">
      <c r="A107" s="5" t="s">
        <v>1766</v>
      </c>
      <c r="B107" s="5" t="s">
        <v>70</v>
      </c>
      <c r="C107" s="5" t="s">
        <v>159</v>
      </c>
      <c r="D107" s="5">
        <v>37</v>
      </c>
      <c r="E107" s="5">
        <v>152</v>
      </c>
      <c r="F107" s="5">
        <v>0</v>
      </c>
      <c r="G107" s="6">
        <f t="shared" si="1"/>
        <v>0</v>
      </c>
      <c r="H107" s="5">
        <v>4.0999999999999996</v>
      </c>
      <c r="I107" s="6">
        <f>D107/(VLOOKUP(B107,'[1]2022 Team'!$B$2:$G$33,3,FALSE))</f>
        <v>6.8773234200743494E-2</v>
      </c>
    </row>
    <row r="108" spans="1:9" x14ac:dyDescent="0.25">
      <c r="A108" s="5" t="s">
        <v>2411</v>
      </c>
      <c r="B108" s="5" t="s">
        <v>42</v>
      </c>
      <c r="C108" s="5" t="s">
        <v>159</v>
      </c>
      <c r="D108" s="5">
        <v>36</v>
      </c>
      <c r="E108" s="5">
        <v>106</v>
      </c>
      <c r="F108" s="5">
        <v>0</v>
      </c>
      <c r="G108" s="6">
        <f t="shared" si="1"/>
        <v>0</v>
      </c>
      <c r="H108" s="5">
        <v>2.9</v>
      </c>
      <c r="I108" s="6">
        <f>D108/(VLOOKUP(B108,'[1]2022 Team'!$B$2:$G$33,3,FALSE))</f>
        <v>8.9108910891089105E-2</v>
      </c>
    </row>
    <row r="109" spans="1:9" x14ac:dyDescent="0.25">
      <c r="A109" s="5" t="s">
        <v>1558</v>
      </c>
      <c r="B109" s="5" t="s">
        <v>22</v>
      </c>
      <c r="C109" s="5" t="s">
        <v>82</v>
      </c>
      <c r="D109" s="5">
        <v>36</v>
      </c>
      <c r="E109" s="5">
        <v>175</v>
      </c>
      <c r="F109" s="5">
        <v>1</v>
      </c>
      <c r="G109" s="6">
        <f t="shared" si="1"/>
        <v>2.7777777777777776E-2</v>
      </c>
      <c r="H109" s="5">
        <v>4.9000000000000004</v>
      </c>
      <c r="I109" s="6">
        <f>D109/(VLOOKUP(B109,'[1]2022 Team'!$B$2:$G$33,3,FALSE))</f>
        <v>6.7669172932330823E-2</v>
      </c>
    </row>
    <row r="110" spans="1:9" x14ac:dyDescent="0.25">
      <c r="A110" s="5" t="s">
        <v>710</v>
      </c>
      <c r="B110" s="5" t="s">
        <v>64</v>
      </c>
      <c r="C110" s="5" t="s">
        <v>159</v>
      </c>
      <c r="D110" s="5">
        <v>35</v>
      </c>
      <c r="E110" s="5">
        <v>186</v>
      </c>
      <c r="F110" s="5">
        <v>0</v>
      </c>
      <c r="G110" s="6">
        <f t="shared" si="1"/>
        <v>0</v>
      </c>
      <c r="H110" s="5">
        <v>5.3</v>
      </c>
      <c r="I110" s="6">
        <f>D110/(VLOOKUP(B110,'[1]2022 Team'!$B$2:$G$33,3,FALSE))</f>
        <v>8.2352941176470587E-2</v>
      </c>
    </row>
    <row r="111" spans="1:9" x14ac:dyDescent="0.25">
      <c r="A111" s="5" t="s">
        <v>248</v>
      </c>
      <c r="B111" s="5" t="s">
        <v>44</v>
      </c>
      <c r="C111" s="5" t="s">
        <v>159</v>
      </c>
      <c r="D111" s="5">
        <v>35</v>
      </c>
      <c r="E111" s="5">
        <v>139</v>
      </c>
      <c r="F111" s="5">
        <v>0</v>
      </c>
      <c r="G111" s="6">
        <f t="shared" si="1"/>
        <v>0</v>
      </c>
      <c r="H111" s="5">
        <v>4</v>
      </c>
      <c r="I111" s="6">
        <f>D111/(VLOOKUP(B111,'[1]2022 Team'!$B$2:$G$33,3,FALSE))</f>
        <v>8.5158150851581502E-2</v>
      </c>
    </row>
    <row r="112" spans="1:9" x14ac:dyDescent="0.25">
      <c r="A112" s="5" t="s">
        <v>1716</v>
      </c>
      <c r="B112" s="5" t="s">
        <v>62</v>
      </c>
      <c r="C112" s="5" t="s">
        <v>159</v>
      </c>
      <c r="D112" s="5">
        <v>34</v>
      </c>
      <c r="E112" s="5">
        <v>99</v>
      </c>
      <c r="F112" s="5">
        <v>0</v>
      </c>
      <c r="G112" s="6">
        <f t="shared" si="1"/>
        <v>0</v>
      </c>
      <c r="H112" s="5">
        <v>2.9</v>
      </c>
      <c r="I112" s="6">
        <f>D112/(VLOOKUP(B112,'[1]2022 Team'!$B$2:$G$33,3,FALSE))</f>
        <v>6.7460317460317457E-2</v>
      </c>
    </row>
    <row r="113" spans="1:9" x14ac:dyDescent="0.25">
      <c r="A113" s="5" t="s">
        <v>92</v>
      </c>
      <c r="B113" s="5" t="s">
        <v>30</v>
      </c>
      <c r="C113" s="5" t="s">
        <v>82</v>
      </c>
      <c r="D113" s="5">
        <v>34</v>
      </c>
      <c r="E113" s="5">
        <v>94</v>
      </c>
      <c r="F113" s="5">
        <v>1</v>
      </c>
      <c r="G113" s="6">
        <f t="shared" si="1"/>
        <v>2.9411764705882353E-2</v>
      </c>
      <c r="H113" s="5">
        <v>2.8</v>
      </c>
      <c r="I113" s="6">
        <f>D113/(VLOOKUP(B113,'[1]2022 Team'!$B$2:$G$33,3,FALSE))</f>
        <v>7.4561403508771926E-2</v>
      </c>
    </row>
    <row r="114" spans="1:9" x14ac:dyDescent="0.25">
      <c r="A114" s="5" t="s">
        <v>1555</v>
      </c>
      <c r="B114" s="5" t="s">
        <v>68</v>
      </c>
      <c r="C114" s="5" t="s">
        <v>82</v>
      </c>
      <c r="D114" s="5">
        <v>34</v>
      </c>
      <c r="E114" s="5">
        <v>98</v>
      </c>
      <c r="F114" s="5">
        <v>2</v>
      </c>
      <c r="G114" s="6">
        <f t="shared" si="1"/>
        <v>5.8823529411764705E-2</v>
      </c>
      <c r="H114" s="5">
        <v>2.9</v>
      </c>
      <c r="I114" s="6">
        <f>D114/(VLOOKUP(B114,'[1]2022 Team'!$B$2:$G$33,3,FALSE))</f>
        <v>6.9815195071868577E-2</v>
      </c>
    </row>
    <row r="115" spans="1:9" x14ac:dyDescent="0.25">
      <c r="A115" s="5" t="s">
        <v>122</v>
      </c>
      <c r="B115" s="5" t="s">
        <v>32</v>
      </c>
      <c r="C115" s="5" t="s">
        <v>82</v>
      </c>
      <c r="D115" s="5">
        <v>32</v>
      </c>
      <c r="E115" s="5">
        <v>108</v>
      </c>
      <c r="F115" s="5">
        <v>2</v>
      </c>
      <c r="G115" s="6">
        <f t="shared" si="1"/>
        <v>6.25E-2</v>
      </c>
      <c r="H115" s="5">
        <v>3.4</v>
      </c>
      <c r="I115" s="6">
        <f>D115/(VLOOKUP(B115,'[1]2022 Team'!$B$2:$G$33,3,FALSE))</f>
        <v>8.0402010050251257E-2</v>
      </c>
    </row>
    <row r="116" spans="1:9" x14ac:dyDescent="0.25">
      <c r="A116" s="5" t="s">
        <v>1708</v>
      </c>
      <c r="B116" s="5" t="s">
        <v>54</v>
      </c>
      <c r="C116" s="5" t="s">
        <v>159</v>
      </c>
      <c r="D116" s="5">
        <v>31</v>
      </c>
      <c r="E116" s="5">
        <v>141</v>
      </c>
      <c r="F116" s="5">
        <v>1</v>
      </c>
      <c r="G116" s="6">
        <f t="shared" si="1"/>
        <v>3.2258064516129031E-2</v>
      </c>
      <c r="H116" s="5">
        <v>4.5</v>
      </c>
      <c r="I116" s="6">
        <f>D116/(VLOOKUP(B116,'[1]2022 Team'!$B$2:$G$33,3,FALSE))</f>
        <v>5.9615384615384619E-2</v>
      </c>
    </row>
    <row r="117" spans="1:9" x14ac:dyDescent="0.25">
      <c r="A117" s="5" t="s">
        <v>110</v>
      </c>
      <c r="B117" s="5" t="s">
        <v>48</v>
      </c>
      <c r="C117" s="5" t="s">
        <v>82</v>
      </c>
      <c r="D117" s="5">
        <v>31</v>
      </c>
      <c r="E117" s="5">
        <v>97</v>
      </c>
      <c r="F117" s="5">
        <v>2</v>
      </c>
      <c r="G117" s="6">
        <f t="shared" si="1"/>
        <v>6.4516129032258063E-2</v>
      </c>
      <c r="H117" s="5">
        <v>3.1</v>
      </c>
      <c r="I117" s="6">
        <f>D117/(VLOOKUP(B117,'[1]2022 Team'!$B$2:$G$33,3,FALSE))</f>
        <v>7.6732673267326731E-2</v>
      </c>
    </row>
    <row r="118" spans="1:9" x14ac:dyDescent="0.25">
      <c r="A118" s="5" t="s">
        <v>88</v>
      </c>
      <c r="B118" s="5" t="s">
        <v>16</v>
      </c>
      <c r="C118" s="5" t="s">
        <v>82</v>
      </c>
      <c r="D118" s="5">
        <v>16</v>
      </c>
      <c r="E118" s="5">
        <v>52</v>
      </c>
      <c r="F118" s="5">
        <v>1</v>
      </c>
      <c r="G118" s="6">
        <f t="shared" si="1"/>
        <v>6.25E-2</v>
      </c>
      <c r="H118" s="5">
        <v>3.3</v>
      </c>
      <c r="I118" s="6">
        <f>D118/(VLOOKUP(B118,'[1]2022 Team'!$B$2:$G$33,3,FALSE))</f>
        <v>3.3126293995859216E-2</v>
      </c>
    </row>
    <row r="119" spans="1:9" x14ac:dyDescent="0.25">
      <c r="A119" s="5" t="s">
        <v>88</v>
      </c>
      <c r="B119" s="5" t="s">
        <v>44</v>
      </c>
      <c r="C119" s="5" t="s">
        <v>82</v>
      </c>
      <c r="D119" s="5">
        <v>15</v>
      </c>
      <c r="E119" s="5">
        <v>37</v>
      </c>
      <c r="F119" s="5">
        <v>0</v>
      </c>
      <c r="G119" s="6">
        <f t="shared" si="1"/>
        <v>0</v>
      </c>
      <c r="H119" s="5">
        <v>2.5</v>
      </c>
      <c r="I119" s="6">
        <f>D119/(VLOOKUP(B119,'[1]2022 Team'!$B$2:$G$33,3,FALSE))</f>
        <v>3.6496350364963501E-2</v>
      </c>
    </row>
    <row r="120" spans="1:9" x14ac:dyDescent="0.25">
      <c r="A120" s="5" t="s">
        <v>140</v>
      </c>
      <c r="B120" s="5" t="s">
        <v>52</v>
      </c>
      <c r="C120" s="5" t="s">
        <v>82</v>
      </c>
      <c r="D120" s="5">
        <v>30</v>
      </c>
      <c r="E120" s="5">
        <v>54</v>
      </c>
      <c r="F120" s="5">
        <v>0</v>
      </c>
      <c r="G120" s="6">
        <f t="shared" si="1"/>
        <v>0</v>
      </c>
      <c r="H120" s="5">
        <v>1.8</v>
      </c>
      <c r="I120" s="6">
        <f>D120/(VLOOKUP(B120,'[1]2022 Team'!$B$2:$G$33,3,FALSE))</f>
        <v>6.4516129032258063E-2</v>
      </c>
    </row>
    <row r="121" spans="1:9" x14ac:dyDescent="0.25">
      <c r="A121" s="5" t="s">
        <v>431</v>
      </c>
      <c r="B121" s="5" t="s">
        <v>56</v>
      </c>
      <c r="C121" s="5" t="s">
        <v>159</v>
      </c>
      <c r="D121" s="5">
        <v>30</v>
      </c>
      <c r="E121" s="5">
        <v>160</v>
      </c>
      <c r="F121" s="5">
        <v>1</v>
      </c>
      <c r="G121" s="6">
        <f t="shared" si="1"/>
        <v>3.3333333333333333E-2</v>
      </c>
      <c r="H121" s="5">
        <v>5.3</v>
      </c>
      <c r="I121" s="6">
        <f>D121/(VLOOKUP(B121,'[1]2022 Team'!$B$2:$G$33,3,FALSE))</f>
        <v>7.407407407407407E-2</v>
      </c>
    </row>
    <row r="122" spans="1:9" x14ac:dyDescent="0.25">
      <c r="A122" s="5" t="s">
        <v>2364</v>
      </c>
      <c r="B122" s="5" t="s">
        <v>66</v>
      </c>
      <c r="C122" s="5" t="s">
        <v>82</v>
      </c>
      <c r="D122" s="5">
        <v>29</v>
      </c>
      <c r="E122" s="5">
        <v>-1</v>
      </c>
      <c r="F122" s="5">
        <v>1</v>
      </c>
      <c r="G122" s="6">
        <f t="shared" ref="G122:G184" si="2">F122/D122</f>
        <v>3.4482758620689655E-2</v>
      </c>
      <c r="H122" s="5">
        <v>0</v>
      </c>
      <c r="I122" s="6">
        <f>D122/(VLOOKUP(B122,'[1]2022 Team'!$B$2:$G$33,3,FALSE))</f>
        <v>7.512953367875648E-2</v>
      </c>
    </row>
    <row r="123" spans="1:9" x14ac:dyDescent="0.25">
      <c r="A123" s="5" t="s">
        <v>85</v>
      </c>
      <c r="B123" s="5" t="s">
        <v>28</v>
      </c>
      <c r="C123" s="5" t="s">
        <v>82</v>
      </c>
      <c r="D123" s="5">
        <v>29</v>
      </c>
      <c r="E123" s="5">
        <v>73</v>
      </c>
      <c r="F123" s="5">
        <v>0</v>
      </c>
      <c r="G123" s="6">
        <f t="shared" si="2"/>
        <v>0</v>
      </c>
      <c r="H123" s="5">
        <v>2.5</v>
      </c>
      <c r="I123" s="6">
        <f>D123/(VLOOKUP(B123,'[1]2022 Team'!$B$2:$G$33,3,FALSE))</f>
        <v>6.0416666666666667E-2</v>
      </c>
    </row>
    <row r="124" spans="1:9" x14ac:dyDescent="0.25">
      <c r="A124" s="5" t="s">
        <v>1560</v>
      </c>
      <c r="B124" s="5" t="s">
        <v>70</v>
      </c>
      <c r="C124" s="5" t="s">
        <v>82</v>
      </c>
      <c r="D124" s="5">
        <v>28</v>
      </c>
      <c r="E124" s="5">
        <v>96</v>
      </c>
      <c r="F124" s="5">
        <v>1</v>
      </c>
      <c r="G124" s="6">
        <f t="shared" si="2"/>
        <v>3.5714285714285712E-2</v>
      </c>
      <c r="H124" s="5">
        <v>3.4</v>
      </c>
      <c r="I124" s="6">
        <f>D124/(VLOOKUP(B124,'[1]2022 Team'!$B$2:$G$33,3,FALSE))</f>
        <v>5.204460966542751E-2</v>
      </c>
    </row>
    <row r="125" spans="1:9" x14ac:dyDescent="0.25">
      <c r="A125" s="5" t="s">
        <v>150</v>
      </c>
      <c r="B125" s="5" t="s">
        <v>56</v>
      </c>
      <c r="C125" s="5" t="s">
        <v>82</v>
      </c>
      <c r="D125" s="5">
        <v>28</v>
      </c>
      <c r="E125" s="5">
        <v>102</v>
      </c>
      <c r="F125" s="5">
        <v>1</v>
      </c>
      <c r="G125" s="6">
        <f t="shared" si="2"/>
        <v>3.5714285714285712E-2</v>
      </c>
      <c r="H125" s="5">
        <v>3.6</v>
      </c>
      <c r="I125" s="6">
        <f>D125/(VLOOKUP(B125,'[1]2022 Team'!$B$2:$G$33,3,FALSE))</f>
        <v>6.9135802469135796E-2</v>
      </c>
    </row>
    <row r="126" spans="1:9" x14ac:dyDescent="0.25">
      <c r="A126" s="5" t="s">
        <v>1681</v>
      </c>
      <c r="B126" s="5" t="s">
        <v>8</v>
      </c>
      <c r="C126" s="5" t="s">
        <v>159</v>
      </c>
      <c r="D126" s="5">
        <v>27</v>
      </c>
      <c r="E126" s="5">
        <v>60</v>
      </c>
      <c r="F126" s="5">
        <v>1</v>
      </c>
      <c r="G126" s="6">
        <f t="shared" si="2"/>
        <v>3.7037037037037035E-2</v>
      </c>
      <c r="H126" s="5">
        <v>2.2000000000000002</v>
      </c>
      <c r="I126" s="6">
        <f>D126/(VLOOKUP(B126,'[1]2022 Team'!$B$2:$G$33,3,FALSE))</f>
        <v>6.2211981566820278E-2</v>
      </c>
    </row>
    <row r="127" spans="1:9" x14ac:dyDescent="0.25">
      <c r="A127" s="5" t="s">
        <v>2365</v>
      </c>
      <c r="B127" s="5" t="s">
        <v>34</v>
      </c>
      <c r="C127" s="5" t="s">
        <v>82</v>
      </c>
      <c r="D127" s="5">
        <v>27</v>
      </c>
      <c r="E127" s="5">
        <v>70</v>
      </c>
      <c r="F127" s="5">
        <v>1</v>
      </c>
      <c r="G127" s="6">
        <f t="shared" si="2"/>
        <v>3.7037037037037035E-2</v>
      </c>
      <c r="H127" s="5">
        <v>2.6</v>
      </c>
      <c r="I127" s="6">
        <f>D127/(VLOOKUP(B127,'[1]2022 Team'!$B$2:$G$33,3,FALSE))</f>
        <v>6.1503416856492028E-2</v>
      </c>
    </row>
    <row r="128" spans="1:9" x14ac:dyDescent="0.25">
      <c r="A128" s="5" t="s">
        <v>142</v>
      </c>
      <c r="B128" s="5" t="s">
        <v>68</v>
      </c>
      <c r="C128" s="5" t="s">
        <v>82</v>
      </c>
      <c r="D128" s="5">
        <v>27</v>
      </c>
      <c r="E128" s="5">
        <v>123</v>
      </c>
      <c r="F128" s="5">
        <v>1</v>
      </c>
      <c r="G128" s="6">
        <f t="shared" si="2"/>
        <v>3.7037037037037035E-2</v>
      </c>
      <c r="H128" s="5">
        <v>4.5999999999999996</v>
      </c>
      <c r="I128" s="6">
        <f>D128/(VLOOKUP(B128,'[1]2022 Team'!$B$2:$G$33,3,FALSE))</f>
        <v>5.5441478439425054E-2</v>
      </c>
    </row>
    <row r="129" spans="1:9" x14ac:dyDescent="0.25">
      <c r="A129" s="5" t="s">
        <v>2380</v>
      </c>
      <c r="B129" s="5" t="s">
        <v>32</v>
      </c>
      <c r="C129" s="5" t="s">
        <v>159</v>
      </c>
      <c r="D129" s="5">
        <v>26</v>
      </c>
      <c r="E129" s="5">
        <v>80</v>
      </c>
      <c r="F129" s="5">
        <v>0</v>
      </c>
      <c r="G129" s="6">
        <f t="shared" si="2"/>
        <v>0</v>
      </c>
      <c r="H129" s="5">
        <v>3.1</v>
      </c>
      <c r="I129" s="6">
        <f>D129/(VLOOKUP(B129,'[1]2022 Team'!$B$2:$G$33,3,FALSE))</f>
        <v>6.5326633165829151E-2</v>
      </c>
    </row>
    <row r="130" spans="1:9" x14ac:dyDescent="0.25">
      <c r="A130" s="5" t="s">
        <v>96</v>
      </c>
      <c r="B130" s="5" t="s">
        <v>16</v>
      </c>
      <c r="C130" s="5" t="s">
        <v>82</v>
      </c>
      <c r="D130" s="5">
        <v>26</v>
      </c>
      <c r="E130" s="5">
        <v>106</v>
      </c>
      <c r="F130" s="5">
        <v>2</v>
      </c>
      <c r="G130" s="6">
        <f t="shared" si="2"/>
        <v>7.6923076923076927E-2</v>
      </c>
      <c r="H130" s="5">
        <v>4.0999999999999996</v>
      </c>
      <c r="I130" s="6">
        <f>D130/(VLOOKUP(B130,'[1]2022 Team'!$B$2:$G$33,3,FALSE))</f>
        <v>5.3830227743271224E-2</v>
      </c>
    </row>
    <row r="131" spans="1:9" x14ac:dyDescent="0.25">
      <c r="A131" s="5" t="s">
        <v>547</v>
      </c>
      <c r="B131" s="5" t="s">
        <v>68</v>
      </c>
      <c r="C131" s="5" t="s">
        <v>159</v>
      </c>
      <c r="D131" s="5">
        <v>25</v>
      </c>
      <c r="E131" s="5">
        <v>93</v>
      </c>
      <c r="F131" s="5">
        <v>0</v>
      </c>
      <c r="G131" s="6">
        <f t="shared" si="2"/>
        <v>0</v>
      </c>
      <c r="H131" s="5">
        <v>3.7</v>
      </c>
      <c r="I131" s="6">
        <f>D131/(VLOOKUP(B131,'[1]2022 Team'!$B$2:$G$33,3,FALSE))</f>
        <v>5.1334702258726897E-2</v>
      </c>
    </row>
    <row r="132" spans="1:9" x14ac:dyDescent="0.25">
      <c r="A132" s="5" t="s">
        <v>1717</v>
      </c>
      <c r="B132" s="5" t="s">
        <v>26</v>
      </c>
      <c r="C132" s="5" t="s">
        <v>159</v>
      </c>
      <c r="D132" s="5">
        <v>24</v>
      </c>
      <c r="E132" s="5">
        <v>102</v>
      </c>
      <c r="F132" s="5">
        <v>0</v>
      </c>
      <c r="G132" s="6">
        <f t="shared" si="2"/>
        <v>0</v>
      </c>
      <c r="H132" s="5">
        <v>4.3</v>
      </c>
      <c r="I132" s="6">
        <f>D132/(VLOOKUP(B132,'[1]2022 Team'!$B$2:$G$33,3,FALSE))</f>
        <v>5.4054054054054057E-2</v>
      </c>
    </row>
    <row r="133" spans="1:9" x14ac:dyDescent="0.25">
      <c r="A133" s="5" t="s">
        <v>1552</v>
      </c>
      <c r="B133" s="5" t="s">
        <v>40</v>
      </c>
      <c r="C133" s="5" t="s">
        <v>82</v>
      </c>
      <c r="D133" s="5">
        <v>24</v>
      </c>
      <c r="E133" s="5">
        <v>102</v>
      </c>
      <c r="F133" s="5">
        <v>0</v>
      </c>
      <c r="G133" s="6">
        <f t="shared" si="2"/>
        <v>0</v>
      </c>
      <c r="H133" s="5">
        <v>4.3</v>
      </c>
      <c r="I133" s="6">
        <f>D133/(VLOOKUP(B133,'[1]2022 Team'!$B$2:$G$33,3,FALSE))</f>
        <v>5.6074766355140186E-2</v>
      </c>
    </row>
    <row r="134" spans="1:9" x14ac:dyDescent="0.25">
      <c r="A134" s="5" t="s">
        <v>2412</v>
      </c>
      <c r="B134" s="5" t="s">
        <v>18</v>
      </c>
      <c r="C134" s="5" t="s">
        <v>159</v>
      </c>
      <c r="D134" s="5">
        <v>24</v>
      </c>
      <c r="E134" s="5">
        <v>54</v>
      </c>
      <c r="F134" s="5">
        <v>0</v>
      </c>
      <c r="G134" s="6">
        <f t="shared" si="2"/>
        <v>0</v>
      </c>
      <c r="H134" s="5">
        <v>2.2999999999999998</v>
      </c>
      <c r="I134" s="6">
        <f>D134/(VLOOKUP(B134,'[1]2022 Team'!$B$2:$G$33,3,FALSE))</f>
        <v>4.3010752688172046E-2</v>
      </c>
    </row>
    <row r="135" spans="1:9" x14ac:dyDescent="0.25">
      <c r="A135" s="5" t="s">
        <v>713</v>
      </c>
      <c r="B135" s="5" t="s">
        <v>34</v>
      </c>
      <c r="C135" s="5" t="s">
        <v>159</v>
      </c>
      <c r="D135" s="5">
        <v>18</v>
      </c>
      <c r="E135" s="5">
        <v>36</v>
      </c>
      <c r="F135" s="5">
        <v>1</v>
      </c>
      <c r="G135" s="6">
        <f t="shared" si="2"/>
        <v>5.5555555555555552E-2</v>
      </c>
      <c r="H135" s="5">
        <v>2</v>
      </c>
      <c r="I135" s="6">
        <f>D135/(VLOOKUP(B135,'[1]2022 Team'!$B$2:$G$33,3,FALSE))</f>
        <v>4.1002277904328019E-2</v>
      </c>
    </row>
    <row r="136" spans="1:9" x14ac:dyDescent="0.25">
      <c r="A136" s="5" t="s">
        <v>713</v>
      </c>
      <c r="B136" s="5" t="s">
        <v>14</v>
      </c>
      <c r="C136" s="5" t="s">
        <v>159</v>
      </c>
      <c r="D136" s="5">
        <v>6</v>
      </c>
      <c r="E136" s="5">
        <v>-3</v>
      </c>
      <c r="F136" s="5">
        <v>0</v>
      </c>
      <c r="G136" s="6">
        <f t="shared" si="2"/>
        <v>0</v>
      </c>
      <c r="H136" s="5">
        <v>-0.5</v>
      </c>
      <c r="I136" s="6">
        <f>D136/(VLOOKUP(B136,'[1]2022 Team'!$B$2:$G$33,3,FALSE))</f>
        <v>1.3953488372093023E-2</v>
      </c>
    </row>
    <row r="137" spans="1:9" x14ac:dyDescent="0.25">
      <c r="A137" s="5" t="s">
        <v>1701</v>
      </c>
      <c r="B137" s="5" t="s">
        <v>16</v>
      </c>
      <c r="C137" s="5" t="s">
        <v>159</v>
      </c>
      <c r="D137" s="5">
        <v>23</v>
      </c>
      <c r="E137" s="5">
        <v>77</v>
      </c>
      <c r="F137" s="5">
        <v>3</v>
      </c>
      <c r="G137" s="6">
        <f t="shared" si="2"/>
        <v>0.13043478260869565</v>
      </c>
      <c r="H137" s="5">
        <v>3.3</v>
      </c>
      <c r="I137" s="6">
        <f>D137/(VLOOKUP(B137,'[1]2022 Team'!$B$2:$G$33,3,FALSE))</f>
        <v>4.7619047619047616E-2</v>
      </c>
    </row>
    <row r="138" spans="1:9" x14ac:dyDescent="0.25">
      <c r="A138" s="5" t="s">
        <v>617</v>
      </c>
      <c r="B138" s="5" t="s">
        <v>62</v>
      </c>
      <c r="C138" s="5" t="s">
        <v>82</v>
      </c>
      <c r="D138" s="5">
        <v>23</v>
      </c>
      <c r="E138" s="5">
        <v>33</v>
      </c>
      <c r="F138" s="5">
        <v>2</v>
      </c>
      <c r="G138" s="6">
        <f t="shared" si="2"/>
        <v>8.6956521739130432E-2</v>
      </c>
      <c r="H138" s="5">
        <v>1.4</v>
      </c>
      <c r="I138" s="6">
        <f>D138/(VLOOKUP(B138,'[1]2022 Team'!$B$2:$G$33,3,FALSE))</f>
        <v>4.5634920634920632E-2</v>
      </c>
    </row>
    <row r="139" spans="1:9" x14ac:dyDescent="0.25">
      <c r="A139" s="5" t="s">
        <v>688</v>
      </c>
      <c r="B139" s="5" t="s">
        <v>28</v>
      </c>
      <c r="C139" s="5" t="s">
        <v>159</v>
      </c>
      <c r="D139" s="5">
        <v>23</v>
      </c>
      <c r="E139" s="5">
        <v>102</v>
      </c>
      <c r="F139" s="5">
        <v>0</v>
      </c>
      <c r="G139" s="6">
        <f t="shared" si="2"/>
        <v>0</v>
      </c>
      <c r="H139" s="5">
        <v>4.4000000000000004</v>
      </c>
      <c r="I139" s="6">
        <f>D139/(VLOOKUP(B139,'[1]2022 Team'!$B$2:$G$33,3,FALSE))</f>
        <v>4.791666666666667E-2</v>
      </c>
    </row>
    <row r="140" spans="1:9" x14ac:dyDescent="0.25">
      <c r="A140" s="5" t="s">
        <v>103</v>
      </c>
      <c r="B140" s="5" t="s">
        <v>46</v>
      </c>
      <c r="C140" s="5" t="s">
        <v>82</v>
      </c>
      <c r="D140" s="5">
        <v>23</v>
      </c>
      <c r="E140" s="5">
        <v>70</v>
      </c>
      <c r="F140" s="5">
        <v>0</v>
      </c>
      <c r="G140" s="6">
        <f t="shared" si="2"/>
        <v>0</v>
      </c>
      <c r="H140" s="5">
        <v>3</v>
      </c>
      <c r="I140" s="6">
        <f>D140/(VLOOKUP(B140,'[1]2022 Team'!$B$2:$G$33,3,FALSE))</f>
        <v>5.8974358974358973E-2</v>
      </c>
    </row>
    <row r="141" spans="1:9" x14ac:dyDescent="0.25">
      <c r="A141" s="5" t="s">
        <v>2413</v>
      </c>
      <c r="B141" s="5" t="s">
        <v>68</v>
      </c>
      <c r="C141" s="5" t="s">
        <v>159</v>
      </c>
      <c r="D141" s="5">
        <v>22</v>
      </c>
      <c r="E141" s="5">
        <v>145</v>
      </c>
      <c r="F141" s="5">
        <v>0</v>
      </c>
      <c r="G141" s="6">
        <f t="shared" si="2"/>
        <v>0</v>
      </c>
      <c r="H141" s="5">
        <v>6.6</v>
      </c>
      <c r="I141" s="6">
        <f>D141/(VLOOKUP(B141,'[1]2022 Team'!$B$2:$G$33,3,FALSE))</f>
        <v>4.5174537987679675E-2</v>
      </c>
    </row>
    <row r="142" spans="1:9" x14ac:dyDescent="0.25">
      <c r="A142" s="5" t="s">
        <v>2414</v>
      </c>
      <c r="B142" s="5" t="s">
        <v>70</v>
      </c>
      <c r="C142" s="5" t="s">
        <v>159</v>
      </c>
      <c r="D142" s="5">
        <v>22</v>
      </c>
      <c r="E142" s="5">
        <v>95</v>
      </c>
      <c r="F142" s="5">
        <v>0</v>
      </c>
      <c r="G142" s="6">
        <f t="shared" si="2"/>
        <v>0</v>
      </c>
      <c r="H142" s="5">
        <v>4.3</v>
      </c>
      <c r="I142" s="6">
        <f>D142/(VLOOKUP(B142,'[1]2022 Team'!$B$2:$G$33,3,FALSE))</f>
        <v>4.0892193308550186E-2</v>
      </c>
    </row>
    <row r="143" spans="1:9" x14ac:dyDescent="0.25">
      <c r="A143" s="5" t="s">
        <v>108</v>
      </c>
      <c r="B143" s="5" t="s">
        <v>62</v>
      </c>
      <c r="C143" s="5" t="s">
        <v>82</v>
      </c>
      <c r="D143" s="5">
        <v>22</v>
      </c>
      <c r="E143" s="5">
        <v>13</v>
      </c>
      <c r="F143" s="5">
        <v>1</v>
      </c>
      <c r="G143" s="6">
        <f t="shared" si="2"/>
        <v>4.5454545454545456E-2</v>
      </c>
      <c r="H143" s="5">
        <v>0.6</v>
      </c>
      <c r="I143" s="6">
        <f>D143/(VLOOKUP(B143,'[1]2022 Team'!$B$2:$G$33,3,FALSE))</f>
        <v>4.3650793650793648E-2</v>
      </c>
    </row>
    <row r="144" spans="1:9" x14ac:dyDescent="0.25">
      <c r="A144" s="5" t="s">
        <v>120</v>
      </c>
      <c r="B144" s="5" t="s">
        <v>70</v>
      </c>
      <c r="C144" s="5" t="s">
        <v>82</v>
      </c>
      <c r="D144" s="5">
        <v>22</v>
      </c>
      <c r="E144" s="5">
        <v>86</v>
      </c>
      <c r="F144" s="5">
        <v>1</v>
      </c>
      <c r="G144" s="6">
        <f t="shared" si="2"/>
        <v>4.5454545454545456E-2</v>
      </c>
      <c r="H144" s="5">
        <v>3.9</v>
      </c>
      <c r="I144" s="6">
        <f>D144/(VLOOKUP(B144,'[1]2022 Team'!$B$2:$G$33,3,FALSE))</f>
        <v>4.0892193308550186E-2</v>
      </c>
    </row>
    <row r="145" spans="1:9" x14ac:dyDescent="0.25">
      <c r="A145" s="5" t="s">
        <v>2415</v>
      </c>
      <c r="B145" s="5" t="s">
        <v>10</v>
      </c>
      <c r="C145" s="5" t="s">
        <v>159</v>
      </c>
      <c r="D145" s="5">
        <v>22</v>
      </c>
      <c r="E145" s="5">
        <v>109</v>
      </c>
      <c r="F145" s="5">
        <v>1</v>
      </c>
      <c r="G145" s="6">
        <f t="shared" si="2"/>
        <v>4.5454545454545456E-2</v>
      </c>
      <c r="H145" s="5">
        <v>5</v>
      </c>
      <c r="I145" s="6">
        <f>D145/(VLOOKUP(B145,'[1]2022 Team'!$B$2:$G$33,3,FALSE))</f>
        <v>3.9355992844364938E-2</v>
      </c>
    </row>
    <row r="146" spans="1:9" x14ac:dyDescent="0.25">
      <c r="A146" s="5" t="s">
        <v>2416</v>
      </c>
      <c r="B146" s="5" t="s">
        <v>8</v>
      </c>
      <c r="C146" s="5" t="s">
        <v>159</v>
      </c>
      <c r="D146" s="5">
        <v>21</v>
      </c>
      <c r="E146" s="5">
        <v>102</v>
      </c>
      <c r="F146" s="5">
        <v>1</v>
      </c>
      <c r="G146" s="6">
        <f t="shared" si="2"/>
        <v>4.7619047619047616E-2</v>
      </c>
      <c r="H146" s="5">
        <v>4.9000000000000004</v>
      </c>
      <c r="I146" s="6">
        <f>D146/(VLOOKUP(B146,'[1]2022 Team'!$B$2:$G$33,3,FALSE))</f>
        <v>4.8387096774193547E-2</v>
      </c>
    </row>
    <row r="147" spans="1:9" x14ac:dyDescent="0.25">
      <c r="A147" s="5" t="s">
        <v>1570</v>
      </c>
      <c r="B147" s="5" t="s">
        <v>32</v>
      </c>
      <c r="C147" s="5" t="s">
        <v>82</v>
      </c>
      <c r="D147" s="5">
        <v>20</v>
      </c>
      <c r="E147" s="5">
        <v>75</v>
      </c>
      <c r="F147" s="5">
        <v>0</v>
      </c>
      <c r="G147" s="6">
        <f t="shared" si="2"/>
        <v>0</v>
      </c>
      <c r="H147" s="5">
        <v>3.8</v>
      </c>
      <c r="I147" s="6">
        <f>D147/(VLOOKUP(B147,'[1]2022 Team'!$B$2:$G$33,3,FALSE))</f>
        <v>5.0251256281407038E-2</v>
      </c>
    </row>
    <row r="148" spans="1:9" x14ac:dyDescent="0.25">
      <c r="A148" s="5" t="s">
        <v>2417</v>
      </c>
      <c r="B148" s="5" t="s">
        <v>60</v>
      </c>
      <c r="C148" s="5" t="s">
        <v>159</v>
      </c>
      <c r="D148" s="5">
        <v>20</v>
      </c>
      <c r="E148" s="5">
        <v>90</v>
      </c>
      <c r="F148" s="5">
        <v>1</v>
      </c>
      <c r="G148" s="6">
        <f t="shared" si="2"/>
        <v>0.05</v>
      </c>
      <c r="H148" s="5">
        <v>4.5</v>
      </c>
      <c r="I148" s="6">
        <f>D148/(VLOOKUP(B148,'[1]2022 Team'!$B$2:$G$33,3,FALSE))</f>
        <v>0.04</v>
      </c>
    </row>
    <row r="149" spans="1:9" x14ac:dyDescent="0.25">
      <c r="A149" s="5" t="s">
        <v>767</v>
      </c>
      <c r="B149" s="5" t="s">
        <v>64</v>
      </c>
      <c r="C149" s="5" t="s">
        <v>159</v>
      </c>
      <c r="D149" s="5">
        <v>19</v>
      </c>
      <c r="E149" s="5">
        <v>74</v>
      </c>
      <c r="F149" s="5">
        <v>0</v>
      </c>
      <c r="G149" s="6">
        <f t="shared" si="2"/>
        <v>0</v>
      </c>
      <c r="H149" s="5">
        <v>3.9</v>
      </c>
      <c r="I149" s="6">
        <f>D149/(VLOOKUP(B149,'[1]2022 Team'!$B$2:$G$33,3,FALSE))</f>
        <v>4.4705882352941179E-2</v>
      </c>
    </row>
    <row r="150" spans="1:9" x14ac:dyDescent="0.25">
      <c r="A150" s="5" t="s">
        <v>2374</v>
      </c>
      <c r="B150" s="5" t="s">
        <v>44</v>
      </c>
      <c r="C150" s="5" t="s">
        <v>82</v>
      </c>
      <c r="D150" s="5">
        <v>19</v>
      </c>
      <c r="E150" s="5">
        <v>90</v>
      </c>
      <c r="F150" s="5">
        <v>0</v>
      </c>
      <c r="G150" s="6">
        <f t="shared" si="2"/>
        <v>0</v>
      </c>
      <c r="H150" s="5">
        <v>4.7</v>
      </c>
      <c r="I150" s="6">
        <f>D150/(VLOOKUP(B150,'[1]2022 Team'!$B$2:$G$33,3,FALSE))</f>
        <v>4.6228710462287104E-2</v>
      </c>
    </row>
    <row r="151" spans="1:9" x14ac:dyDescent="0.25">
      <c r="A151" s="5" t="s">
        <v>141</v>
      </c>
      <c r="B151" s="5" t="s">
        <v>60</v>
      </c>
      <c r="C151" s="5" t="s">
        <v>82</v>
      </c>
      <c r="D151" s="5">
        <v>19</v>
      </c>
      <c r="E151" s="5">
        <v>38</v>
      </c>
      <c r="F151" s="5">
        <v>2</v>
      </c>
      <c r="G151" s="6">
        <f t="shared" si="2"/>
        <v>0.10526315789473684</v>
      </c>
      <c r="H151" s="5">
        <v>2</v>
      </c>
      <c r="I151" s="6">
        <f>D151/(VLOOKUP(B151,'[1]2022 Team'!$B$2:$G$33,3,FALSE))</f>
        <v>3.7999999999999999E-2</v>
      </c>
    </row>
    <row r="152" spans="1:9" x14ac:dyDescent="0.25">
      <c r="A152" s="5" t="s">
        <v>2418</v>
      </c>
      <c r="B152" s="5" t="s">
        <v>44</v>
      </c>
      <c r="C152" s="5" t="s">
        <v>159</v>
      </c>
      <c r="D152" s="5">
        <v>18</v>
      </c>
      <c r="E152" s="5">
        <v>81</v>
      </c>
      <c r="F152" s="5">
        <v>1</v>
      </c>
      <c r="G152" s="6">
        <f t="shared" si="2"/>
        <v>5.5555555555555552E-2</v>
      </c>
      <c r="H152" s="5">
        <v>4.5</v>
      </c>
      <c r="I152" s="6">
        <f>D152/(VLOOKUP(B152,'[1]2022 Team'!$B$2:$G$33,3,FALSE))</f>
        <v>4.3795620437956206E-2</v>
      </c>
    </row>
    <row r="153" spans="1:9" x14ac:dyDescent="0.25">
      <c r="A153" s="5" t="s">
        <v>1700</v>
      </c>
      <c r="B153" s="5" t="s">
        <v>50</v>
      </c>
      <c r="C153" s="5" t="s">
        <v>159</v>
      </c>
      <c r="D153" s="5">
        <v>18</v>
      </c>
      <c r="E153" s="5">
        <v>52</v>
      </c>
      <c r="F153" s="5">
        <v>1</v>
      </c>
      <c r="G153" s="6">
        <f t="shared" si="2"/>
        <v>5.5555555555555552E-2</v>
      </c>
      <c r="H153" s="5">
        <v>2.9</v>
      </c>
      <c r="I153" s="6">
        <f>D153/(VLOOKUP(B153,'[1]2022 Team'!$B$2:$G$33,3,FALSE))</f>
        <v>4.2352941176470586E-2</v>
      </c>
    </row>
    <row r="154" spans="1:9" x14ac:dyDescent="0.25">
      <c r="A154" s="5" t="s">
        <v>1680</v>
      </c>
      <c r="B154" s="5" t="s">
        <v>42</v>
      </c>
      <c r="C154" s="5" t="s">
        <v>159</v>
      </c>
      <c r="D154" s="5">
        <v>18</v>
      </c>
      <c r="E154" s="5">
        <v>41</v>
      </c>
      <c r="F154" s="5">
        <v>0</v>
      </c>
      <c r="G154" s="6">
        <f t="shared" si="2"/>
        <v>0</v>
      </c>
      <c r="H154" s="5">
        <v>2.2999999999999998</v>
      </c>
      <c r="I154" s="6">
        <f>D154/(VLOOKUP(B154,'[1]2022 Team'!$B$2:$G$33,3,FALSE))</f>
        <v>4.4554455445544552E-2</v>
      </c>
    </row>
    <row r="155" spans="1:9" x14ac:dyDescent="0.25">
      <c r="A155" s="5" t="s">
        <v>1723</v>
      </c>
      <c r="B155" s="5" t="s">
        <v>40</v>
      </c>
      <c r="C155" s="5" t="s">
        <v>159</v>
      </c>
      <c r="D155" s="5">
        <v>17</v>
      </c>
      <c r="E155" s="5">
        <v>66</v>
      </c>
      <c r="F155" s="5">
        <v>0</v>
      </c>
      <c r="G155" s="6">
        <f t="shared" si="2"/>
        <v>0</v>
      </c>
      <c r="H155" s="5">
        <v>3.9</v>
      </c>
      <c r="I155" s="6">
        <f>D155/(VLOOKUP(B155,'[1]2022 Team'!$B$2:$G$33,3,FALSE))</f>
        <v>3.9719626168224297E-2</v>
      </c>
    </row>
    <row r="156" spans="1:9" x14ac:dyDescent="0.25">
      <c r="A156" s="5" t="s">
        <v>2367</v>
      </c>
      <c r="B156" s="5" t="s">
        <v>34</v>
      </c>
      <c r="C156" s="5" t="s">
        <v>82</v>
      </c>
      <c r="D156" s="5">
        <v>17</v>
      </c>
      <c r="E156" s="5">
        <v>87</v>
      </c>
      <c r="F156" s="5">
        <v>0</v>
      </c>
      <c r="G156" s="6">
        <f t="shared" si="2"/>
        <v>0</v>
      </c>
      <c r="H156" s="5">
        <v>5.0999999999999996</v>
      </c>
      <c r="I156" s="6">
        <f>D156/(VLOOKUP(B156,'[1]2022 Team'!$B$2:$G$33,3,FALSE))</f>
        <v>3.8724373576309798E-2</v>
      </c>
    </row>
    <row r="157" spans="1:9" x14ac:dyDescent="0.25">
      <c r="A157" s="5" t="s">
        <v>2419</v>
      </c>
      <c r="B157" s="5" t="s">
        <v>38</v>
      </c>
      <c r="C157" s="5" t="s">
        <v>159</v>
      </c>
      <c r="D157" s="5">
        <v>17</v>
      </c>
      <c r="E157" s="5">
        <v>70</v>
      </c>
      <c r="F157" s="5">
        <v>1</v>
      </c>
      <c r="G157" s="6">
        <f t="shared" si="2"/>
        <v>5.8823529411764705E-2</v>
      </c>
      <c r="H157" s="5">
        <v>4.0999999999999996</v>
      </c>
      <c r="I157" s="6">
        <f>D157/(VLOOKUP(B157,'[1]2022 Team'!$B$2:$G$33,3,FALSE))</f>
        <v>4.0767386091127102E-2</v>
      </c>
    </row>
    <row r="158" spans="1:9" x14ac:dyDescent="0.25">
      <c r="A158" s="5" t="s">
        <v>469</v>
      </c>
      <c r="B158" s="5" t="s">
        <v>70</v>
      </c>
      <c r="C158" s="5" t="s">
        <v>159</v>
      </c>
      <c r="D158" s="5">
        <v>17</v>
      </c>
      <c r="E158" s="5">
        <v>78</v>
      </c>
      <c r="F158" s="5">
        <v>0</v>
      </c>
      <c r="G158" s="6">
        <f t="shared" si="2"/>
        <v>0</v>
      </c>
      <c r="H158" s="5">
        <v>4.5999999999999996</v>
      </c>
      <c r="I158" s="6">
        <f>D158/(VLOOKUP(B158,'[1]2022 Team'!$B$2:$G$33,3,FALSE))</f>
        <v>3.1598513011152414E-2</v>
      </c>
    </row>
    <row r="159" spans="1:9" x14ac:dyDescent="0.25">
      <c r="A159" s="5" t="s">
        <v>1720</v>
      </c>
      <c r="B159" s="5" t="s">
        <v>44</v>
      </c>
      <c r="C159" s="5" t="s">
        <v>163</v>
      </c>
      <c r="D159" s="5">
        <v>17</v>
      </c>
      <c r="E159" s="5">
        <v>80</v>
      </c>
      <c r="F159" s="5">
        <v>0</v>
      </c>
      <c r="G159" s="6">
        <f t="shared" si="2"/>
        <v>0</v>
      </c>
      <c r="H159" s="5">
        <v>4.7</v>
      </c>
      <c r="I159" s="6">
        <f>D159/(VLOOKUP(B159,'[1]2022 Team'!$B$2:$G$33,3,FALSE))</f>
        <v>4.1362530413625302E-2</v>
      </c>
    </row>
    <row r="160" spans="1:9" x14ac:dyDescent="0.25">
      <c r="A160" s="5" t="s">
        <v>1690</v>
      </c>
      <c r="B160" s="5" t="s">
        <v>66</v>
      </c>
      <c r="C160" s="5" t="s">
        <v>159</v>
      </c>
      <c r="D160" s="5">
        <v>17</v>
      </c>
      <c r="E160" s="5">
        <v>53</v>
      </c>
      <c r="F160" s="5">
        <v>0</v>
      </c>
      <c r="G160" s="6">
        <f t="shared" si="2"/>
        <v>0</v>
      </c>
      <c r="H160" s="5">
        <v>3.1</v>
      </c>
      <c r="I160" s="6">
        <f>D160/(VLOOKUP(B160,'[1]2022 Team'!$B$2:$G$33,3,FALSE))</f>
        <v>4.4041450777202069E-2</v>
      </c>
    </row>
    <row r="161" spans="1:9" x14ac:dyDescent="0.25">
      <c r="A161" s="5" t="s">
        <v>576</v>
      </c>
      <c r="B161" s="5" t="s">
        <v>40</v>
      </c>
      <c r="C161" s="5" t="s">
        <v>159</v>
      </c>
      <c r="D161" s="5">
        <v>17</v>
      </c>
      <c r="E161" s="5">
        <v>70</v>
      </c>
      <c r="F161" s="5">
        <v>0</v>
      </c>
      <c r="G161" s="6">
        <f t="shared" si="2"/>
        <v>0</v>
      </c>
      <c r="H161" s="5">
        <v>4.0999999999999996</v>
      </c>
      <c r="I161" s="6">
        <f>D161/(VLOOKUP(B161,'[1]2022 Team'!$B$2:$G$33,3,FALSE))</f>
        <v>3.9719626168224297E-2</v>
      </c>
    </row>
    <row r="162" spans="1:9" x14ac:dyDescent="0.25">
      <c r="A162" s="5" t="s">
        <v>133</v>
      </c>
      <c r="B162" s="5" t="s">
        <v>62</v>
      </c>
      <c r="C162" s="5" t="s">
        <v>82</v>
      </c>
      <c r="D162" s="5">
        <v>16</v>
      </c>
      <c r="E162" s="5">
        <v>67</v>
      </c>
      <c r="F162" s="5">
        <v>0</v>
      </c>
      <c r="G162" s="6">
        <f t="shared" si="2"/>
        <v>0</v>
      </c>
      <c r="H162" s="5">
        <v>4.2</v>
      </c>
      <c r="I162" s="6">
        <f>D162/(VLOOKUP(B162,'[1]2022 Team'!$B$2:$G$33,3,FALSE))</f>
        <v>3.1746031746031744E-2</v>
      </c>
    </row>
    <row r="163" spans="1:9" x14ac:dyDescent="0.25">
      <c r="A163" s="5" t="s">
        <v>2420</v>
      </c>
      <c r="B163" s="5" t="s">
        <v>26</v>
      </c>
      <c r="C163" s="5" t="s">
        <v>159</v>
      </c>
      <c r="D163" s="5">
        <v>16</v>
      </c>
      <c r="E163" s="5">
        <v>84</v>
      </c>
      <c r="F163" s="5">
        <v>1</v>
      </c>
      <c r="G163" s="6">
        <f t="shared" si="2"/>
        <v>6.25E-2</v>
      </c>
      <c r="H163" s="5">
        <v>5.3</v>
      </c>
      <c r="I163" s="6">
        <f>D163/(VLOOKUP(B163,'[1]2022 Team'!$B$2:$G$33,3,FALSE))</f>
        <v>3.6036036036036036E-2</v>
      </c>
    </row>
    <row r="164" spans="1:9" x14ac:dyDescent="0.25">
      <c r="A164" s="5" t="s">
        <v>1553</v>
      </c>
      <c r="B164" s="5" t="s">
        <v>10</v>
      </c>
      <c r="C164" s="5" t="s">
        <v>82</v>
      </c>
      <c r="D164" s="5">
        <v>16</v>
      </c>
      <c r="E164" s="5">
        <v>64</v>
      </c>
      <c r="F164" s="5">
        <v>0</v>
      </c>
      <c r="G164" s="6">
        <f t="shared" si="2"/>
        <v>0</v>
      </c>
      <c r="H164" s="5">
        <v>4</v>
      </c>
      <c r="I164" s="6">
        <f>D164/(VLOOKUP(B164,'[1]2022 Team'!$B$2:$G$33,3,FALSE))</f>
        <v>2.8622540250447227E-2</v>
      </c>
    </row>
    <row r="165" spans="1:9" x14ac:dyDescent="0.25">
      <c r="A165" s="5" t="s">
        <v>2421</v>
      </c>
      <c r="B165" s="5" t="s">
        <v>8</v>
      </c>
      <c r="C165" s="5" t="s">
        <v>159</v>
      </c>
      <c r="D165" s="5">
        <v>15</v>
      </c>
      <c r="E165" s="5">
        <v>55</v>
      </c>
      <c r="F165" s="5">
        <v>1</v>
      </c>
      <c r="G165" s="6">
        <f t="shared" si="2"/>
        <v>6.6666666666666666E-2</v>
      </c>
      <c r="H165" s="5">
        <v>3.7</v>
      </c>
      <c r="I165" s="6">
        <f>D165/(VLOOKUP(B165,'[1]2022 Team'!$B$2:$G$33,3,FALSE))</f>
        <v>3.4562211981566823E-2</v>
      </c>
    </row>
    <row r="166" spans="1:9" x14ac:dyDescent="0.25">
      <c r="A166" s="5" t="s">
        <v>2422</v>
      </c>
      <c r="B166" s="5" t="s">
        <v>34</v>
      </c>
      <c r="C166" s="5" t="s">
        <v>159</v>
      </c>
      <c r="D166" s="5">
        <v>15</v>
      </c>
      <c r="E166" s="5">
        <v>49</v>
      </c>
      <c r="F166" s="5">
        <v>0</v>
      </c>
      <c r="G166" s="6">
        <f t="shared" si="2"/>
        <v>0</v>
      </c>
      <c r="H166" s="5">
        <v>3.3</v>
      </c>
      <c r="I166" s="6">
        <f>D166/(VLOOKUP(B166,'[1]2022 Team'!$B$2:$G$33,3,FALSE))</f>
        <v>3.4168564920273349E-2</v>
      </c>
    </row>
    <row r="167" spans="1:9" x14ac:dyDescent="0.25">
      <c r="A167" s="5" t="s">
        <v>2368</v>
      </c>
      <c r="B167" s="5" t="s">
        <v>8</v>
      </c>
      <c r="C167" s="5" t="s">
        <v>82</v>
      </c>
      <c r="D167" s="5">
        <v>15</v>
      </c>
      <c r="E167" s="5">
        <v>61</v>
      </c>
      <c r="F167" s="5">
        <v>0</v>
      </c>
      <c r="G167" s="6">
        <f t="shared" si="2"/>
        <v>0</v>
      </c>
      <c r="H167" s="5">
        <v>4.0999999999999996</v>
      </c>
      <c r="I167" s="6">
        <f>D167/(VLOOKUP(B167,'[1]2022 Team'!$B$2:$G$33,3,FALSE))</f>
        <v>3.4562211981566823E-2</v>
      </c>
    </row>
    <row r="168" spans="1:9" x14ac:dyDescent="0.25">
      <c r="A168" s="5" t="s">
        <v>1684</v>
      </c>
      <c r="B168" s="5" t="s">
        <v>18</v>
      </c>
      <c r="C168" s="5" t="s">
        <v>159</v>
      </c>
      <c r="D168" s="5">
        <v>14</v>
      </c>
      <c r="E168" s="5">
        <v>64</v>
      </c>
      <c r="F168" s="5">
        <v>0</v>
      </c>
      <c r="G168" s="6">
        <f t="shared" si="2"/>
        <v>0</v>
      </c>
      <c r="H168" s="5">
        <v>4.5999999999999996</v>
      </c>
      <c r="I168" s="6">
        <f>D168/(VLOOKUP(B168,'[1]2022 Team'!$B$2:$G$33,3,FALSE))</f>
        <v>2.5089605734767026E-2</v>
      </c>
    </row>
    <row r="169" spans="1:9" x14ac:dyDescent="0.25">
      <c r="A169" s="5" t="s">
        <v>2366</v>
      </c>
      <c r="B169" s="5" t="s">
        <v>8</v>
      </c>
      <c r="C169" s="5" t="s">
        <v>82</v>
      </c>
      <c r="D169" s="5">
        <v>14</v>
      </c>
      <c r="E169" s="5">
        <v>36</v>
      </c>
      <c r="F169" s="5">
        <v>0</v>
      </c>
      <c r="G169" s="6">
        <f t="shared" si="2"/>
        <v>0</v>
      </c>
      <c r="H169" s="5">
        <v>2.6</v>
      </c>
      <c r="I169" s="6">
        <f>D169/(VLOOKUP(B169,'[1]2022 Team'!$B$2:$G$33,3,FALSE))</f>
        <v>3.2258064516129031E-2</v>
      </c>
    </row>
    <row r="170" spans="1:9" x14ac:dyDescent="0.25">
      <c r="A170" s="5" t="s">
        <v>782</v>
      </c>
      <c r="B170" s="5" t="s">
        <v>40</v>
      </c>
      <c r="C170" s="5" t="s">
        <v>82</v>
      </c>
      <c r="D170" s="5">
        <v>14</v>
      </c>
      <c r="E170" s="5">
        <v>84</v>
      </c>
      <c r="F170" s="5">
        <v>0</v>
      </c>
      <c r="G170" s="6">
        <f t="shared" si="2"/>
        <v>0</v>
      </c>
      <c r="H170" s="5">
        <v>6</v>
      </c>
      <c r="I170" s="6">
        <f>D170/(VLOOKUP(B170,'[1]2022 Team'!$B$2:$G$33,3,FALSE))</f>
        <v>3.2710280373831772E-2</v>
      </c>
    </row>
    <row r="171" spans="1:9" x14ac:dyDescent="0.25">
      <c r="A171" s="5" t="s">
        <v>2078</v>
      </c>
      <c r="B171" s="5" t="s">
        <v>46</v>
      </c>
      <c r="C171" s="5" t="s">
        <v>82</v>
      </c>
      <c r="D171" s="5">
        <v>14</v>
      </c>
      <c r="E171" s="5">
        <v>21</v>
      </c>
      <c r="F171" s="5">
        <v>0</v>
      </c>
      <c r="G171" s="6">
        <f t="shared" si="2"/>
        <v>0</v>
      </c>
      <c r="H171" s="5">
        <v>1.5</v>
      </c>
      <c r="I171" s="6">
        <f>D171/(VLOOKUP(B171,'[1]2022 Team'!$B$2:$G$33,3,FALSE))</f>
        <v>3.5897435897435895E-2</v>
      </c>
    </row>
    <row r="172" spans="1:9" x14ac:dyDescent="0.25">
      <c r="A172" s="5" t="s">
        <v>2423</v>
      </c>
      <c r="B172" s="5" t="s">
        <v>42</v>
      </c>
      <c r="C172" s="5" t="s">
        <v>159</v>
      </c>
      <c r="D172" s="5">
        <v>13</v>
      </c>
      <c r="E172" s="5">
        <v>19</v>
      </c>
      <c r="F172" s="5">
        <v>0</v>
      </c>
      <c r="G172" s="6">
        <f t="shared" si="2"/>
        <v>0</v>
      </c>
      <c r="H172" s="5">
        <v>1.5</v>
      </c>
      <c r="I172" s="6">
        <f>D172/(VLOOKUP(B172,'[1]2022 Team'!$B$2:$G$33,3,FALSE))</f>
        <v>3.2178217821782179E-2</v>
      </c>
    </row>
    <row r="173" spans="1:9" x14ac:dyDescent="0.25">
      <c r="A173" s="5" t="s">
        <v>798</v>
      </c>
      <c r="B173" s="5" t="s">
        <v>60</v>
      </c>
      <c r="C173" s="5" t="s">
        <v>163</v>
      </c>
      <c r="D173" s="5">
        <v>13</v>
      </c>
      <c r="E173" s="5">
        <v>70</v>
      </c>
      <c r="F173" s="5">
        <v>0</v>
      </c>
      <c r="G173" s="6">
        <f t="shared" si="2"/>
        <v>0</v>
      </c>
      <c r="H173" s="5">
        <v>5.4</v>
      </c>
      <c r="I173" s="6">
        <f>D173/(VLOOKUP(B173,'[1]2022 Team'!$B$2:$G$33,3,FALSE))</f>
        <v>2.5999999999999999E-2</v>
      </c>
    </row>
    <row r="174" spans="1:9" x14ac:dyDescent="0.25">
      <c r="A174" s="5" t="s">
        <v>84</v>
      </c>
      <c r="B174" s="5" t="s">
        <v>44</v>
      </c>
      <c r="C174" s="5" t="s">
        <v>82</v>
      </c>
      <c r="D174" s="5">
        <v>13</v>
      </c>
      <c r="E174" s="5">
        <v>9</v>
      </c>
      <c r="F174" s="5">
        <v>1</v>
      </c>
      <c r="G174" s="6">
        <f t="shared" si="2"/>
        <v>7.6923076923076927E-2</v>
      </c>
      <c r="H174" s="5">
        <v>0.7</v>
      </c>
      <c r="I174" s="6">
        <f>D174/(VLOOKUP(B174,'[1]2022 Team'!$B$2:$G$33,3,FALSE))</f>
        <v>3.1630170316301706E-2</v>
      </c>
    </row>
    <row r="175" spans="1:9" x14ac:dyDescent="0.25">
      <c r="A175" s="5" t="s">
        <v>2424</v>
      </c>
      <c r="B175" s="5" t="s">
        <v>34</v>
      </c>
      <c r="C175" s="5" t="s">
        <v>159</v>
      </c>
      <c r="D175" s="5">
        <v>13</v>
      </c>
      <c r="E175" s="5">
        <v>58</v>
      </c>
      <c r="F175" s="5">
        <v>0</v>
      </c>
      <c r="G175" s="6">
        <f t="shared" si="2"/>
        <v>0</v>
      </c>
      <c r="H175" s="5">
        <v>4.5</v>
      </c>
      <c r="I175" s="6">
        <f>D175/(VLOOKUP(B175,'[1]2022 Team'!$B$2:$G$33,3,FALSE))</f>
        <v>2.9612756264236904E-2</v>
      </c>
    </row>
    <row r="176" spans="1:9" x14ac:dyDescent="0.25">
      <c r="A176" s="5" t="s">
        <v>1722</v>
      </c>
      <c r="B176" s="5" t="s">
        <v>36</v>
      </c>
      <c r="C176" s="5" t="s">
        <v>163</v>
      </c>
      <c r="D176" s="5">
        <v>12</v>
      </c>
      <c r="E176" s="5">
        <v>86</v>
      </c>
      <c r="F176" s="5">
        <v>0</v>
      </c>
      <c r="G176" s="6">
        <f t="shared" si="2"/>
        <v>0</v>
      </c>
      <c r="H176" s="5">
        <v>7.2</v>
      </c>
      <c r="I176" s="6">
        <f>D176/(VLOOKUP(B176,'[1]2022 Team'!$B$2:$G$33,3,FALSE))</f>
        <v>2.6785714285714284E-2</v>
      </c>
    </row>
    <row r="177" spans="1:9" x14ac:dyDescent="0.25">
      <c r="A177" s="5" t="s">
        <v>1695</v>
      </c>
      <c r="B177" s="5" t="s">
        <v>46</v>
      </c>
      <c r="C177" s="5" t="s">
        <v>159</v>
      </c>
      <c r="D177" s="5">
        <v>12</v>
      </c>
      <c r="E177" s="5">
        <v>64</v>
      </c>
      <c r="F177" s="5">
        <v>1</v>
      </c>
      <c r="G177" s="6">
        <f t="shared" si="2"/>
        <v>8.3333333333333329E-2</v>
      </c>
      <c r="H177" s="5">
        <v>5.3</v>
      </c>
      <c r="I177" s="6">
        <f>D177/(VLOOKUP(B177,'[1]2022 Team'!$B$2:$G$33,3,FALSE))</f>
        <v>3.0769230769230771E-2</v>
      </c>
    </row>
    <row r="178" spans="1:9" x14ac:dyDescent="0.25">
      <c r="A178" s="5" t="s">
        <v>2425</v>
      </c>
      <c r="B178" s="5" t="s">
        <v>62</v>
      </c>
      <c r="C178" s="5" t="s">
        <v>159</v>
      </c>
      <c r="D178" s="5">
        <v>12</v>
      </c>
      <c r="E178" s="5">
        <v>26</v>
      </c>
      <c r="F178" s="5">
        <v>1</v>
      </c>
      <c r="G178" s="6">
        <f t="shared" si="2"/>
        <v>8.3333333333333329E-2</v>
      </c>
      <c r="H178" s="5">
        <v>2.2000000000000002</v>
      </c>
      <c r="I178" s="6">
        <f>D178/(VLOOKUP(B178,'[1]2022 Team'!$B$2:$G$33,3,FALSE))</f>
        <v>2.3809523809523808E-2</v>
      </c>
    </row>
    <row r="179" spans="1:9" x14ac:dyDescent="0.25">
      <c r="A179" s="5" t="s">
        <v>2426</v>
      </c>
      <c r="B179" s="5" t="s">
        <v>36</v>
      </c>
      <c r="C179" s="5" t="s">
        <v>159</v>
      </c>
      <c r="D179" s="5">
        <v>12</v>
      </c>
      <c r="E179" s="5">
        <v>42</v>
      </c>
      <c r="F179" s="5">
        <v>1</v>
      </c>
      <c r="G179" s="6">
        <f t="shared" si="2"/>
        <v>8.3333333333333329E-2</v>
      </c>
      <c r="H179" s="5">
        <v>3.5</v>
      </c>
      <c r="I179" s="6">
        <f>D179/(VLOOKUP(B179,'[1]2022 Team'!$B$2:$G$33,3,FALSE))</f>
        <v>2.6785714285714284E-2</v>
      </c>
    </row>
    <row r="180" spans="1:9" x14ac:dyDescent="0.25">
      <c r="A180" s="5" t="s">
        <v>837</v>
      </c>
      <c r="B180" s="5" t="s">
        <v>12</v>
      </c>
      <c r="C180" s="5" t="s">
        <v>163</v>
      </c>
      <c r="D180" s="5">
        <v>12</v>
      </c>
      <c r="E180" s="5">
        <v>84</v>
      </c>
      <c r="F180" s="5">
        <v>1</v>
      </c>
      <c r="G180" s="6">
        <f t="shared" si="2"/>
        <v>8.3333333333333329E-2</v>
      </c>
      <c r="H180" s="5">
        <v>7</v>
      </c>
      <c r="I180" s="6">
        <f>D180/(VLOOKUP(B180,'[1]2022 Team'!$B$2:$G$33,3,FALSE))</f>
        <v>2.2813688212927757E-2</v>
      </c>
    </row>
    <row r="181" spans="1:9" x14ac:dyDescent="0.25">
      <c r="A181" s="5" t="s">
        <v>2427</v>
      </c>
      <c r="B181" s="5" t="s">
        <v>52</v>
      </c>
      <c r="C181" s="5" t="s">
        <v>159</v>
      </c>
      <c r="D181" s="5">
        <v>12</v>
      </c>
      <c r="E181" s="5">
        <v>24</v>
      </c>
      <c r="F181" s="5">
        <v>0</v>
      </c>
      <c r="G181" s="6">
        <f t="shared" si="2"/>
        <v>0</v>
      </c>
      <c r="H181" s="5">
        <v>2</v>
      </c>
      <c r="I181" s="6">
        <f>D181/(VLOOKUP(B181,'[1]2022 Team'!$B$2:$G$33,3,FALSE))</f>
        <v>2.5806451612903226E-2</v>
      </c>
    </row>
    <row r="182" spans="1:9" x14ac:dyDescent="0.25">
      <c r="A182" s="5" t="s">
        <v>2428</v>
      </c>
      <c r="B182" s="5" t="s">
        <v>52</v>
      </c>
      <c r="C182" s="5" t="s">
        <v>159</v>
      </c>
      <c r="D182" s="5">
        <v>11</v>
      </c>
      <c r="E182" s="5">
        <v>38</v>
      </c>
      <c r="F182" s="5">
        <v>0</v>
      </c>
      <c r="G182" s="6">
        <f t="shared" si="2"/>
        <v>0</v>
      </c>
      <c r="H182" s="5">
        <v>3.5</v>
      </c>
      <c r="I182" s="6">
        <f>D182/(VLOOKUP(B182,'[1]2022 Team'!$B$2:$G$33,3,FALSE))</f>
        <v>2.3655913978494623E-2</v>
      </c>
    </row>
    <row r="183" spans="1:9" x14ac:dyDescent="0.25">
      <c r="A183" s="5" t="s">
        <v>672</v>
      </c>
      <c r="B183" s="5" t="s">
        <v>46</v>
      </c>
      <c r="C183" s="5" t="s">
        <v>159</v>
      </c>
      <c r="D183" s="5">
        <v>10</v>
      </c>
      <c r="E183" s="5">
        <v>26</v>
      </c>
      <c r="F183" s="5">
        <v>0</v>
      </c>
      <c r="G183" s="6">
        <f t="shared" si="2"/>
        <v>0</v>
      </c>
      <c r="H183" s="5">
        <v>2.6</v>
      </c>
      <c r="I183" s="6">
        <f>D183/(VLOOKUP(B183,'[1]2022 Team'!$B$2:$G$33,3,FALSE))</f>
        <v>2.564102564102564E-2</v>
      </c>
    </row>
    <row r="184" spans="1:9" x14ac:dyDescent="0.25">
      <c r="A184" s="5" t="s">
        <v>785</v>
      </c>
      <c r="B184" s="5" t="s">
        <v>24</v>
      </c>
      <c r="C184" s="5" t="s">
        <v>163</v>
      </c>
      <c r="D184" s="5">
        <v>10</v>
      </c>
      <c r="E184" s="5">
        <v>47</v>
      </c>
      <c r="F184" s="5">
        <v>0</v>
      </c>
      <c r="G184" s="6">
        <f t="shared" si="2"/>
        <v>0</v>
      </c>
      <c r="H184" s="5">
        <v>4.7</v>
      </c>
      <c r="I184" s="6">
        <f>D184/(VLOOKUP(B184,'[1]2022 Team'!$B$2:$G$33,3,FALSE))</f>
        <v>1.8832391713747645E-2</v>
      </c>
    </row>
    <row r="185" spans="1:9" x14ac:dyDescent="0.25">
      <c r="A185" s="5" t="s">
        <v>167</v>
      </c>
      <c r="B185" s="5" t="s">
        <v>16</v>
      </c>
      <c r="C185" s="5" t="s">
        <v>163</v>
      </c>
      <c r="D185" s="5">
        <v>10</v>
      </c>
      <c r="E185" s="5">
        <v>53</v>
      </c>
      <c r="F185" s="5">
        <v>0</v>
      </c>
      <c r="G185" s="6">
        <f t="shared" ref="G185:G245" si="3">F185/D185</f>
        <v>0</v>
      </c>
      <c r="H185" s="5">
        <v>5.3</v>
      </c>
      <c r="I185" s="6">
        <f>D185/(VLOOKUP(B185,'[1]2022 Team'!$B$2:$G$33,3,FALSE))</f>
        <v>2.0703933747412008E-2</v>
      </c>
    </row>
    <row r="186" spans="1:9" x14ac:dyDescent="0.25">
      <c r="A186" s="5" t="s">
        <v>1670</v>
      </c>
      <c r="B186" s="5" t="s">
        <v>50</v>
      </c>
      <c r="C186" s="5" t="s">
        <v>159</v>
      </c>
      <c r="D186" s="5">
        <v>10</v>
      </c>
      <c r="E186" s="5">
        <v>100</v>
      </c>
      <c r="F186" s="5">
        <v>1</v>
      </c>
      <c r="G186" s="6">
        <f t="shared" si="3"/>
        <v>0.1</v>
      </c>
      <c r="H186" s="5">
        <v>10</v>
      </c>
      <c r="I186" s="6">
        <f>D186/(VLOOKUP(B186,'[1]2022 Team'!$B$2:$G$33,3,FALSE))</f>
        <v>2.3529411764705882E-2</v>
      </c>
    </row>
    <row r="187" spans="1:9" x14ac:dyDescent="0.25">
      <c r="A187" s="5" t="s">
        <v>2141</v>
      </c>
      <c r="B187" s="5" t="s">
        <v>50</v>
      </c>
      <c r="C187" s="5" t="s">
        <v>159</v>
      </c>
      <c r="D187" s="5">
        <v>10</v>
      </c>
      <c r="E187" s="5">
        <v>9</v>
      </c>
      <c r="F187" s="5">
        <v>0</v>
      </c>
      <c r="G187" s="6">
        <f t="shared" si="3"/>
        <v>0</v>
      </c>
      <c r="H187" s="5">
        <v>0.9</v>
      </c>
      <c r="I187" s="6">
        <f>D187/(VLOOKUP(B187,'[1]2022 Team'!$B$2:$G$33,3,FALSE))</f>
        <v>2.3529411764705882E-2</v>
      </c>
    </row>
    <row r="188" spans="1:9" x14ac:dyDescent="0.25">
      <c r="A188" s="5" t="s">
        <v>1683</v>
      </c>
      <c r="B188" s="5" t="s">
        <v>30</v>
      </c>
      <c r="C188" s="5" t="s">
        <v>159</v>
      </c>
      <c r="D188" s="5">
        <v>10</v>
      </c>
      <c r="E188" s="5">
        <v>31</v>
      </c>
      <c r="F188" s="5">
        <v>0</v>
      </c>
      <c r="G188" s="6">
        <f t="shared" si="3"/>
        <v>0</v>
      </c>
      <c r="H188" s="5">
        <v>3.1</v>
      </c>
      <c r="I188" s="6">
        <f>D188/(VLOOKUP(B188,'[1]2022 Team'!$B$2:$G$33,3,FALSE))</f>
        <v>2.1929824561403508E-2</v>
      </c>
    </row>
    <row r="189" spans="1:9" x14ac:dyDescent="0.25">
      <c r="A189" s="5" t="s">
        <v>1556</v>
      </c>
      <c r="B189" s="5" t="s">
        <v>50</v>
      </c>
      <c r="C189" s="5" t="s">
        <v>82</v>
      </c>
      <c r="D189" s="5">
        <v>10</v>
      </c>
      <c r="E189" s="5">
        <v>0</v>
      </c>
      <c r="F189" s="5">
        <v>0</v>
      </c>
      <c r="G189" s="6">
        <f t="shared" si="3"/>
        <v>0</v>
      </c>
      <c r="H189" s="5">
        <v>0</v>
      </c>
      <c r="I189" s="6">
        <f>D189/(VLOOKUP(B189,'[1]2022 Team'!$B$2:$G$33,3,FALSE))</f>
        <v>2.3529411764705882E-2</v>
      </c>
    </row>
    <row r="190" spans="1:9" x14ac:dyDescent="0.25">
      <c r="A190" s="5" t="s">
        <v>1689</v>
      </c>
      <c r="B190" s="5" t="s">
        <v>52</v>
      </c>
      <c r="C190" s="5" t="s">
        <v>159</v>
      </c>
      <c r="D190" s="5">
        <v>2</v>
      </c>
      <c r="E190" s="5">
        <v>8</v>
      </c>
      <c r="F190" s="5">
        <v>0</v>
      </c>
      <c r="G190" s="6">
        <f t="shared" si="3"/>
        <v>0</v>
      </c>
      <c r="H190" s="5">
        <v>4</v>
      </c>
      <c r="I190" s="6">
        <f>D190/(VLOOKUP(B190,'[1]2022 Team'!$B$2:$G$33,3,FALSE))</f>
        <v>4.3010752688172043E-3</v>
      </c>
    </row>
    <row r="191" spans="1:9" x14ac:dyDescent="0.25">
      <c r="A191" s="5" t="s">
        <v>1689</v>
      </c>
      <c r="B191" s="5" t="s">
        <v>64</v>
      </c>
      <c r="C191" s="5" t="s">
        <v>159</v>
      </c>
      <c r="D191" s="5">
        <v>8</v>
      </c>
      <c r="E191" s="5">
        <v>16</v>
      </c>
      <c r="F191" s="5">
        <v>0</v>
      </c>
      <c r="G191" s="6">
        <f t="shared" si="3"/>
        <v>0</v>
      </c>
      <c r="H191" s="5">
        <v>2</v>
      </c>
      <c r="I191" s="6">
        <f>D191/(VLOOKUP(B191,'[1]2022 Team'!$B$2:$G$33,3,FALSE))</f>
        <v>1.8823529411764704E-2</v>
      </c>
    </row>
    <row r="192" spans="1:9" x14ac:dyDescent="0.25">
      <c r="A192" s="5" t="s">
        <v>926</v>
      </c>
      <c r="B192" s="5" t="s">
        <v>44</v>
      </c>
      <c r="C192" s="5" t="s">
        <v>163</v>
      </c>
      <c r="D192" s="5">
        <v>9</v>
      </c>
      <c r="E192" s="5">
        <v>34</v>
      </c>
      <c r="F192" s="5">
        <v>1</v>
      </c>
      <c r="G192" s="6">
        <f t="shared" si="3"/>
        <v>0.1111111111111111</v>
      </c>
      <c r="H192" s="5">
        <v>3.8</v>
      </c>
      <c r="I192" s="6">
        <f>D192/(VLOOKUP(B192,'[1]2022 Team'!$B$2:$G$33,3,FALSE))</f>
        <v>2.1897810218978103E-2</v>
      </c>
    </row>
    <row r="193" spans="1:9" x14ac:dyDescent="0.25">
      <c r="A193" s="5" t="s">
        <v>885</v>
      </c>
      <c r="B193" s="5" t="s">
        <v>56</v>
      </c>
      <c r="C193" s="5" t="s">
        <v>163</v>
      </c>
      <c r="D193" s="5">
        <v>9</v>
      </c>
      <c r="E193" s="5">
        <v>91</v>
      </c>
      <c r="F193" s="5">
        <v>2</v>
      </c>
      <c r="G193" s="6">
        <f t="shared" si="3"/>
        <v>0.22222222222222221</v>
      </c>
      <c r="H193" s="5">
        <v>10.1</v>
      </c>
      <c r="I193" s="6">
        <f>D193/(VLOOKUP(B193,'[1]2022 Team'!$B$2:$G$33,3,FALSE))</f>
        <v>2.2222222222222223E-2</v>
      </c>
    </row>
    <row r="194" spans="1:9" x14ac:dyDescent="0.25">
      <c r="A194" s="5" t="s">
        <v>2429</v>
      </c>
      <c r="B194" s="5" t="s">
        <v>16</v>
      </c>
      <c r="C194" s="5" t="s">
        <v>159</v>
      </c>
      <c r="D194" s="5">
        <v>9</v>
      </c>
      <c r="E194" s="5">
        <v>43</v>
      </c>
      <c r="F194" s="5">
        <v>0</v>
      </c>
      <c r="G194" s="6">
        <f t="shared" si="3"/>
        <v>0</v>
      </c>
      <c r="H194" s="5">
        <v>4.8</v>
      </c>
      <c r="I194" s="6">
        <f>D194/(VLOOKUP(B194,'[1]2022 Team'!$B$2:$G$33,3,FALSE))</f>
        <v>1.8633540372670808E-2</v>
      </c>
    </row>
    <row r="195" spans="1:9" x14ac:dyDescent="0.25">
      <c r="A195" s="5" t="s">
        <v>591</v>
      </c>
      <c r="B195" s="5" t="s">
        <v>68</v>
      </c>
      <c r="C195" s="5" t="s">
        <v>159</v>
      </c>
      <c r="D195" s="5">
        <v>9</v>
      </c>
      <c r="E195" s="5">
        <v>12</v>
      </c>
      <c r="F195" s="5">
        <v>0</v>
      </c>
      <c r="G195" s="6">
        <f t="shared" si="3"/>
        <v>0</v>
      </c>
      <c r="H195" s="5">
        <v>1.3</v>
      </c>
      <c r="I195" s="6">
        <f>D195/(VLOOKUP(B195,'[1]2022 Team'!$B$2:$G$33,3,FALSE))</f>
        <v>1.8480492813141684E-2</v>
      </c>
    </row>
    <row r="196" spans="1:9" x14ac:dyDescent="0.25">
      <c r="A196" s="5" t="s">
        <v>658</v>
      </c>
      <c r="B196" s="5" t="s">
        <v>18</v>
      </c>
      <c r="C196" s="5" t="s">
        <v>163</v>
      </c>
      <c r="D196" s="5">
        <v>9</v>
      </c>
      <c r="E196" s="5">
        <v>103</v>
      </c>
      <c r="F196" s="5">
        <v>1</v>
      </c>
      <c r="G196" s="6">
        <f t="shared" si="3"/>
        <v>0.1111111111111111</v>
      </c>
      <c r="H196" s="5">
        <v>11.4</v>
      </c>
      <c r="I196" s="6">
        <f>D196/(VLOOKUP(B196,'[1]2022 Team'!$B$2:$G$33,3,FALSE))</f>
        <v>1.6129032258064516E-2</v>
      </c>
    </row>
    <row r="197" spans="1:9" x14ac:dyDescent="0.25">
      <c r="A197" s="5" t="s">
        <v>181</v>
      </c>
      <c r="B197" s="5" t="s">
        <v>44</v>
      </c>
      <c r="C197" s="5" t="s">
        <v>163</v>
      </c>
      <c r="D197" s="5">
        <v>9</v>
      </c>
      <c r="E197" s="5">
        <v>52</v>
      </c>
      <c r="F197" s="5">
        <v>1</v>
      </c>
      <c r="G197" s="6">
        <f t="shared" si="3"/>
        <v>0.1111111111111111</v>
      </c>
      <c r="H197" s="5">
        <v>5.8</v>
      </c>
      <c r="I197" s="6">
        <f>D197/(VLOOKUP(B197,'[1]2022 Team'!$B$2:$G$33,3,FALSE))</f>
        <v>2.1897810218978103E-2</v>
      </c>
    </row>
    <row r="198" spans="1:9" x14ac:dyDescent="0.25">
      <c r="A198" s="5" t="s">
        <v>1731</v>
      </c>
      <c r="B198" s="5" t="s">
        <v>14</v>
      </c>
      <c r="C198" s="5" t="s">
        <v>163</v>
      </c>
      <c r="D198" s="5">
        <v>9</v>
      </c>
      <c r="E198" s="5">
        <v>55</v>
      </c>
      <c r="F198" s="5">
        <v>1</v>
      </c>
      <c r="G198" s="6">
        <f t="shared" si="3"/>
        <v>0.1111111111111111</v>
      </c>
      <c r="H198" s="5">
        <v>6.1</v>
      </c>
      <c r="I198" s="6">
        <f>D198/(VLOOKUP(B198,'[1]2022 Team'!$B$2:$G$33,3,FALSE))</f>
        <v>2.0930232558139535E-2</v>
      </c>
    </row>
    <row r="199" spans="1:9" x14ac:dyDescent="0.25">
      <c r="A199" s="5" t="s">
        <v>561</v>
      </c>
      <c r="B199" s="5" t="s">
        <v>48</v>
      </c>
      <c r="C199" s="5" t="s">
        <v>159</v>
      </c>
      <c r="D199" s="5">
        <v>9</v>
      </c>
      <c r="E199" s="5">
        <v>14</v>
      </c>
      <c r="F199" s="5">
        <v>0</v>
      </c>
      <c r="G199" s="6">
        <f t="shared" si="3"/>
        <v>0</v>
      </c>
      <c r="H199" s="5">
        <v>1.6</v>
      </c>
      <c r="I199" s="6">
        <f>D199/(VLOOKUP(B199,'[1]2022 Team'!$B$2:$G$33,3,FALSE))</f>
        <v>2.2277227722772276E-2</v>
      </c>
    </row>
    <row r="200" spans="1:9" x14ac:dyDescent="0.25">
      <c r="A200" s="5" t="s">
        <v>620</v>
      </c>
      <c r="B200" s="5" t="s">
        <v>44</v>
      </c>
      <c r="C200" s="5" t="s">
        <v>159</v>
      </c>
      <c r="D200" s="5">
        <v>9</v>
      </c>
      <c r="E200" s="5">
        <v>21</v>
      </c>
      <c r="F200" s="5">
        <v>0</v>
      </c>
      <c r="G200" s="6">
        <f t="shared" si="3"/>
        <v>0</v>
      </c>
      <c r="H200" s="5">
        <v>2.2999999999999998</v>
      </c>
      <c r="I200" s="6">
        <f>D200/(VLOOKUP(B200,'[1]2022 Team'!$B$2:$G$33,3,FALSE))</f>
        <v>2.1897810218978103E-2</v>
      </c>
    </row>
    <row r="201" spans="1:9" x14ac:dyDescent="0.25">
      <c r="A201" s="5" t="s">
        <v>136</v>
      </c>
      <c r="B201" s="5" t="s">
        <v>24</v>
      </c>
      <c r="C201" s="5" t="s">
        <v>82</v>
      </c>
      <c r="D201" s="5">
        <v>9</v>
      </c>
      <c r="E201" s="5">
        <v>6</v>
      </c>
      <c r="F201" s="5">
        <v>0</v>
      </c>
      <c r="G201" s="6">
        <f t="shared" si="3"/>
        <v>0</v>
      </c>
      <c r="H201" s="5">
        <v>0.7</v>
      </c>
      <c r="I201" s="6">
        <f>D201/(VLOOKUP(B201,'[1]2022 Team'!$B$2:$G$33,3,FALSE))</f>
        <v>1.6949152542372881E-2</v>
      </c>
    </row>
    <row r="202" spans="1:9" x14ac:dyDescent="0.25">
      <c r="A202" s="5" t="s">
        <v>1705</v>
      </c>
      <c r="B202" s="5" t="s">
        <v>16</v>
      </c>
      <c r="C202" s="5" t="s">
        <v>163</v>
      </c>
      <c r="D202" s="5">
        <v>9</v>
      </c>
      <c r="E202" s="5">
        <v>65</v>
      </c>
      <c r="F202" s="5">
        <v>1</v>
      </c>
      <c r="G202" s="6">
        <f t="shared" si="3"/>
        <v>0.1111111111111111</v>
      </c>
      <c r="H202" s="5">
        <v>7.2</v>
      </c>
      <c r="I202" s="6">
        <f>D202/(VLOOKUP(B202,'[1]2022 Team'!$B$2:$G$33,3,FALSE))</f>
        <v>1.8633540372670808E-2</v>
      </c>
    </row>
    <row r="203" spans="1:9" x14ac:dyDescent="0.25">
      <c r="A203" s="5" t="s">
        <v>689</v>
      </c>
      <c r="B203" s="5" t="s">
        <v>28</v>
      </c>
      <c r="C203" s="5" t="s">
        <v>163</v>
      </c>
      <c r="D203" s="5">
        <v>9</v>
      </c>
      <c r="E203" s="5">
        <v>95</v>
      </c>
      <c r="F203" s="5">
        <v>0</v>
      </c>
      <c r="G203" s="6">
        <f t="shared" si="3"/>
        <v>0</v>
      </c>
      <c r="H203" s="5">
        <v>10.6</v>
      </c>
      <c r="I203" s="6">
        <f>D203/(VLOOKUP(B203,'[1]2022 Team'!$B$2:$G$33,3,FALSE))</f>
        <v>1.8749999999999999E-2</v>
      </c>
    </row>
    <row r="204" spans="1:9" x14ac:dyDescent="0.25">
      <c r="A204" s="5" t="s">
        <v>2375</v>
      </c>
      <c r="B204" s="5" t="s">
        <v>56</v>
      </c>
      <c r="C204" s="5" t="s">
        <v>82</v>
      </c>
      <c r="D204" s="5">
        <v>9</v>
      </c>
      <c r="E204" s="5">
        <v>54</v>
      </c>
      <c r="F204" s="5">
        <v>0</v>
      </c>
      <c r="G204" s="6">
        <f t="shared" si="3"/>
        <v>0</v>
      </c>
      <c r="H204" s="5">
        <v>6</v>
      </c>
      <c r="I204" s="6">
        <f>D204/(VLOOKUP(B204,'[1]2022 Team'!$B$2:$G$33,3,FALSE))</f>
        <v>2.2222222222222223E-2</v>
      </c>
    </row>
    <row r="205" spans="1:9" x14ac:dyDescent="0.25">
      <c r="A205" s="5" t="s">
        <v>2430</v>
      </c>
      <c r="B205" s="5" t="s">
        <v>60</v>
      </c>
      <c r="C205" s="5" t="s">
        <v>613</v>
      </c>
      <c r="D205" s="5">
        <v>9</v>
      </c>
      <c r="E205" s="5">
        <v>21</v>
      </c>
      <c r="F205" s="5">
        <v>1</v>
      </c>
      <c r="G205" s="6">
        <f t="shared" si="3"/>
        <v>0.1111111111111111</v>
      </c>
      <c r="H205" s="5">
        <v>2.2999999999999998</v>
      </c>
      <c r="I205" s="6">
        <f>D205/(VLOOKUP(B205,'[1]2022 Team'!$B$2:$G$33,3,FALSE))</f>
        <v>1.7999999999999999E-2</v>
      </c>
    </row>
    <row r="206" spans="1:9" x14ac:dyDescent="0.25">
      <c r="A206" s="5" t="s">
        <v>1783</v>
      </c>
      <c r="B206" s="5" t="s">
        <v>60</v>
      </c>
      <c r="C206" s="5" t="s">
        <v>163</v>
      </c>
      <c r="D206" s="5">
        <v>8</v>
      </c>
      <c r="E206" s="5">
        <v>55</v>
      </c>
      <c r="F206" s="5">
        <v>0</v>
      </c>
      <c r="G206" s="6">
        <f t="shared" si="3"/>
        <v>0</v>
      </c>
      <c r="H206" s="5">
        <v>6.9</v>
      </c>
      <c r="I206" s="6">
        <f>D206/(VLOOKUP(B206,'[1]2022 Team'!$B$2:$G$33,3,FALSE))</f>
        <v>1.6E-2</v>
      </c>
    </row>
    <row r="207" spans="1:9" x14ac:dyDescent="0.25">
      <c r="A207" s="5" t="s">
        <v>1783</v>
      </c>
      <c r="B207" s="5" t="s">
        <v>18</v>
      </c>
      <c r="C207" s="5" t="s">
        <v>163</v>
      </c>
      <c r="D207" s="5">
        <v>1</v>
      </c>
      <c r="E207" s="5">
        <v>4</v>
      </c>
      <c r="F207" s="5">
        <v>0</v>
      </c>
      <c r="G207" s="6">
        <f t="shared" si="3"/>
        <v>0</v>
      </c>
      <c r="H207" s="5">
        <v>4</v>
      </c>
      <c r="I207" s="6">
        <f>D207/(VLOOKUP(B207,'[1]2022 Team'!$B$2:$G$33,3,FALSE))</f>
        <v>1.7921146953405018E-3</v>
      </c>
    </row>
    <row r="208" spans="1:9" x14ac:dyDescent="0.25">
      <c r="A208" s="5" t="s">
        <v>2431</v>
      </c>
      <c r="B208" s="5" t="s">
        <v>66</v>
      </c>
      <c r="C208" s="5" t="s">
        <v>159</v>
      </c>
      <c r="D208" s="5">
        <v>8</v>
      </c>
      <c r="E208" s="5">
        <v>28</v>
      </c>
      <c r="F208" s="5">
        <v>0</v>
      </c>
      <c r="G208" s="6">
        <f t="shared" si="3"/>
        <v>0</v>
      </c>
      <c r="H208" s="5">
        <v>3.5</v>
      </c>
      <c r="I208" s="6">
        <f>D208/(VLOOKUP(B208,'[1]2022 Team'!$B$2:$G$33,3,FALSE))</f>
        <v>2.072538860103627E-2</v>
      </c>
    </row>
    <row r="209" spans="1:9" x14ac:dyDescent="0.25">
      <c r="A209" s="5" t="s">
        <v>2432</v>
      </c>
      <c r="B209" s="5" t="s">
        <v>12</v>
      </c>
      <c r="C209" s="5" t="s">
        <v>159</v>
      </c>
      <c r="D209" s="5">
        <v>8</v>
      </c>
      <c r="E209" s="5">
        <v>18</v>
      </c>
      <c r="F209" s="5">
        <v>0</v>
      </c>
      <c r="G209" s="6">
        <f t="shared" si="3"/>
        <v>0</v>
      </c>
      <c r="H209" s="5">
        <v>2.2999999999999998</v>
      </c>
      <c r="I209" s="6">
        <f>D209/(VLOOKUP(B209,'[1]2022 Team'!$B$2:$G$33,3,FALSE))</f>
        <v>1.5209125475285171E-2</v>
      </c>
    </row>
    <row r="210" spans="1:9" x14ac:dyDescent="0.25">
      <c r="A210" s="5" t="s">
        <v>151</v>
      </c>
      <c r="B210" s="5" t="s">
        <v>68</v>
      </c>
      <c r="C210" s="5" t="s">
        <v>82</v>
      </c>
      <c r="D210" s="5">
        <v>8</v>
      </c>
      <c r="E210" s="5">
        <v>44</v>
      </c>
      <c r="F210" s="5">
        <v>0</v>
      </c>
      <c r="G210" s="6">
        <f t="shared" si="3"/>
        <v>0</v>
      </c>
      <c r="H210" s="5">
        <v>5.5</v>
      </c>
      <c r="I210" s="6">
        <f>D210/(VLOOKUP(B210,'[1]2022 Team'!$B$2:$G$33,3,FALSE))</f>
        <v>1.6427104722792608E-2</v>
      </c>
    </row>
    <row r="211" spans="1:9" x14ac:dyDescent="0.25">
      <c r="A211" s="5" t="s">
        <v>519</v>
      </c>
      <c r="B211" s="5" t="s">
        <v>22</v>
      </c>
      <c r="C211" s="5" t="s">
        <v>159</v>
      </c>
      <c r="D211" s="5">
        <v>8</v>
      </c>
      <c r="E211" s="5">
        <v>12</v>
      </c>
      <c r="F211" s="5">
        <v>0</v>
      </c>
      <c r="G211" s="6">
        <f t="shared" si="3"/>
        <v>0</v>
      </c>
      <c r="H211" s="5">
        <v>1.5</v>
      </c>
      <c r="I211" s="6">
        <f>D211/(VLOOKUP(B211,'[1]2022 Team'!$B$2:$G$33,3,FALSE))</f>
        <v>1.5037593984962405E-2</v>
      </c>
    </row>
    <row r="212" spans="1:9" x14ac:dyDescent="0.25">
      <c r="A212" s="5" t="s">
        <v>162</v>
      </c>
      <c r="B212" s="5" t="s">
        <v>60</v>
      </c>
      <c r="C212" s="5" t="s">
        <v>163</v>
      </c>
      <c r="D212" s="5">
        <v>8</v>
      </c>
      <c r="E212" s="5">
        <v>39</v>
      </c>
      <c r="F212" s="5">
        <v>0</v>
      </c>
      <c r="G212" s="6">
        <f t="shared" si="3"/>
        <v>0</v>
      </c>
      <c r="H212" s="5">
        <v>4.9000000000000004</v>
      </c>
      <c r="I212" s="6">
        <f>D212/(VLOOKUP(B212,'[1]2022 Team'!$B$2:$G$33,3,FALSE))</f>
        <v>1.6E-2</v>
      </c>
    </row>
    <row r="213" spans="1:9" x14ac:dyDescent="0.25">
      <c r="A213" s="5" t="s">
        <v>2370</v>
      </c>
      <c r="B213" s="5" t="s">
        <v>44</v>
      </c>
      <c r="C213" s="5" t="s">
        <v>82</v>
      </c>
      <c r="D213" s="5">
        <v>8</v>
      </c>
      <c r="E213" s="5">
        <v>32</v>
      </c>
      <c r="F213" s="5">
        <v>0</v>
      </c>
      <c r="G213" s="6">
        <f t="shared" si="3"/>
        <v>0</v>
      </c>
      <c r="H213" s="5">
        <v>4</v>
      </c>
      <c r="I213" s="6">
        <f>D213/(VLOOKUP(B213,'[1]2022 Team'!$B$2:$G$33,3,FALSE))</f>
        <v>1.9464720194647202E-2</v>
      </c>
    </row>
    <row r="214" spans="1:9" x14ac:dyDescent="0.25">
      <c r="A214" s="5" t="s">
        <v>636</v>
      </c>
      <c r="B214" s="5" t="s">
        <v>8</v>
      </c>
      <c r="C214" s="5" t="s">
        <v>163</v>
      </c>
      <c r="D214" s="5">
        <v>7</v>
      </c>
      <c r="E214" s="5">
        <v>44</v>
      </c>
      <c r="F214" s="5">
        <v>0</v>
      </c>
      <c r="G214" s="6">
        <f t="shared" si="3"/>
        <v>0</v>
      </c>
      <c r="H214" s="5">
        <v>6.3</v>
      </c>
      <c r="I214" s="6">
        <f>D214/(VLOOKUP(B214,'[1]2022 Team'!$B$2:$G$33,3,FALSE))</f>
        <v>1.6129032258064516E-2</v>
      </c>
    </row>
    <row r="215" spans="1:9" x14ac:dyDescent="0.25">
      <c r="A215" s="5" t="s">
        <v>944</v>
      </c>
      <c r="B215" s="5" t="s">
        <v>46</v>
      </c>
      <c r="C215" s="5" t="s">
        <v>163</v>
      </c>
      <c r="D215" s="5">
        <v>7</v>
      </c>
      <c r="E215" s="5">
        <v>32</v>
      </c>
      <c r="F215" s="5">
        <v>1</v>
      </c>
      <c r="G215" s="6">
        <f t="shared" si="3"/>
        <v>0.14285714285714285</v>
      </c>
      <c r="H215" s="5">
        <v>4.5999999999999996</v>
      </c>
      <c r="I215" s="6">
        <f>D215/(VLOOKUP(B215,'[1]2022 Team'!$B$2:$G$33,3,FALSE))</f>
        <v>1.7948717948717947E-2</v>
      </c>
    </row>
    <row r="216" spans="1:9" x14ac:dyDescent="0.25">
      <c r="A216" s="5" t="s">
        <v>1812</v>
      </c>
      <c r="B216" s="5" t="s">
        <v>60</v>
      </c>
      <c r="C216" s="5" t="s">
        <v>163</v>
      </c>
      <c r="D216" s="5">
        <v>7</v>
      </c>
      <c r="E216" s="5">
        <v>25</v>
      </c>
      <c r="F216" s="5">
        <v>0</v>
      </c>
      <c r="G216" s="6">
        <f t="shared" si="3"/>
        <v>0</v>
      </c>
      <c r="H216" s="5">
        <v>3.6</v>
      </c>
      <c r="I216" s="6">
        <f>D216/(VLOOKUP(B216,'[1]2022 Team'!$B$2:$G$33,3,FALSE))</f>
        <v>1.4E-2</v>
      </c>
    </row>
    <row r="217" spans="1:9" x14ac:dyDescent="0.25">
      <c r="A217" s="5" t="s">
        <v>718</v>
      </c>
      <c r="B217" s="5" t="s">
        <v>62</v>
      </c>
      <c r="C217" s="5" t="s">
        <v>613</v>
      </c>
      <c r="D217" s="5">
        <v>7</v>
      </c>
      <c r="E217" s="5">
        <v>26</v>
      </c>
      <c r="F217" s="5">
        <v>1</v>
      </c>
      <c r="G217" s="6">
        <f t="shared" si="3"/>
        <v>0.14285714285714285</v>
      </c>
      <c r="H217" s="5">
        <v>3.7</v>
      </c>
      <c r="I217" s="6">
        <f>D217/(VLOOKUP(B217,'[1]2022 Team'!$B$2:$G$33,3,FALSE))</f>
        <v>1.3888888888888888E-2</v>
      </c>
    </row>
    <row r="218" spans="1:9" x14ac:dyDescent="0.25">
      <c r="A218" s="5" t="s">
        <v>1048</v>
      </c>
      <c r="B218" s="5" t="s">
        <v>70</v>
      </c>
      <c r="C218" s="5" t="s">
        <v>163</v>
      </c>
      <c r="D218" s="5">
        <v>7</v>
      </c>
      <c r="E218" s="5">
        <v>29</v>
      </c>
      <c r="F218" s="5">
        <v>0</v>
      </c>
      <c r="G218" s="6">
        <f t="shared" si="3"/>
        <v>0</v>
      </c>
      <c r="H218" s="5">
        <v>4.0999999999999996</v>
      </c>
      <c r="I218" s="6">
        <f>D218/(VLOOKUP(B218,'[1]2022 Team'!$B$2:$G$33,3,FALSE))</f>
        <v>1.3011152416356878E-2</v>
      </c>
    </row>
    <row r="219" spans="1:9" x14ac:dyDescent="0.25">
      <c r="A219" s="5" t="s">
        <v>149</v>
      </c>
      <c r="B219" s="5" t="s">
        <v>58</v>
      </c>
      <c r="C219" s="5" t="s">
        <v>82</v>
      </c>
      <c r="D219" s="5">
        <v>7</v>
      </c>
      <c r="E219" s="5">
        <v>3</v>
      </c>
      <c r="F219" s="5">
        <v>1</v>
      </c>
      <c r="G219" s="6">
        <f t="shared" si="3"/>
        <v>0.14285714285714285</v>
      </c>
      <c r="H219" s="5">
        <v>0.4</v>
      </c>
      <c r="I219" s="6">
        <f>D219/(VLOOKUP(B219,'[1]2022 Team'!$B$2:$G$33,3,FALSE))</f>
        <v>1.2867647058823529E-2</v>
      </c>
    </row>
    <row r="220" spans="1:9" x14ac:dyDescent="0.25">
      <c r="A220" s="5" t="s">
        <v>722</v>
      </c>
      <c r="B220" s="5" t="s">
        <v>28</v>
      </c>
      <c r="C220" s="5" t="s">
        <v>163</v>
      </c>
      <c r="D220" s="5">
        <v>7</v>
      </c>
      <c r="E220" s="5">
        <v>36</v>
      </c>
      <c r="F220" s="5">
        <v>0</v>
      </c>
      <c r="G220" s="6">
        <f t="shared" si="3"/>
        <v>0</v>
      </c>
      <c r="H220" s="5">
        <v>5.0999999999999996</v>
      </c>
      <c r="I220" s="6">
        <f>D220/(VLOOKUP(B220,'[1]2022 Team'!$B$2:$G$33,3,FALSE))</f>
        <v>1.4583333333333334E-2</v>
      </c>
    </row>
    <row r="221" spans="1:9" x14ac:dyDescent="0.25">
      <c r="A221" s="5" t="s">
        <v>729</v>
      </c>
      <c r="B221" s="5" t="s">
        <v>12</v>
      </c>
      <c r="C221" s="5" t="s">
        <v>613</v>
      </c>
      <c r="D221" s="5">
        <v>7</v>
      </c>
      <c r="E221" s="5">
        <v>16</v>
      </c>
      <c r="F221" s="5">
        <v>0</v>
      </c>
      <c r="G221" s="6">
        <f t="shared" si="3"/>
        <v>0</v>
      </c>
      <c r="H221" s="5">
        <v>2.2999999999999998</v>
      </c>
      <c r="I221" s="6">
        <f>D221/(VLOOKUP(B221,'[1]2022 Team'!$B$2:$G$33,3,FALSE))</f>
        <v>1.3307984790874524E-2</v>
      </c>
    </row>
    <row r="222" spans="1:9" x14ac:dyDescent="0.25">
      <c r="A222" s="5" t="s">
        <v>739</v>
      </c>
      <c r="B222" s="5" t="s">
        <v>30</v>
      </c>
      <c r="C222" s="5" t="s">
        <v>163</v>
      </c>
      <c r="D222" s="5">
        <v>7</v>
      </c>
      <c r="E222" s="5">
        <v>80</v>
      </c>
      <c r="F222" s="5">
        <v>2</v>
      </c>
      <c r="G222" s="6">
        <f t="shared" si="3"/>
        <v>0.2857142857142857</v>
      </c>
      <c r="H222" s="5">
        <v>11.4</v>
      </c>
      <c r="I222" s="6">
        <f>D222/(VLOOKUP(B222,'[1]2022 Team'!$B$2:$G$33,3,FALSE))</f>
        <v>1.5350877192982455E-2</v>
      </c>
    </row>
    <row r="223" spans="1:9" x14ac:dyDescent="0.25">
      <c r="A223" s="5" t="s">
        <v>1586</v>
      </c>
      <c r="B223" s="5" t="s">
        <v>54</v>
      </c>
      <c r="C223" s="5" t="s">
        <v>163</v>
      </c>
      <c r="D223" s="5">
        <v>2</v>
      </c>
      <c r="E223" s="5">
        <v>23</v>
      </c>
      <c r="F223" s="5">
        <v>0</v>
      </c>
      <c r="G223" s="6">
        <f t="shared" si="3"/>
        <v>0</v>
      </c>
      <c r="H223" s="5">
        <v>11.5</v>
      </c>
      <c r="I223" s="6">
        <f>D223/(VLOOKUP(B223,'[1]2022 Team'!$B$2:$G$33,3,FALSE))</f>
        <v>3.8461538461538464E-3</v>
      </c>
    </row>
    <row r="224" spans="1:9" x14ac:dyDescent="0.25">
      <c r="A224" s="5" t="s">
        <v>1586</v>
      </c>
      <c r="B224" s="5" t="s">
        <v>38</v>
      </c>
      <c r="C224" s="5" t="s">
        <v>163</v>
      </c>
      <c r="D224" s="5">
        <v>5</v>
      </c>
      <c r="E224" s="5">
        <v>59</v>
      </c>
      <c r="F224" s="5">
        <v>1</v>
      </c>
      <c r="G224" s="6">
        <f t="shared" si="3"/>
        <v>0.2</v>
      </c>
      <c r="H224" s="5">
        <v>11.8</v>
      </c>
      <c r="I224" s="6">
        <f>D224/(VLOOKUP(B224,'[1]2022 Team'!$B$2:$G$33,3,FALSE))</f>
        <v>1.1990407673860911E-2</v>
      </c>
    </row>
    <row r="225" spans="1:9" x14ac:dyDescent="0.25">
      <c r="A225" s="5" t="s">
        <v>160</v>
      </c>
      <c r="B225" s="5" t="s">
        <v>32</v>
      </c>
      <c r="C225" s="5" t="s">
        <v>82</v>
      </c>
      <c r="D225" s="5">
        <v>6</v>
      </c>
      <c r="E225" s="5">
        <v>13</v>
      </c>
      <c r="F225" s="5">
        <v>0</v>
      </c>
      <c r="G225" s="6">
        <f t="shared" si="3"/>
        <v>0</v>
      </c>
      <c r="H225" s="5">
        <v>2.2000000000000002</v>
      </c>
      <c r="I225" s="6">
        <f>D225/(VLOOKUP(B225,'[1]2022 Team'!$B$2:$G$33,3,FALSE))</f>
        <v>1.507537688442211E-2</v>
      </c>
    </row>
    <row r="226" spans="1:9" x14ac:dyDescent="0.25">
      <c r="A226" s="5" t="s">
        <v>1014</v>
      </c>
      <c r="B226" s="5" t="s">
        <v>50</v>
      </c>
      <c r="C226" s="5" t="s">
        <v>163</v>
      </c>
      <c r="D226" s="5">
        <v>6</v>
      </c>
      <c r="E226" s="5">
        <v>39</v>
      </c>
      <c r="F226" s="5">
        <v>0</v>
      </c>
      <c r="G226" s="6">
        <f t="shared" si="3"/>
        <v>0</v>
      </c>
      <c r="H226" s="5">
        <v>6.5</v>
      </c>
      <c r="I226" s="6">
        <f>D226/(VLOOKUP(B226,'[1]2022 Team'!$B$2:$G$33,3,FALSE))</f>
        <v>1.411764705882353E-2</v>
      </c>
    </row>
    <row r="227" spans="1:9" x14ac:dyDescent="0.25">
      <c r="A227" s="5" t="s">
        <v>540</v>
      </c>
      <c r="B227" s="5" t="s">
        <v>48</v>
      </c>
      <c r="C227" s="5" t="s">
        <v>159</v>
      </c>
      <c r="D227" s="5">
        <v>6</v>
      </c>
      <c r="E227" s="5">
        <v>20</v>
      </c>
      <c r="F227" s="5">
        <v>0</v>
      </c>
      <c r="G227" s="6">
        <f t="shared" si="3"/>
        <v>0</v>
      </c>
      <c r="H227" s="5">
        <v>3.3</v>
      </c>
      <c r="I227" s="6">
        <f>D227/(VLOOKUP(B227,'[1]2022 Team'!$B$2:$G$33,3,FALSE))</f>
        <v>1.4851485148514851E-2</v>
      </c>
    </row>
    <row r="228" spans="1:9" x14ac:dyDescent="0.25">
      <c r="A228" s="5" t="s">
        <v>695</v>
      </c>
      <c r="B228" s="5" t="s">
        <v>46</v>
      </c>
      <c r="C228" s="5" t="s">
        <v>613</v>
      </c>
      <c r="D228" s="5">
        <v>6</v>
      </c>
      <c r="E228" s="5">
        <v>8</v>
      </c>
      <c r="F228" s="5">
        <v>1</v>
      </c>
      <c r="G228" s="6">
        <f t="shared" si="3"/>
        <v>0.16666666666666666</v>
      </c>
      <c r="H228" s="5">
        <v>1.3</v>
      </c>
      <c r="I228" s="6">
        <f>D228/(VLOOKUP(B228,'[1]2022 Team'!$B$2:$G$33,3,FALSE))</f>
        <v>1.5384615384615385E-2</v>
      </c>
    </row>
    <row r="229" spans="1:9" x14ac:dyDescent="0.25">
      <c r="A229" s="5" t="s">
        <v>1822</v>
      </c>
      <c r="B229" s="5" t="s">
        <v>60</v>
      </c>
      <c r="C229" s="5" t="s">
        <v>159</v>
      </c>
      <c r="D229" s="5">
        <v>6</v>
      </c>
      <c r="E229" s="5">
        <v>30</v>
      </c>
      <c r="F229" s="5">
        <v>0</v>
      </c>
      <c r="G229" s="6">
        <f t="shared" si="3"/>
        <v>0</v>
      </c>
      <c r="H229" s="5">
        <v>5</v>
      </c>
      <c r="I229" s="6">
        <f>D229/(VLOOKUP(B229,'[1]2022 Team'!$B$2:$G$33,3,FALSE))</f>
        <v>1.2E-2</v>
      </c>
    </row>
    <row r="230" spans="1:9" x14ac:dyDescent="0.25">
      <c r="A230" s="5" t="s">
        <v>1686</v>
      </c>
      <c r="B230" s="5" t="s">
        <v>8</v>
      </c>
      <c r="C230" s="5" t="s">
        <v>163</v>
      </c>
      <c r="D230" s="5">
        <v>6</v>
      </c>
      <c r="E230" s="5">
        <v>-5</v>
      </c>
      <c r="F230" s="5">
        <v>0</v>
      </c>
      <c r="G230" s="6">
        <f t="shared" si="3"/>
        <v>0</v>
      </c>
      <c r="H230" s="5">
        <v>-0.8</v>
      </c>
      <c r="I230" s="6">
        <f>D230/(VLOOKUP(B230,'[1]2022 Team'!$B$2:$G$33,3,FALSE))</f>
        <v>1.3824884792626729E-2</v>
      </c>
    </row>
    <row r="231" spans="1:9" x14ac:dyDescent="0.25">
      <c r="A231" s="5" t="s">
        <v>183</v>
      </c>
      <c r="B231" s="5" t="s">
        <v>26</v>
      </c>
      <c r="C231" s="5" t="s">
        <v>82</v>
      </c>
      <c r="D231" s="5">
        <v>6</v>
      </c>
      <c r="E231" s="5">
        <v>7</v>
      </c>
      <c r="F231" s="5">
        <v>0</v>
      </c>
      <c r="G231" s="6">
        <f t="shared" si="3"/>
        <v>0</v>
      </c>
      <c r="H231" s="5">
        <v>1.2</v>
      </c>
      <c r="I231" s="6">
        <f>D231/(VLOOKUP(B231,'[1]2022 Team'!$B$2:$G$33,3,FALSE))</f>
        <v>1.3513513513513514E-2</v>
      </c>
    </row>
    <row r="232" spans="1:9" x14ac:dyDescent="0.25">
      <c r="A232" s="5" t="s">
        <v>1847</v>
      </c>
      <c r="B232" s="5" t="s">
        <v>18</v>
      </c>
      <c r="C232" s="5" t="s">
        <v>163</v>
      </c>
      <c r="D232" s="5">
        <v>6</v>
      </c>
      <c r="E232" s="5">
        <v>54</v>
      </c>
      <c r="F232" s="5">
        <v>0</v>
      </c>
      <c r="G232" s="6">
        <f t="shared" si="3"/>
        <v>0</v>
      </c>
      <c r="H232" s="5">
        <v>9</v>
      </c>
      <c r="I232" s="6">
        <f>D232/(VLOOKUP(B232,'[1]2022 Team'!$B$2:$G$33,3,FALSE))</f>
        <v>1.0752688172043012E-2</v>
      </c>
    </row>
    <row r="233" spans="1:9" x14ac:dyDescent="0.25">
      <c r="A233" s="5" t="s">
        <v>1562</v>
      </c>
      <c r="B233" s="5" t="s">
        <v>16</v>
      </c>
      <c r="C233" s="5" t="s">
        <v>82</v>
      </c>
      <c r="D233" s="5">
        <v>6</v>
      </c>
      <c r="E233" s="5">
        <v>39</v>
      </c>
      <c r="F233" s="5">
        <v>0</v>
      </c>
      <c r="G233" s="6">
        <f t="shared" si="3"/>
        <v>0</v>
      </c>
      <c r="H233" s="5">
        <v>6.5</v>
      </c>
      <c r="I233" s="6">
        <f>D233/(VLOOKUP(B233,'[1]2022 Team'!$B$2:$G$33,3,FALSE))</f>
        <v>1.2422360248447204E-2</v>
      </c>
    </row>
    <row r="234" spans="1:9" x14ac:dyDescent="0.25">
      <c r="A234" s="5" t="s">
        <v>2373</v>
      </c>
      <c r="B234" s="5" t="s">
        <v>54</v>
      </c>
      <c r="C234" s="5" t="s">
        <v>82</v>
      </c>
      <c r="D234" s="5">
        <v>6</v>
      </c>
      <c r="E234" s="5">
        <v>41</v>
      </c>
      <c r="F234" s="5">
        <v>1</v>
      </c>
      <c r="G234" s="6">
        <f t="shared" si="3"/>
        <v>0.16666666666666666</v>
      </c>
      <c r="H234" s="5">
        <v>6.8</v>
      </c>
      <c r="I234" s="6">
        <f>D234/(VLOOKUP(B234,'[1]2022 Team'!$B$2:$G$33,3,FALSE))</f>
        <v>1.1538461538461539E-2</v>
      </c>
    </row>
    <row r="235" spans="1:9" x14ac:dyDescent="0.25">
      <c r="A235" s="5" t="s">
        <v>1572</v>
      </c>
      <c r="B235" s="5" t="s">
        <v>56</v>
      </c>
      <c r="C235" s="5" t="s">
        <v>82</v>
      </c>
      <c r="D235" s="5">
        <v>6</v>
      </c>
      <c r="E235" s="5">
        <v>9</v>
      </c>
      <c r="F235" s="5">
        <v>1</v>
      </c>
      <c r="G235" s="6">
        <f t="shared" si="3"/>
        <v>0.16666666666666666</v>
      </c>
      <c r="H235" s="5">
        <v>1.5</v>
      </c>
      <c r="I235" s="6">
        <f>D235/(VLOOKUP(B235,'[1]2022 Team'!$B$2:$G$33,3,FALSE))</f>
        <v>1.4814814814814815E-2</v>
      </c>
    </row>
    <row r="236" spans="1:9" x14ac:dyDescent="0.25">
      <c r="A236" s="5" t="s">
        <v>629</v>
      </c>
      <c r="B236" s="5" t="s">
        <v>20</v>
      </c>
      <c r="C236" s="5" t="s">
        <v>159</v>
      </c>
      <c r="D236" s="5">
        <v>6</v>
      </c>
      <c r="E236" s="5">
        <v>30</v>
      </c>
      <c r="F236" s="5">
        <v>0</v>
      </c>
      <c r="G236" s="6">
        <f t="shared" si="3"/>
        <v>0</v>
      </c>
      <c r="H236" s="5">
        <v>5</v>
      </c>
      <c r="I236" s="6">
        <f>D236/(VLOOKUP(B236,'[1]2022 Team'!$B$2:$G$33,3,FALSE))</f>
        <v>1.5037593984962405E-2</v>
      </c>
    </row>
    <row r="237" spans="1:9" x14ac:dyDescent="0.25">
      <c r="A237" s="5" t="s">
        <v>1714</v>
      </c>
      <c r="B237" s="5" t="s">
        <v>38</v>
      </c>
      <c r="C237" s="5" t="s">
        <v>159</v>
      </c>
      <c r="D237" s="5">
        <v>5</v>
      </c>
      <c r="E237" s="5">
        <v>7</v>
      </c>
      <c r="F237" s="5">
        <v>0</v>
      </c>
      <c r="G237" s="6">
        <f t="shared" si="3"/>
        <v>0</v>
      </c>
      <c r="H237" s="5">
        <v>1.4</v>
      </c>
      <c r="I237" s="6">
        <f>D237/(VLOOKUP(B237,'[1]2022 Team'!$B$2:$G$33,3,FALSE))</f>
        <v>1.1990407673860911E-2</v>
      </c>
    </row>
    <row r="238" spans="1:9" x14ac:dyDescent="0.25">
      <c r="A238" s="5" t="s">
        <v>1583</v>
      </c>
      <c r="B238" s="5" t="s">
        <v>34</v>
      </c>
      <c r="C238" s="5" t="s">
        <v>163</v>
      </c>
      <c r="D238" s="5">
        <v>5</v>
      </c>
      <c r="E238" s="5">
        <v>58</v>
      </c>
      <c r="F238" s="5">
        <v>0</v>
      </c>
      <c r="G238" s="6">
        <f t="shared" si="3"/>
        <v>0</v>
      </c>
      <c r="H238" s="5">
        <v>11.6</v>
      </c>
      <c r="I238" s="6">
        <f>D238/(VLOOKUP(B238,'[1]2022 Team'!$B$2:$G$33,3,FALSE))</f>
        <v>1.1389521640091117E-2</v>
      </c>
    </row>
    <row r="239" spans="1:9" x14ac:dyDescent="0.25">
      <c r="A239" s="5" t="s">
        <v>693</v>
      </c>
      <c r="B239" s="5" t="s">
        <v>20</v>
      </c>
      <c r="C239" s="5" t="s">
        <v>163</v>
      </c>
      <c r="D239" s="5">
        <v>5</v>
      </c>
      <c r="E239" s="5">
        <v>8</v>
      </c>
      <c r="F239" s="5">
        <v>0</v>
      </c>
      <c r="G239" s="6">
        <f t="shared" si="3"/>
        <v>0</v>
      </c>
      <c r="H239" s="5">
        <v>1.6</v>
      </c>
      <c r="I239" s="6">
        <f>D239/(VLOOKUP(B239,'[1]2022 Team'!$B$2:$G$33,3,FALSE))</f>
        <v>1.2531328320802004E-2</v>
      </c>
    </row>
    <row r="240" spans="1:9" x14ac:dyDescent="0.25">
      <c r="A240" s="5" t="s">
        <v>2381</v>
      </c>
      <c r="B240" s="5" t="s">
        <v>38</v>
      </c>
      <c r="C240" s="5" t="s">
        <v>82</v>
      </c>
      <c r="D240" s="5">
        <v>5</v>
      </c>
      <c r="E240" s="5">
        <v>-5</v>
      </c>
      <c r="F240" s="5">
        <v>0</v>
      </c>
      <c r="G240" s="6">
        <f t="shared" si="3"/>
        <v>0</v>
      </c>
      <c r="H240" s="5">
        <v>-1</v>
      </c>
      <c r="I240" s="6">
        <f>D240/(VLOOKUP(B240,'[1]2022 Team'!$B$2:$G$33,3,FALSE))</f>
        <v>1.1990407673860911E-2</v>
      </c>
    </row>
    <row r="241" spans="1:9" x14ac:dyDescent="0.25">
      <c r="A241" s="5" t="s">
        <v>1551</v>
      </c>
      <c r="B241" s="5" t="s">
        <v>70</v>
      </c>
      <c r="C241" s="5" t="s">
        <v>82</v>
      </c>
      <c r="D241" s="5">
        <v>5</v>
      </c>
      <c r="E241" s="5">
        <v>35</v>
      </c>
      <c r="F241" s="5">
        <v>1</v>
      </c>
      <c r="G241" s="6">
        <f t="shared" si="3"/>
        <v>0.2</v>
      </c>
      <c r="H241" s="5">
        <v>7</v>
      </c>
      <c r="I241" s="6">
        <f>D241/(VLOOKUP(B241,'[1]2022 Team'!$B$2:$G$33,3,FALSE))</f>
        <v>9.2936802973977699E-3</v>
      </c>
    </row>
    <row r="242" spans="1:9" x14ac:dyDescent="0.25">
      <c r="A242" s="5" t="s">
        <v>1814</v>
      </c>
      <c r="B242" s="5" t="s">
        <v>66</v>
      </c>
      <c r="C242" s="5" t="s">
        <v>163</v>
      </c>
      <c r="D242" s="5">
        <v>5</v>
      </c>
      <c r="E242" s="5">
        <v>45</v>
      </c>
      <c r="F242" s="5">
        <v>0</v>
      </c>
      <c r="G242" s="6">
        <f t="shared" si="3"/>
        <v>0</v>
      </c>
      <c r="H242" s="5">
        <v>9</v>
      </c>
      <c r="I242" s="6">
        <f>D242/(VLOOKUP(B242,'[1]2022 Team'!$B$2:$G$33,3,FALSE))</f>
        <v>1.2953367875647668E-2</v>
      </c>
    </row>
    <row r="243" spans="1:9" x14ac:dyDescent="0.25">
      <c r="A243" s="5" t="s">
        <v>1566</v>
      </c>
      <c r="B243" s="5" t="s">
        <v>14</v>
      </c>
      <c r="C243" s="5" t="s">
        <v>82</v>
      </c>
      <c r="D243" s="5">
        <v>5</v>
      </c>
      <c r="E243" s="5">
        <v>0</v>
      </c>
      <c r="F243" s="5">
        <v>0</v>
      </c>
      <c r="G243" s="6">
        <f t="shared" si="3"/>
        <v>0</v>
      </c>
      <c r="H243" s="5">
        <v>0</v>
      </c>
      <c r="I243" s="6">
        <f>D243/(VLOOKUP(B243,'[1]2022 Team'!$B$2:$G$33,3,FALSE))</f>
        <v>1.1627906976744186E-2</v>
      </c>
    </row>
    <row r="244" spans="1:9" x14ac:dyDescent="0.25">
      <c r="A244" s="5" t="s">
        <v>888</v>
      </c>
      <c r="B244" s="5" t="s">
        <v>36</v>
      </c>
      <c r="C244" s="5" t="s">
        <v>163</v>
      </c>
      <c r="D244" s="5">
        <v>5</v>
      </c>
      <c r="E244" s="5">
        <v>11</v>
      </c>
      <c r="F244" s="5">
        <v>0</v>
      </c>
      <c r="G244" s="6">
        <f t="shared" si="3"/>
        <v>0</v>
      </c>
      <c r="H244" s="5">
        <v>2.2000000000000002</v>
      </c>
      <c r="I244" s="6">
        <f>D244/(VLOOKUP(B244,'[1]2022 Team'!$B$2:$G$33,3,FALSE))</f>
        <v>1.1160714285714286E-2</v>
      </c>
    </row>
    <row r="245" spans="1:9" x14ac:dyDescent="0.25">
      <c r="A245" s="5" t="s">
        <v>634</v>
      </c>
      <c r="B245" s="5" t="s">
        <v>56</v>
      </c>
      <c r="C245" s="5" t="s">
        <v>163</v>
      </c>
      <c r="D245" s="5">
        <v>5</v>
      </c>
      <c r="E245" s="5">
        <v>5</v>
      </c>
      <c r="F245" s="5">
        <v>0</v>
      </c>
      <c r="G245" s="6">
        <f t="shared" si="3"/>
        <v>0</v>
      </c>
      <c r="H245" s="5">
        <v>1</v>
      </c>
      <c r="I245" s="6">
        <f>D245/(VLOOKUP(B245,'[1]2022 Team'!$B$2:$G$33,3,FALSE))</f>
        <v>1.2345679012345678E-2</v>
      </c>
    </row>
    <row r="246" spans="1:9" x14ac:dyDescent="0.25">
      <c r="A246" s="5" t="s">
        <v>2382</v>
      </c>
      <c r="B246" s="5" t="s">
        <v>28</v>
      </c>
      <c r="C246" s="5" t="s">
        <v>82</v>
      </c>
      <c r="D246" s="5">
        <v>5</v>
      </c>
      <c r="E246" s="5">
        <v>-4</v>
      </c>
      <c r="F246" s="5">
        <v>0</v>
      </c>
      <c r="G246" s="6">
        <f t="shared" ref="G246:G309" si="4">F246/D246</f>
        <v>0</v>
      </c>
      <c r="H246" s="5">
        <v>-0.8</v>
      </c>
      <c r="I246" s="6">
        <f>D246/(VLOOKUP(B246,'[1]2022 Team'!$B$2:$G$33,3,FALSE))</f>
        <v>1.0416666666666666E-2</v>
      </c>
    </row>
    <row r="247" spans="1:9" x14ac:dyDescent="0.25">
      <c r="A247" s="5" t="s">
        <v>124</v>
      </c>
      <c r="B247" s="5" t="s">
        <v>54</v>
      </c>
      <c r="C247" s="5" t="s">
        <v>82</v>
      </c>
      <c r="D247" s="5">
        <v>5</v>
      </c>
      <c r="E247" s="5">
        <v>70</v>
      </c>
      <c r="F247" s="5">
        <v>0</v>
      </c>
      <c r="G247" s="6">
        <f t="shared" si="4"/>
        <v>0</v>
      </c>
      <c r="H247" s="5">
        <v>14</v>
      </c>
      <c r="I247" s="6">
        <f>D247/(VLOOKUP(B247,'[1]2022 Team'!$B$2:$G$33,3,FALSE))</f>
        <v>9.6153846153846159E-3</v>
      </c>
    </row>
    <row r="248" spans="1:9" x14ac:dyDescent="0.25">
      <c r="A248" s="5" t="s">
        <v>1735</v>
      </c>
      <c r="B248" s="5" t="s">
        <v>68</v>
      </c>
      <c r="C248" s="5" t="s">
        <v>159</v>
      </c>
      <c r="D248" s="5">
        <v>5</v>
      </c>
      <c r="E248" s="5">
        <v>25</v>
      </c>
      <c r="F248" s="5">
        <v>0</v>
      </c>
      <c r="G248" s="6">
        <f t="shared" si="4"/>
        <v>0</v>
      </c>
      <c r="H248" s="5">
        <v>5</v>
      </c>
      <c r="I248" s="6">
        <f>D248/(VLOOKUP(B248,'[1]2022 Team'!$B$2:$G$33,3,FALSE))</f>
        <v>1.0266940451745379E-2</v>
      </c>
    </row>
    <row r="249" spans="1:9" x14ac:dyDescent="0.25">
      <c r="A249" s="5" t="s">
        <v>2433</v>
      </c>
      <c r="B249" s="5" t="s">
        <v>26</v>
      </c>
      <c r="C249" s="5" t="s">
        <v>163</v>
      </c>
      <c r="D249" s="5">
        <v>5</v>
      </c>
      <c r="E249" s="5">
        <v>30</v>
      </c>
      <c r="F249" s="5">
        <v>0</v>
      </c>
      <c r="G249" s="6">
        <f t="shared" si="4"/>
        <v>0</v>
      </c>
      <c r="H249" s="5">
        <v>6</v>
      </c>
      <c r="I249" s="6">
        <f>D249/(VLOOKUP(B249,'[1]2022 Team'!$B$2:$G$33,3,FALSE))</f>
        <v>1.1261261261261261E-2</v>
      </c>
    </row>
    <row r="250" spans="1:9" x14ac:dyDescent="0.25">
      <c r="A250" s="5" t="s">
        <v>132</v>
      </c>
      <c r="B250" s="5" t="s">
        <v>52</v>
      </c>
      <c r="C250" s="5" t="s">
        <v>82</v>
      </c>
      <c r="D250" s="5">
        <v>5</v>
      </c>
      <c r="E250" s="5">
        <v>16</v>
      </c>
      <c r="F250" s="5">
        <v>0</v>
      </c>
      <c r="G250" s="6">
        <f t="shared" si="4"/>
        <v>0</v>
      </c>
      <c r="H250" s="5">
        <v>3.2</v>
      </c>
      <c r="I250" s="6">
        <f>D250/(VLOOKUP(B250,'[1]2022 Team'!$B$2:$G$33,3,FALSE))</f>
        <v>1.0752688172043012E-2</v>
      </c>
    </row>
    <row r="251" spans="1:9" x14ac:dyDescent="0.25">
      <c r="A251" s="5" t="s">
        <v>567</v>
      </c>
      <c r="B251" s="5" t="s">
        <v>40</v>
      </c>
      <c r="C251" s="5" t="s">
        <v>159</v>
      </c>
      <c r="D251" s="5">
        <v>4</v>
      </c>
      <c r="E251" s="5">
        <v>20</v>
      </c>
      <c r="F251" s="5">
        <v>0</v>
      </c>
      <c r="G251" s="6">
        <f t="shared" si="4"/>
        <v>0</v>
      </c>
      <c r="H251" s="5">
        <v>5</v>
      </c>
      <c r="I251" s="6">
        <f>D251/(VLOOKUP(B251,'[1]2022 Team'!$B$2:$G$33,3,FALSE))</f>
        <v>9.3457943925233638E-3</v>
      </c>
    </row>
    <row r="252" spans="1:9" x14ac:dyDescent="0.25">
      <c r="A252" s="5" t="s">
        <v>1565</v>
      </c>
      <c r="B252" s="5" t="s">
        <v>36</v>
      </c>
      <c r="C252" s="5" t="s">
        <v>82</v>
      </c>
      <c r="D252" s="5">
        <v>4</v>
      </c>
      <c r="E252" s="5">
        <v>-4</v>
      </c>
      <c r="F252" s="5">
        <v>0</v>
      </c>
      <c r="G252" s="6">
        <f t="shared" si="4"/>
        <v>0</v>
      </c>
      <c r="H252" s="5">
        <v>-1</v>
      </c>
      <c r="I252" s="6">
        <f>D252/(VLOOKUP(B252,'[1]2022 Team'!$B$2:$G$33,3,FALSE))</f>
        <v>8.9285714285714281E-3</v>
      </c>
    </row>
    <row r="253" spans="1:9" x14ac:dyDescent="0.25">
      <c r="A253" s="5" t="s">
        <v>2369</v>
      </c>
      <c r="B253" s="5" t="s">
        <v>8</v>
      </c>
      <c r="C253" s="5" t="s">
        <v>82</v>
      </c>
      <c r="D253" s="5">
        <v>4</v>
      </c>
      <c r="E253" s="5">
        <v>5</v>
      </c>
      <c r="F253" s="5">
        <v>0</v>
      </c>
      <c r="G253" s="6">
        <f t="shared" si="4"/>
        <v>0</v>
      </c>
      <c r="H253" s="5">
        <v>1.3</v>
      </c>
      <c r="I253" s="6">
        <f>D253/(VLOOKUP(B253,'[1]2022 Team'!$B$2:$G$33,3,FALSE))</f>
        <v>9.2165898617511521E-3</v>
      </c>
    </row>
    <row r="254" spans="1:9" x14ac:dyDescent="0.25">
      <c r="A254" s="5" t="s">
        <v>187</v>
      </c>
      <c r="B254" s="5" t="s">
        <v>68</v>
      </c>
      <c r="C254" s="5" t="s">
        <v>163</v>
      </c>
      <c r="D254" s="5">
        <v>4</v>
      </c>
      <c r="E254" s="5">
        <v>47</v>
      </c>
      <c r="F254" s="5">
        <v>0</v>
      </c>
      <c r="G254" s="6">
        <f t="shared" si="4"/>
        <v>0</v>
      </c>
      <c r="H254" s="5">
        <v>11.8</v>
      </c>
      <c r="I254" s="6">
        <f>D254/(VLOOKUP(B254,'[1]2022 Team'!$B$2:$G$33,3,FALSE))</f>
        <v>8.2135523613963042E-3</v>
      </c>
    </row>
    <row r="255" spans="1:9" x14ac:dyDescent="0.25">
      <c r="A255" s="5" t="s">
        <v>2434</v>
      </c>
      <c r="B255" s="5" t="s">
        <v>8</v>
      </c>
      <c r="C255" s="5" t="s">
        <v>163</v>
      </c>
      <c r="D255" s="5">
        <v>4</v>
      </c>
      <c r="E255" s="5">
        <v>15</v>
      </c>
      <c r="F255" s="5">
        <v>0</v>
      </c>
      <c r="G255" s="6">
        <f t="shared" si="4"/>
        <v>0</v>
      </c>
      <c r="H255" s="5">
        <v>3.8</v>
      </c>
      <c r="I255" s="6">
        <f>D255/(VLOOKUP(B255,'[1]2022 Team'!$B$2:$G$33,3,FALSE))</f>
        <v>9.2165898617511521E-3</v>
      </c>
    </row>
    <row r="256" spans="1:9" x14ac:dyDescent="0.25">
      <c r="A256" s="5" t="s">
        <v>674</v>
      </c>
      <c r="B256" s="5" t="s">
        <v>48</v>
      </c>
      <c r="C256" s="5" t="s">
        <v>613</v>
      </c>
      <c r="D256" s="5">
        <v>4</v>
      </c>
      <c r="E256" s="5">
        <v>7</v>
      </c>
      <c r="F256" s="5">
        <v>2</v>
      </c>
      <c r="G256" s="6">
        <f t="shared" si="4"/>
        <v>0.5</v>
      </c>
      <c r="H256" s="5">
        <v>1.8</v>
      </c>
      <c r="I256" s="6">
        <f>D256/(VLOOKUP(B256,'[1]2022 Team'!$B$2:$G$33,3,FALSE))</f>
        <v>9.9009900990099011E-3</v>
      </c>
    </row>
    <row r="257" spans="1:9" x14ac:dyDescent="0.25">
      <c r="A257" s="5" t="s">
        <v>822</v>
      </c>
      <c r="B257" s="5" t="s">
        <v>38</v>
      </c>
      <c r="C257" s="5" t="s">
        <v>163</v>
      </c>
      <c r="D257" s="5">
        <v>4</v>
      </c>
      <c r="E257" s="5">
        <v>31</v>
      </c>
      <c r="F257" s="5">
        <v>2</v>
      </c>
      <c r="G257" s="6">
        <f t="shared" si="4"/>
        <v>0.5</v>
      </c>
      <c r="H257" s="5">
        <v>7.8</v>
      </c>
      <c r="I257" s="6">
        <f>D257/(VLOOKUP(B257,'[1]2022 Team'!$B$2:$G$33,3,FALSE))</f>
        <v>9.5923261390887284E-3</v>
      </c>
    </row>
    <row r="258" spans="1:9" x14ac:dyDescent="0.25">
      <c r="A258" s="5" t="s">
        <v>748</v>
      </c>
      <c r="B258" s="5" t="s">
        <v>40</v>
      </c>
      <c r="C258" s="5" t="s">
        <v>163</v>
      </c>
      <c r="D258" s="5">
        <v>4</v>
      </c>
      <c r="E258" s="5">
        <v>40</v>
      </c>
      <c r="F258" s="5">
        <v>0</v>
      </c>
      <c r="G258" s="6">
        <f t="shared" si="4"/>
        <v>0</v>
      </c>
      <c r="H258" s="5">
        <v>10</v>
      </c>
      <c r="I258" s="6">
        <f>D258/(VLOOKUP(B258,'[1]2022 Team'!$B$2:$G$33,3,FALSE))</f>
        <v>9.3457943925233638E-3</v>
      </c>
    </row>
    <row r="259" spans="1:9" x14ac:dyDescent="0.25">
      <c r="A259" s="5" t="s">
        <v>2435</v>
      </c>
      <c r="B259" s="5" t="s">
        <v>42</v>
      </c>
      <c r="C259" s="5" t="s">
        <v>613</v>
      </c>
      <c r="D259" s="5">
        <v>4</v>
      </c>
      <c r="E259" s="5">
        <v>8</v>
      </c>
      <c r="F259" s="5">
        <v>0</v>
      </c>
      <c r="G259" s="6">
        <f t="shared" si="4"/>
        <v>0</v>
      </c>
      <c r="H259" s="5">
        <v>2</v>
      </c>
      <c r="I259" s="6">
        <f>D259/(VLOOKUP(B259,'[1]2022 Team'!$B$2:$G$33,3,FALSE))</f>
        <v>9.9009900990099011E-3</v>
      </c>
    </row>
    <row r="260" spans="1:9" x14ac:dyDescent="0.25">
      <c r="A260" s="5" t="s">
        <v>700</v>
      </c>
      <c r="B260" s="5" t="s">
        <v>48</v>
      </c>
      <c r="C260" s="5" t="s">
        <v>163</v>
      </c>
      <c r="D260" s="5">
        <v>4</v>
      </c>
      <c r="E260" s="5">
        <v>24</v>
      </c>
      <c r="F260" s="5">
        <v>1</v>
      </c>
      <c r="G260" s="6">
        <f t="shared" si="4"/>
        <v>0.25</v>
      </c>
      <c r="H260" s="5">
        <v>6</v>
      </c>
      <c r="I260" s="6">
        <f>D260/(VLOOKUP(B260,'[1]2022 Team'!$B$2:$G$33,3,FALSE))</f>
        <v>9.9009900990099011E-3</v>
      </c>
    </row>
    <row r="261" spans="1:9" x14ac:dyDescent="0.25">
      <c r="A261" s="5" t="s">
        <v>762</v>
      </c>
      <c r="B261" s="5" t="s">
        <v>26</v>
      </c>
      <c r="C261" s="5" t="s">
        <v>163</v>
      </c>
      <c r="D261" s="5">
        <v>4</v>
      </c>
      <c r="E261" s="5">
        <v>40</v>
      </c>
      <c r="F261" s="5">
        <v>0</v>
      </c>
      <c r="G261" s="6">
        <f t="shared" si="4"/>
        <v>0</v>
      </c>
      <c r="H261" s="5">
        <v>10</v>
      </c>
      <c r="I261" s="6">
        <f>D261/(VLOOKUP(B261,'[1]2022 Team'!$B$2:$G$33,3,FALSE))</f>
        <v>9.0090090090090089E-3</v>
      </c>
    </row>
    <row r="262" spans="1:9" x14ac:dyDescent="0.25">
      <c r="A262" s="5" t="s">
        <v>563</v>
      </c>
      <c r="B262" s="5" t="s">
        <v>22</v>
      </c>
      <c r="C262" s="5" t="s">
        <v>159</v>
      </c>
      <c r="D262" s="5">
        <v>4</v>
      </c>
      <c r="E262" s="5">
        <v>17</v>
      </c>
      <c r="F262" s="5">
        <v>0</v>
      </c>
      <c r="G262" s="6">
        <f t="shared" si="4"/>
        <v>0</v>
      </c>
      <c r="H262" s="5">
        <v>4.3</v>
      </c>
      <c r="I262" s="6">
        <f>D262/(VLOOKUP(B262,'[1]2022 Team'!$B$2:$G$33,3,FALSE))</f>
        <v>7.5187969924812026E-3</v>
      </c>
    </row>
    <row r="263" spans="1:9" x14ac:dyDescent="0.25">
      <c r="A263" s="5" t="s">
        <v>794</v>
      </c>
      <c r="B263" s="5" t="s">
        <v>36</v>
      </c>
      <c r="C263" s="5" t="s">
        <v>163</v>
      </c>
      <c r="D263" s="5">
        <v>4</v>
      </c>
      <c r="E263" s="5">
        <v>18</v>
      </c>
      <c r="F263" s="5">
        <v>0</v>
      </c>
      <c r="G263" s="6">
        <f t="shared" si="4"/>
        <v>0</v>
      </c>
      <c r="H263" s="5">
        <v>4.5</v>
      </c>
      <c r="I263" s="6">
        <f>D263/(VLOOKUP(B263,'[1]2022 Team'!$B$2:$G$33,3,FALSE))</f>
        <v>8.9285714285714281E-3</v>
      </c>
    </row>
    <row r="264" spans="1:9" x14ac:dyDescent="0.25">
      <c r="A264" s="5" t="s">
        <v>806</v>
      </c>
      <c r="B264" s="5" t="s">
        <v>62</v>
      </c>
      <c r="C264" s="5" t="s">
        <v>163</v>
      </c>
      <c r="D264" s="5">
        <v>4</v>
      </c>
      <c r="E264" s="5">
        <v>78</v>
      </c>
      <c r="F264" s="5">
        <v>1</v>
      </c>
      <c r="G264" s="6">
        <f t="shared" si="4"/>
        <v>0.25</v>
      </c>
      <c r="H264" s="5">
        <v>19.5</v>
      </c>
      <c r="I264" s="6">
        <f>D264/(VLOOKUP(B264,'[1]2022 Team'!$B$2:$G$33,3,FALSE))</f>
        <v>7.9365079365079361E-3</v>
      </c>
    </row>
    <row r="265" spans="1:9" x14ac:dyDescent="0.25">
      <c r="A265" s="5" t="s">
        <v>155</v>
      </c>
      <c r="B265" s="5" t="s">
        <v>48</v>
      </c>
      <c r="C265" s="5" t="s">
        <v>82</v>
      </c>
      <c r="D265" s="5">
        <v>4</v>
      </c>
      <c r="E265" s="5">
        <v>8</v>
      </c>
      <c r="F265" s="5">
        <v>0</v>
      </c>
      <c r="G265" s="6">
        <f t="shared" si="4"/>
        <v>0</v>
      </c>
      <c r="H265" s="5">
        <v>2</v>
      </c>
      <c r="I265" s="6">
        <f>D265/(VLOOKUP(B265,'[1]2022 Team'!$B$2:$G$33,3,FALSE))</f>
        <v>9.9009900990099011E-3</v>
      </c>
    </row>
    <row r="266" spans="1:9" x14ac:dyDescent="0.25">
      <c r="A266" s="5" t="s">
        <v>612</v>
      </c>
      <c r="B266" s="5" t="s">
        <v>52</v>
      </c>
      <c r="C266" s="5" t="s">
        <v>613</v>
      </c>
      <c r="D266" s="5">
        <v>4</v>
      </c>
      <c r="E266" s="5">
        <v>9</v>
      </c>
      <c r="F266" s="5">
        <v>0</v>
      </c>
      <c r="G266" s="6">
        <f t="shared" si="4"/>
        <v>0</v>
      </c>
      <c r="H266" s="5">
        <v>2.2999999999999998</v>
      </c>
      <c r="I266" s="6">
        <f>D266/(VLOOKUP(B266,'[1]2022 Team'!$B$2:$G$33,3,FALSE))</f>
        <v>8.6021505376344086E-3</v>
      </c>
    </row>
    <row r="267" spans="1:9" x14ac:dyDescent="0.25">
      <c r="A267" s="5" t="s">
        <v>1758</v>
      </c>
      <c r="B267" s="5" t="s">
        <v>48</v>
      </c>
      <c r="C267" s="5" t="s">
        <v>163</v>
      </c>
      <c r="D267" s="5">
        <v>4</v>
      </c>
      <c r="E267" s="5">
        <v>25</v>
      </c>
      <c r="F267" s="5">
        <v>0</v>
      </c>
      <c r="G267" s="6">
        <f t="shared" si="4"/>
        <v>0</v>
      </c>
      <c r="H267" s="5">
        <v>6.3</v>
      </c>
      <c r="I267" s="6">
        <f>D267/(VLOOKUP(B267,'[1]2022 Team'!$B$2:$G$33,3,FALSE))</f>
        <v>9.9009900990099011E-3</v>
      </c>
    </row>
    <row r="268" spans="1:9" x14ac:dyDescent="0.25">
      <c r="A268" s="5" t="s">
        <v>2436</v>
      </c>
      <c r="B268" s="5" t="s">
        <v>22</v>
      </c>
      <c r="C268" s="5" t="s">
        <v>163</v>
      </c>
      <c r="D268" s="5">
        <v>4</v>
      </c>
      <c r="E268" s="5">
        <v>57</v>
      </c>
      <c r="F268" s="5">
        <v>1</v>
      </c>
      <c r="G268" s="6">
        <f t="shared" si="4"/>
        <v>0.25</v>
      </c>
      <c r="H268" s="5">
        <v>14.3</v>
      </c>
      <c r="I268" s="6">
        <f>D268/(VLOOKUP(B268,'[1]2022 Team'!$B$2:$G$33,3,FALSE))</f>
        <v>7.5187969924812026E-3</v>
      </c>
    </row>
    <row r="269" spans="1:9" x14ac:dyDescent="0.25">
      <c r="A269" s="5" t="s">
        <v>621</v>
      </c>
      <c r="B269" s="5" t="s">
        <v>52</v>
      </c>
      <c r="C269" s="5" t="s">
        <v>163</v>
      </c>
      <c r="D269" s="5">
        <v>4</v>
      </c>
      <c r="E269" s="5">
        <v>57</v>
      </c>
      <c r="F269" s="5">
        <v>1</v>
      </c>
      <c r="G269" s="6">
        <f t="shared" si="4"/>
        <v>0.25</v>
      </c>
      <c r="H269" s="5">
        <v>14.3</v>
      </c>
      <c r="I269" s="6">
        <f>D269/(VLOOKUP(B269,'[1]2022 Team'!$B$2:$G$33,3,FALSE))</f>
        <v>8.6021505376344086E-3</v>
      </c>
    </row>
    <row r="270" spans="1:9" x14ac:dyDescent="0.25">
      <c r="A270" s="5" t="s">
        <v>1561</v>
      </c>
      <c r="B270" s="5" t="s">
        <v>18</v>
      </c>
      <c r="C270" s="5" t="s">
        <v>82</v>
      </c>
      <c r="D270" s="5">
        <v>4</v>
      </c>
      <c r="E270" s="5">
        <v>8</v>
      </c>
      <c r="F270" s="5">
        <v>0</v>
      </c>
      <c r="G270" s="6">
        <f t="shared" si="4"/>
        <v>0</v>
      </c>
      <c r="H270" s="5">
        <v>2</v>
      </c>
      <c r="I270" s="6">
        <f>D270/(VLOOKUP(B270,'[1]2022 Team'!$B$2:$G$33,3,FALSE))</f>
        <v>7.1684587813620072E-3</v>
      </c>
    </row>
    <row r="271" spans="1:9" x14ac:dyDescent="0.25">
      <c r="A271" s="5" t="s">
        <v>1762</v>
      </c>
      <c r="B271" s="5" t="s">
        <v>20</v>
      </c>
      <c r="C271" s="5" t="s">
        <v>163</v>
      </c>
      <c r="D271" s="5">
        <v>4</v>
      </c>
      <c r="E271" s="5">
        <v>15</v>
      </c>
      <c r="F271" s="5">
        <v>0</v>
      </c>
      <c r="G271" s="6">
        <f t="shared" si="4"/>
        <v>0</v>
      </c>
      <c r="H271" s="5">
        <v>3.8</v>
      </c>
      <c r="I271" s="6">
        <f>D271/(VLOOKUP(B271,'[1]2022 Team'!$B$2:$G$33,3,FALSE))</f>
        <v>1.0025062656641603E-2</v>
      </c>
    </row>
    <row r="272" spans="1:9" x14ac:dyDescent="0.25">
      <c r="A272" s="5" t="s">
        <v>2151</v>
      </c>
      <c r="B272" s="5" t="s">
        <v>40</v>
      </c>
      <c r="C272" s="5" t="s">
        <v>163</v>
      </c>
      <c r="D272" s="5">
        <v>4</v>
      </c>
      <c r="E272" s="5">
        <v>26</v>
      </c>
      <c r="F272" s="5">
        <v>0</v>
      </c>
      <c r="G272" s="6">
        <f t="shared" si="4"/>
        <v>0</v>
      </c>
      <c r="H272" s="5">
        <v>6.5</v>
      </c>
      <c r="I272" s="6">
        <f>D272/(VLOOKUP(B272,'[1]2022 Team'!$B$2:$G$33,3,FALSE))</f>
        <v>9.3457943925233638E-3</v>
      </c>
    </row>
    <row r="273" spans="1:9" x14ac:dyDescent="0.25">
      <c r="A273" s="5" t="s">
        <v>986</v>
      </c>
      <c r="B273" s="5" t="s">
        <v>56</v>
      </c>
      <c r="C273" s="5" t="s">
        <v>163</v>
      </c>
      <c r="D273" s="5">
        <v>4</v>
      </c>
      <c r="E273" s="5">
        <v>4</v>
      </c>
      <c r="F273" s="5">
        <v>0</v>
      </c>
      <c r="G273" s="6">
        <f t="shared" si="4"/>
        <v>0</v>
      </c>
      <c r="H273" s="5">
        <v>1</v>
      </c>
      <c r="I273" s="6">
        <f>D273/(VLOOKUP(B273,'[1]2022 Team'!$B$2:$G$33,3,FALSE))</f>
        <v>9.876543209876543E-3</v>
      </c>
    </row>
    <row r="274" spans="1:9" x14ac:dyDescent="0.25">
      <c r="A274" s="5" t="s">
        <v>924</v>
      </c>
      <c r="B274" s="5" t="s">
        <v>40</v>
      </c>
      <c r="C274" s="5" t="s">
        <v>163</v>
      </c>
      <c r="D274" s="5">
        <v>3</v>
      </c>
      <c r="E274" s="5">
        <v>-1</v>
      </c>
      <c r="F274" s="5">
        <v>0</v>
      </c>
      <c r="G274" s="6">
        <f t="shared" si="4"/>
        <v>0</v>
      </c>
      <c r="H274" s="5">
        <v>-0.3</v>
      </c>
      <c r="I274" s="6">
        <f>D274/(VLOOKUP(B274,'[1]2022 Team'!$B$2:$G$33,3,FALSE))</f>
        <v>7.0093457943925233E-3</v>
      </c>
    </row>
    <row r="275" spans="1:9" x14ac:dyDescent="0.25">
      <c r="A275" s="5" t="s">
        <v>143</v>
      </c>
      <c r="B275" s="5" t="s">
        <v>20</v>
      </c>
      <c r="C275" s="5" t="s">
        <v>82</v>
      </c>
      <c r="D275" s="5">
        <v>3</v>
      </c>
      <c r="E275" s="5">
        <v>-1</v>
      </c>
      <c r="F275" s="5">
        <v>0</v>
      </c>
      <c r="G275" s="6">
        <f t="shared" si="4"/>
        <v>0</v>
      </c>
      <c r="H275" s="5">
        <v>-0.3</v>
      </c>
      <c r="I275" s="6">
        <f>D275/(VLOOKUP(B275,'[1]2022 Team'!$B$2:$G$33,3,FALSE))</f>
        <v>7.5187969924812026E-3</v>
      </c>
    </row>
    <row r="276" spans="1:9" x14ac:dyDescent="0.25">
      <c r="A276" s="5" t="s">
        <v>571</v>
      </c>
      <c r="B276" s="5" t="s">
        <v>12</v>
      </c>
      <c r="C276" s="5" t="s">
        <v>153</v>
      </c>
      <c r="D276" s="5">
        <v>3</v>
      </c>
      <c r="E276" s="5">
        <v>8</v>
      </c>
      <c r="F276" s="5">
        <v>0</v>
      </c>
      <c r="G276" s="6">
        <f t="shared" si="4"/>
        <v>0</v>
      </c>
      <c r="H276" s="5">
        <v>2.7</v>
      </c>
      <c r="I276" s="6">
        <f>D276/(VLOOKUP(B276,'[1]2022 Team'!$B$2:$G$33,3,FALSE))</f>
        <v>5.7034220532319393E-3</v>
      </c>
    </row>
    <row r="277" spans="1:9" x14ac:dyDescent="0.25">
      <c r="A277" s="5" t="s">
        <v>2437</v>
      </c>
      <c r="B277" s="5" t="s">
        <v>70</v>
      </c>
      <c r="C277" s="5" t="s">
        <v>186</v>
      </c>
      <c r="D277" s="5">
        <v>3</v>
      </c>
      <c r="E277" s="5">
        <v>8</v>
      </c>
      <c r="F277" s="5">
        <v>0</v>
      </c>
      <c r="G277" s="6">
        <f t="shared" si="4"/>
        <v>0</v>
      </c>
      <c r="H277" s="5">
        <v>2.7</v>
      </c>
      <c r="I277" s="6">
        <f>D277/(VLOOKUP(B277,'[1]2022 Team'!$B$2:$G$33,3,FALSE))</f>
        <v>5.5762081784386614E-3</v>
      </c>
    </row>
    <row r="278" spans="1:9" x14ac:dyDescent="0.25">
      <c r="A278" s="5" t="s">
        <v>147</v>
      </c>
      <c r="B278" s="5" t="s">
        <v>46</v>
      </c>
      <c r="C278" s="5" t="s">
        <v>82</v>
      </c>
      <c r="D278" s="5">
        <v>3</v>
      </c>
      <c r="E278" s="5">
        <v>27</v>
      </c>
      <c r="F278" s="5">
        <v>0</v>
      </c>
      <c r="G278" s="6">
        <f t="shared" si="4"/>
        <v>0</v>
      </c>
      <c r="H278" s="5">
        <v>9</v>
      </c>
      <c r="I278" s="6">
        <f>D278/(VLOOKUP(B278,'[1]2022 Team'!$B$2:$G$33,3,FALSE))</f>
        <v>7.6923076923076927E-3</v>
      </c>
    </row>
    <row r="279" spans="1:9" x14ac:dyDescent="0.25">
      <c r="A279" s="5" t="s">
        <v>2371</v>
      </c>
      <c r="B279" s="5" t="s">
        <v>12</v>
      </c>
      <c r="C279" s="5" t="s">
        <v>82</v>
      </c>
      <c r="D279" s="5">
        <v>3</v>
      </c>
      <c r="E279" s="5">
        <v>-5</v>
      </c>
      <c r="F279" s="5">
        <v>0</v>
      </c>
      <c r="G279" s="6">
        <f t="shared" si="4"/>
        <v>0</v>
      </c>
      <c r="H279" s="5">
        <v>-1.7</v>
      </c>
      <c r="I279" s="6">
        <f>D279/(VLOOKUP(B279,'[1]2022 Team'!$B$2:$G$33,3,FALSE))</f>
        <v>5.7034220532319393E-3</v>
      </c>
    </row>
    <row r="280" spans="1:9" x14ac:dyDescent="0.25">
      <c r="A280" s="5" t="s">
        <v>113</v>
      </c>
      <c r="B280" s="5" t="s">
        <v>56</v>
      </c>
      <c r="C280" s="5" t="s">
        <v>82</v>
      </c>
      <c r="D280" s="5">
        <v>3</v>
      </c>
      <c r="E280" s="5">
        <v>6</v>
      </c>
      <c r="F280" s="5">
        <v>0</v>
      </c>
      <c r="G280" s="6">
        <f t="shared" si="4"/>
        <v>0</v>
      </c>
      <c r="H280" s="5">
        <v>2</v>
      </c>
      <c r="I280" s="6">
        <f>D280/(VLOOKUP(B280,'[1]2022 Team'!$B$2:$G$33,3,FALSE))</f>
        <v>7.4074074074074077E-3</v>
      </c>
    </row>
    <row r="281" spans="1:9" x14ac:dyDescent="0.25">
      <c r="A281" s="5" t="s">
        <v>1025</v>
      </c>
      <c r="B281" s="5" t="s">
        <v>66</v>
      </c>
      <c r="C281" s="5" t="s">
        <v>163</v>
      </c>
      <c r="D281" s="5">
        <v>3</v>
      </c>
      <c r="E281" s="5">
        <v>5</v>
      </c>
      <c r="F281" s="5">
        <v>0</v>
      </c>
      <c r="G281" s="6">
        <f t="shared" si="4"/>
        <v>0</v>
      </c>
      <c r="H281" s="5">
        <v>1.7</v>
      </c>
      <c r="I281" s="6">
        <f>D281/(VLOOKUP(B281,'[1]2022 Team'!$B$2:$G$33,3,FALSE))</f>
        <v>7.7720207253886009E-3</v>
      </c>
    </row>
    <row r="282" spans="1:9" x14ac:dyDescent="0.25">
      <c r="A282" s="5" t="s">
        <v>2438</v>
      </c>
      <c r="B282" s="5" t="s">
        <v>64</v>
      </c>
      <c r="C282" s="5" t="s">
        <v>159</v>
      </c>
      <c r="D282" s="5">
        <v>3</v>
      </c>
      <c r="E282" s="5">
        <v>4</v>
      </c>
      <c r="F282" s="5">
        <v>0</v>
      </c>
      <c r="G282" s="6">
        <f t="shared" si="4"/>
        <v>0</v>
      </c>
      <c r="H282" s="5">
        <v>1.3</v>
      </c>
      <c r="I282" s="6">
        <f>D282/(VLOOKUP(B282,'[1]2022 Team'!$B$2:$G$33,3,FALSE))</f>
        <v>7.058823529411765E-3</v>
      </c>
    </row>
    <row r="283" spans="1:9" x14ac:dyDescent="0.25">
      <c r="A283" s="5" t="s">
        <v>731</v>
      </c>
      <c r="B283" s="5" t="s">
        <v>32</v>
      </c>
      <c r="C283" s="5" t="s">
        <v>163</v>
      </c>
      <c r="D283" s="5">
        <v>3</v>
      </c>
      <c r="E283" s="5">
        <v>3</v>
      </c>
      <c r="F283" s="5">
        <v>0</v>
      </c>
      <c r="G283" s="6">
        <f t="shared" si="4"/>
        <v>0</v>
      </c>
      <c r="H283" s="5">
        <v>1</v>
      </c>
      <c r="I283" s="6">
        <f>D283/(VLOOKUP(B283,'[1]2022 Team'!$B$2:$G$33,3,FALSE))</f>
        <v>7.537688442211055E-3</v>
      </c>
    </row>
    <row r="284" spans="1:9" x14ac:dyDescent="0.25">
      <c r="A284" s="5" t="s">
        <v>720</v>
      </c>
      <c r="B284" s="5" t="s">
        <v>38</v>
      </c>
      <c r="C284" s="5" t="s">
        <v>163</v>
      </c>
      <c r="D284" s="5">
        <v>3</v>
      </c>
      <c r="E284" s="5">
        <v>24</v>
      </c>
      <c r="F284" s="5">
        <v>0</v>
      </c>
      <c r="G284" s="6">
        <f t="shared" si="4"/>
        <v>0</v>
      </c>
      <c r="H284" s="5">
        <v>8</v>
      </c>
      <c r="I284" s="6">
        <f>D284/(VLOOKUP(B284,'[1]2022 Team'!$B$2:$G$33,3,FALSE))</f>
        <v>7.1942446043165471E-3</v>
      </c>
    </row>
    <row r="285" spans="1:9" x14ac:dyDescent="0.25">
      <c r="A285" s="5" t="s">
        <v>1034</v>
      </c>
      <c r="B285" s="5" t="s">
        <v>68</v>
      </c>
      <c r="C285" s="5" t="s">
        <v>153</v>
      </c>
      <c r="D285" s="5">
        <v>3</v>
      </c>
      <c r="E285" s="5">
        <v>2</v>
      </c>
      <c r="F285" s="5">
        <v>0</v>
      </c>
      <c r="G285" s="6">
        <f t="shared" si="4"/>
        <v>0</v>
      </c>
      <c r="H285" s="5">
        <v>0.7</v>
      </c>
      <c r="I285" s="6">
        <f>D285/(VLOOKUP(B285,'[1]2022 Team'!$B$2:$G$33,3,FALSE))</f>
        <v>6.1601642710472282E-3</v>
      </c>
    </row>
    <row r="286" spans="1:9" x14ac:dyDescent="0.25">
      <c r="A286" s="5" t="s">
        <v>1827</v>
      </c>
      <c r="B286" s="5" t="s">
        <v>48</v>
      </c>
      <c r="C286" s="5" t="s">
        <v>163</v>
      </c>
      <c r="D286" s="5">
        <v>3</v>
      </c>
      <c r="E286" s="5">
        <v>6</v>
      </c>
      <c r="F286" s="5">
        <v>0</v>
      </c>
      <c r="G286" s="6">
        <f t="shared" si="4"/>
        <v>0</v>
      </c>
      <c r="H286" s="5">
        <v>2</v>
      </c>
      <c r="I286" s="6">
        <f>D286/(VLOOKUP(B286,'[1]2022 Team'!$B$2:$G$33,3,FALSE))</f>
        <v>7.4257425742574254E-3</v>
      </c>
    </row>
    <row r="287" spans="1:9" x14ac:dyDescent="0.25">
      <c r="A287" s="5" t="s">
        <v>1733</v>
      </c>
      <c r="B287" s="5" t="s">
        <v>26</v>
      </c>
      <c r="C287" s="5" t="s">
        <v>159</v>
      </c>
      <c r="D287" s="5">
        <v>3</v>
      </c>
      <c r="E287" s="5">
        <v>4</v>
      </c>
      <c r="F287" s="5">
        <v>0</v>
      </c>
      <c r="G287" s="6">
        <f t="shared" si="4"/>
        <v>0</v>
      </c>
      <c r="H287" s="5">
        <v>1.3</v>
      </c>
      <c r="I287" s="6">
        <f>D287/(VLOOKUP(B287,'[1]2022 Team'!$B$2:$G$33,3,FALSE))</f>
        <v>6.7567567567567571E-3</v>
      </c>
    </row>
    <row r="288" spans="1:9" x14ac:dyDescent="0.25">
      <c r="A288" s="5" t="s">
        <v>859</v>
      </c>
      <c r="B288" s="5" t="s">
        <v>60</v>
      </c>
      <c r="C288" s="5" t="s">
        <v>163</v>
      </c>
      <c r="D288" s="5">
        <v>3</v>
      </c>
      <c r="E288" s="5">
        <v>24</v>
      </c>
      <c r="F288" s="5">
        <v>1</v>
      </c>
      <c r="G288" s="6">
        <f t="shared" si="4"/>
        <v>0.33333333333333331</v>
      </c>
      <c r="H288" s="5">
        <v>8</v>
      </c>
      <c r="I288" s="6">
        <f>D288/(VLOOKUP(B288,'[1]2022 Team'!$B$2:$G$33,3,FALSE))</f>
        <v>6.0000000000000001E-3</v>
      </c>
    </row>
    <row r="289" spans="1:9" x14ac:dyDescent="0.25">
      <c r="A289" s="5" t="s">
        <v>898</v>
      </c>
      <c r="B289" s="5" t="s">
        <v>34</v>
      </c>
      <c r="C289" s="5" t="s">
        <v>163</v>
      </c>
      <c r="D289" s="5">
        <v>3</v>
      </c>
      <c r="E289" s="5">
        <v>30</v>
      </c>
      <c r="F289" s="5">
        <v>0</v>
      </c>
      <c r="G289" s="6">
        <f t="shared" si="4"/>
        <v>0</v>
      </c>
      <c r="H289" s="5">
        <v>10</v>
      </c>
      <c r="I289" s="6">
        <f>D289/(VLOOKUP(B289,'[1]2022 Team'!$B$2:$G$33,3,FALSE))</f>
        <v>6.8337129840546698E-3</v>
      </c>
    </row>
    <row r="290" spans="1:9" x14ac:dyDescent="0.25">
      <c r="A290" s="5" t="s">
        <v>913</v>
      </c>
      <c r="B290" s="5" t="s">
        <v>50</v>
      </c>
      <c r="C290" s="5" t="s">
        <v>163</v>
      </c>
      <c r="D290" s="5">
        <v>3</v>
      </c>
      <c r="E290" s="5">
        <v>16</v>
      </c>
      <c r="F290" s="5">
        <v>1</v>
      </c>
      <c r="G290" s="6">
        <f t="shared" si="4"/>
        <v>0.33333333333333331</v>
      </c>
      <c r="H290" s="5">
        <v>5.3</v>
      </c>
      <c r="I290" s="6">
        <f>D290/(VLOOKUP(B290,'[1]2022 Team'!$B$2:$G$33,3,FALSE))</f>
        <v>7.058823529411765E-3</v>
      </c>
    </row>
    <row r="291" spans="1:9" x14ac:dyDescent="0.25">
      <c r="A291" s="5" t="s">
        <v>558</v>
      </c>
      <c r="B291" s="5" t="s">
        <v>24</v>
      </c>
      <c r="C291" s="5" t="s">
        <v>163</v>
      </c>
      <c r="D291" s="5">
        <v>3</v>
      </c>
      <c r="E291" s="5">
        <v>17</v>
      </c>
      <c r="F291" s="5">
        <v>0</v>
      </c>
      <c r="G291" s="6">
        <f t="shared" si="4"/>
        <v>0</v>
      </c>
      <c r="H291" s="5">
        <v>5.7</v>
      </c>
      <c r="I291" s="6">
        <f>D291/(VLOOKUP(B291,'[1]2022 Team'!$B$2:$G$33,3,FALSE))</f>
        <v>5.6497175141242938E-3</v>
      </c>
    </row>
    <row r="292" spans="1:9" x14ac:dyDescent="0.25">
      <c r="A292" s="5" t="s">
        <v>175</v>
      </c>
      <c r="B292" s="5" t="s">
        <v>46</v>
      </c>
      <c r="C292" s="5" t="s">
        <v>163</v>
      </c>
      <c r="D292" s="5">
        <v>3</v>
      </c>
      <c r="E292" s="5">
        <v>26</v>
      </c>
      <c r="F292" s="5">
        <v>0</v>
      </c>
      <c r="G292" s="6">
        <f t="shared" si="4"/>
        <v>0</v>
      </c>
      <c r="H292" s="5">
        <v>8.6999999999999993</v>
      </c>
      <c r="I292" s="6">
        <f>D292/(VLOOKUP(B292,'[1]2022 Team'!$B$2:$G$33,3,FALSE))</f>
        <v>7.6923076923076927E-3</v>
      </c>
    </row>
    <row r="293" spans="1:9" x14ac:dyDescent="0.25">
      <c r="A293" s="5" t="s">
        <v>1860</v>
      </c>
      <c r="B293" s="5" t="s">
        <v>58</v>
      </c>
      <c r="C293" s="5" t="s">
        <v>163</v>
      </c>
      <c r="D293" s="5">
        <v>3</v>
      </c>
      <c r="E293" s="5">
        <v>1</v>
      </c>
      <c r="F293" s="5">
        <v>0</v>
      </c>
      <c r="G293" s="6">
        <f t="shared" si="4"/>
        <v>0</v>
      </c>
      <c r="H293" s="5">
        <v>0.3</v>
      </c>
      <c r="I293" s="6">
        <f>D293/(VLOOKUP(B293,'[1]2022 Team'!$B$2:$G$33,3,FALSE))</f>
        <v>5.5147058823529415E-3</v>
      </c>
    </row>
    <row r="294" spans="1:9" x14ac:dyDescent="0.25">
      <c r="A294" s="5" t="s">
        <v>1771</v>
      </c>
      <c r="B294" s="5" t="s">
        <v>62</v>
      </c>
      <c r="C294" s="5" t="s">
        <v>163</v>
      </c>
      <c r="D294" s="5">
        <v>2</v>
      </c>
      <c r="E294" s="5">
        <v>23</v>
      </c>
      <c r="F294" s="5">
        <v>0</v>
      </c>
      <c r="G294" s="6">
        <f t="shared" si="4"/>
        <v>0</v>
      </c>
      <c r="H294" s="5">
        <v>11.5</v>
      </c>
      <c r="I294" s="6">
        <f>D294/(VLOOKUP(B294,'[1]2022 Team'!$B$2:$G$33,3,FALSE))</f>
        <v>3.968253968253968E-3</v>
      </c>
    </row>
    <row r="295" spans="1:9" x14ac:dyDescent="0.25">
      <c r="A295" s="5" t="s">
        <v>741</v>
      </c>
      <c r="B295" s="5" t="s">
        <v>26</v>
      </c>
      <c r="C295" s="5" t="s">
        <v>153</v>
      </c>
      <c r="D295" s="5">
        <v>2</v>
      </c>
      <c r="E295" s="5">
        <v>0</v>
      </c>
      <c r="F295" s="5">
        <v>0</v>
      </c>
      <c r="G295" s="6">
        <f t="shared" si="4"/>
        <v>0</v>
      </c>
      <c r="H295" s="5">
        <v>0</v>
      </c>
      <c r="I295" s="6">
        <f>D295/(VLOOKUP(B295,'[1]2022 Team'!$B$2:$G$33,3,FALSE))</f>
        <v>4.5045045045045045E-3</v>
      </c>
    </row>
    <row r="296" spans="1:9" x14ac:dyDescent="0.25">
      <c r="A296" s="5" t="s">
        <v>1564</v>
      </c>
      <c r="B296" s="5" t="s">
        <v>18</v>
      </c>
      <c r="C296" s="5" t="s">
        <v>82</v>
      </c>
      <c r="D296" s="5">
        <v>2</v>
      </c>
      <c r="E296" s="5">
        <v>-2</v>
      </c>
      <c r="F296" s="5">
        <v>0</v>
      </c>
      <c r="G296" s="6">
        <f t="shared" si="4"/>
        <v>0</v>
      </c>
      <c r="H296" s="5">
        <v>-1</v>
      </c>
      <c r="I296" s="6">
        <f>D296/(VLOOKUP(B296,'[1]2022 Team'!$B$2:$G$33,3,FALSE))</f>
        <v>3.5842293906810036E-3</v>
      </c>
    </row>
    <row r="297" spans="1:9" x14ac:dyDescent="0.25">
      <c r="A297" s="5" t="s">
        <v>1728</v>
      </c>
      <c r="B297" s="5" t="s">
        <v>42</v>
      </c>
      <c r="C297" s="5" t="s">
        <v>163</v>
      </c>
      <c r="D297" s="5">
        <v>2</v>
      </c>
      <c r="E297" s="5">
        <v>-15</v>
      </c>
      <c r="F297" s="5">
        <v>0</v>
      </c>
      <c r="G297" s="6">
        <f t="shared" si="4"/>
        <v>0</v>
      </c>
      <c r="H297" s="5">
        <v>-7.5</v>
      </c>
      <c r="I297" s="6">
        <f>D297/(VLOOKUP(B297,'[1]2022 Team'!$B$2:$G$33,3,FALSE))</f>
        <v>4.9504950495049506E-3</v>
      </c>
    </row>
    <row r="298" spans="1:9" x14ac:dyDescent="0.25">
      <c r="A298" s="5" t="s">
        <v>766</v>
      </c>
      <c r="B298" s="5" t="s">
        <v>56</v>
      </c>
      <c r="C298" s="5" t="s">
        <v>153</v>
      </c>
      <c r="D298" s="5">
        <v>2</v>
      </c>
      <c r="E298" s="5">
        <v>3</v>
      </c>
      <c r="F298" s="5">
        <v>0</v>
      </c>
      <c r="G298" s="6">
        <f t="shared" si="4"/>
        <v>0</v>
      </c>
      <c r="H298" s="5">
        <v>1.5</v>
      </c>
      <c r="I298" s="6">
        <f>D298/(VLOOKUP(B298,'[1]2022 Team'!$B$2:$G$33,3,FALSE))</f>
        <v>4.9382716049382715E-3</v>
      </c>
    </row>
    <row r="299" spans="1:9" x14ac:dyDescent="0.25">
      <c r="A299" s="5" t="s">
        <v>820</v>
      </c>
      <c r="B299" s="5" t="s">
        <v>32</v>
      </c>
      <c r="C299" s="5" t="s">
        <v>163</v>
      </c>
      <c r="D299" s="5">
        <v>2</v>
      </c>
      <c r="E299" s="5">
        <v>7</v>
      </c>
      <c r="F299" s="5">
        <v>0</v>
      </c>
      <c r="G299" s="6">
        <f t="shared" si="4"/>
        <v>0</v>
      </c>
      <c r="H299" s="5">
        <v>3.5</v>
      </c>
      <c r="I299" s="6">
        <f>D299/(VLOOKUP(B299,'[1]2022 Team'!$B$2:$G$33,3,FALSE))</f>
        <v>5.0251256281407036E-3</v>
      </c>
    </row>
    <row r="300" spans="1:9" x14ac:dyDescent="0.25">
      <c r="A300" s="5" t="s">
        <v>2439</v>
      </c>
      <c r="B300" s="5" t="s">
        <v>64</v>
      </c>
      <c r="C300" s="5" t="s">
        <v>165</v>
      </c>
      <c r="D300" s="5">
        <v>2</v>
      </c>
      <c r="E300" s="5">
        <v>-18</v>
      </c>
      <c r="F300" s="5">
        <v>0</v>
      </c>
      <c r="G300" s="6">
        <f t="shared" si="4"/>
        <v>0</v>
      </c>
      <c r="H300" s="5">
        <v>-9</v>
      </c>
      <c r="I300" s="6">
        <f>D300/(VLOOKUP(B300,'[1]2022 Team'!$B$2:$G$33,3,FALSE))</f>
        <v>4.7058823529411761E-3</v>
      </c>
    </row>
    <row r="301" spans="1:9" x14ac:dyDescent="0.25">
      <c r="A301" s="5" t="s">
        <v>992</v>
      </c>
      <c r="B301" s="5" t="s">
        <v>70</v>
      </c>
      <c r="C301" s="5" t="s">
        <v>163</v>
      </c>
      <c r="D301" s="5">
        <v>2</v>
      </c>
      <c r="E301" s="5">
        <v>-7</v>
      </c>
      <c r="F301" s="5">
        <v>0</v>
      </c>
      <c r="G301" s="6">
        <f t="shared" si="4"/>
        <v>0</v>
      </c>
      <c r="H301" s="5">
        <v>-3.5</v>
      </c>
      <c r="I301" s="6">
        <f>D301/(VLOOKUP(B301,'[1]2022 Team'!$B$2:$G$33,3,FALSE))</f>
        <v>3.7174721189591076E-3</v>
      </c>
    </row>
    <row r="302" spans="1:9" x14ac:dyDescent="0.25">
      <c r="A302" s="5" t="s">
        <v>682</v>
      </c>
      <c r="B302" s="5" t="s">
        <v>34</v>
      </c>
      <c r="C302" s="5" t="s">
        <v>163</v>
      </c>
      <c r="D302" s="5">
        <v>2</v>
      </c>
      <c r="E302" s="5">
        <v>8</v>
      </c>
      <c r="F302" s="5">
        <v>0</v>
      </c>
      <c r="G302" s="6">
        <f t="shared" si="4"/>
        <v>0</v>
      </c>
      <c r="H302" s="5">
        <v>4</v>
      </c>
      <c r="I302" s="6">
        <f>D302/(VLOOKUP(B302,'[1]2022 Team'!$B$2:$G$33,3,FALSE))</f>
        <v>4.5558086560364463E-3</v>
      </c>
    </row>
    <row r="303" spans="1:9" x14ac:dyDescent="0.25">
      <c r="A303" s="5" t="s">
        <v>781</v>
      </c>
      <c r="B303" s="5" t="s">
        <v>36</v>
      </c>
      <c r="C303" s="5" t="s">
        <v>153</v>
      </c>
      <c r="D303" s="5">
        <v>2</v>
      </c>
      <c r="E303" s="5">
        <v>13</v>
      </c>
      <c r="F303" s="5">
        <v>0</v>
      </c>
      <c r="G303" s="6">
        <f t="shared" si="4"/>
        <v>0</v>
      </c>
      <c r="H303" s="5">
        <v>6.5</v>
      </c>
      <c r="I303" s="6">
        <f>D303/(VLOOKUP(B303,'[1]2022 Team'!$B$2:$G$33,3,FALSE))</f>
        <v>4.464285714285714E-3</v>
      </c>
    </row>
    <row r="304" spans="1:9" x14ac:dyDescent="0.25">
      <c r="A304" s="5" t="s">
        <v>942</v>
      </c>
      <c r="B304" s="5" t="s">
        <v>64</v>
      </c>
      <c r="C304" s="5" t="s">
        <v>163</v>
      </c>
      <c r="D304" s="5">
        <v>2</v>
      </c>
      <c r="E304" s="5">
        <v>10</v>
      </c>
      <c r="F304" s="5">
        <v>0</v>
      </c>
      <c r="G304" s="6">
        <f t="shared" si="4"/>
        <v>0</v>
      </c>
      <c r="H304" s="5">
        <v>5</v>
      </c>
      <c r="I304" s="6">
        <f>D304/(VLOOKUP(B304,'[1]2022 Team'!$B$2:$G$33,3,FALSE))</f>
        <v>4.7058823529411761E-3</v>
      </c>
    </row>
    <row r="305" spans="1:9" x14ac:dyDescent="0.25">
      <c r="A305" s="5" t="s">
        <v>2372</v>
      </c>
      <c r="B305" s="5" t="s">
        <v>34</v>
      </c>
      <c r="C305" s="5" t="s">
        <v>82</v>
      </c>
      <c r="D305" s="5">
        <v>2</v>
      </c>
      <c r="E305" s="5">
        <v>8</v>
      </c>
      <c r="F305" s="5">
        <v>0</v>
      </c>
      <c r="G305" s="6">
        <f t="shared" si="4"/>
        <v>0</v>
      </c>
      <c r="H305" s="5">
        <v>4</v>
      </c>
      <c r="I305" s="6">
        <f>D305/(VLOOKUP(B305,'[1]2022 Team'!$B$2:$G$33,3,FALSE))</f>
        <v>4.5558086560364463E-3</v>
      </c>
    </row>
    <row r="306" spans="1:9" x14ac:dyDescent="0.25">
      <c r="A306" s="5" t="s">
        <v>756</v>
      </c>
      <c r="B306" s="5" t="s">
        <v>54</v>
      </c>
      <c r="C306" s="5" t="s">
        <v>165</v>
      </c>
      <c r="D306" s="5">
        <v>2</v>
      </c>
      <c r="E306" s="5">
        <v>-3</v>
      </c>
      <c r="F306" s="5">
        <v>0</v>
      </c>
      <c r="G306" s="6">
        <f t="shared" si="4"/>
        <v>0</v>
      </c>
      <c r="H306" s="5">
        <v>-1.5</v>
      </c>
      <c r="I306" s="6">
        <f>D306/(VLOOKUP(B306,'[1]2022 Team'!$B$2:$G$33,3,FALSE))</f>
        <v>3.8461538461538464E-3</v>
      </c>
    </row>
    <row r="307" spans="1:9" x14ac:dyDescent="0.25">
      <c r="A307" s="5" t="s">
        <v>1725</v>
      </c>
      <c r="B307" s="5" t="s">
        <v>64</v>
      </c>
      <c r="C307" s="5" t="s">
        <v>163</v>
      </c>
      <c r="D307" s="5">
        <v>2</v>
      </c>
      <c r="E307" s="5">
        <v>5</v>
      </c>
      <c r="F307" s="5">
        <v>0</v>
      </c>
      <c r="G307" s="6">
        <f t="shared" si="4"/>
        <v>0</v>
      </c>
      <c r="H307" s="5">
        <v>2.5</v>
      </c>
      <c r="I307" s="6">
        <f>D307/(VLOOKUP(B307,'[1]2022 Team'!$B$2:$G$33,3,FALSE))</f>
        <v>4.7058823529411761E-3</v>
      </c>
    </row>
    <row r="308" spans="1:9" x14ac:dyDescent="0.25">
      <c r="A308" s="5" t="s">
        <v>2440</v>
      </c>
      <c r="B308" s="5" t="s">
        <v>26</v>
      </c>
      <c r="C308" s="5" t="s">
        <v>163</v>
      </c>
      <c r="D308" s="5">
        <v>2</v>
      </c>
      <c r="E308" s="5">
        <v>23</v>
      </c>
      <c r="F308" s="5">
        <v>0</v>
      </c>
      <c r="G308" s="6">
        <f t="shared" si="4"/>
        <v>0</v>
      </c>
      <c r="H308" s="5">
        <v>11.5</v>
      </c>
      <c r="I308" s="6">
        <f>D308/(VLOOKUP(B308,'[1]2022 Team'!$B$2:$G$33,3,FALSE))</f>
        <v>4.5045045045045045E-3</v>
      </c>
    </row>
    <row r="309" spans="1:9" x14ac:dyDescent="0.25">
      <c r="A309" s="5" t="s">
        <v>556</v>
      </c>
      <c r="B309" s="5" t="s">
        <v>60</v>
      </c>
      <c r="C309" s="5" t="s">
        <v>153</v>
      </c>
      <c r="D309" s="5">
        <v>2</v>
      </c>
      <c r="E309" s="5">
        <v>27</v>
      </c>
      <c r="F309" s="5">
        <v>0</v>
      </c>
      <c r="G309" s="6">
        <f t="shared" si="4"/>
        <v>0</v>
      </c>
      <c r="H309" s="5">
        <v>13.5</v>
      </c>
      <c r="I309" s="6">
        <f>D309/(VLOOKUP(B309,'[1]2022 Team'!$B$2:$G$33,3,FALSE))</f>
        <v>4.0000000000000001E-3</v>
      </c>
    </row>
    <row r="310" spans="1:9" x14ac:dyDescent="0.25">
      <c r="A310" s="5" t="s">
        <v>2397</v>
      </c>
      <c r="B310" s="5" t="s">
        <v>26</v>
      </c>
      <c r="C310" s="5" t="s">
        <v>163</v>
      </c>
      <c r="D310" s="5">
        <v>2</v>
      </c>
      <c r="E310" s="5">
        <v>13</v>
      </c>
      <c r="F310" s="5">
        <v>0</v>
      </c>
      <c r="G310" s="6">
        <f t="shared" ref="G310:G371" si="5">F310/D310</f>
        <v>0</v>
      </c>
      <c r="H310" s="5">
        <v>6.5</v>
      </c>
      <c r="I310" s="6">
        <f>D310/(VLOOKUP(B310,'[1]2022 Team'!$B$2:$G$33,3,FALSE))</f>
        <v>4.5045045045045045E-3</v>
      </c>
    </row>
    <row r="311" spans="1:9" x14ac:dyDescent="0.25">
      <c r="A311" s="5" t="s">
        <v>1809</v>
      </c>
      <c r="B311" s="5" t="s">
        <v>54</v>
      </c>
      <c r="C311" s="5" t="s">
        <v>163</v>
      </c>
      <c r="D311" s="5">
        <v>2</v>
      </c>
      <c r="E311" s="5">
        <v>6</v>
      </c>
      <c r="F311" s="5">
        <v>0</v>
      </c>
      <c r="G311" s="6">
        <f t="shared" si="5"/>
        <v>0</v>
      </c>
      <c r="H311" s="5">
        <v>3</v>
      </c>
      <c r="I311" s="6">
        <f>D311/(VLOOKUP(B311,'[1]2022 Team'!$B$2:$G$33,3,FALSE))</f>
        <v>3.8461538461538464E-3</v>
      </c>
    </row>
    <row r="312" spans="1:9" x14ac:dyDescent="0.25">
      <c r="A312" s="5" t="s">
        <v>2441</v>
      </c>
      <c r="B312" s="5" t="s">
        <v>14</v>
      </c>
      <c r="C312" s="5" t="s">
        <v>159</v>
      </c>
      <c r="D312" s="5">
        <v>2</v>
      </c>
      <c r="E312" s="5">
        <v>4</v>
      </c>
      <c r="F312" s="5">
        <v>0</v>
      </c>
      <c r="G312" s="6">
        <f t="shared" si="5"/>
        <v>0</v>
      </c>
      <c r="H312" s="5">
        <v>2</v>
      </c>
      <c r="I312" s="6">
        <f>D312/(VLOOKUP(B312,'[1]2022 Team'!$B$2:$G$33,3,FALSE))</f>
        <v>4.6511627906976744E-3</v>
      </c>
    </row>
    <row r="313" spans="1:9" x14ac:dyDescent="0.25">
      <c r="A313" s="5" t="s">
        <v>135</v>
      </c>
      <c r="B313" s="5" t="s">
        <v>62</v>
      </c>
      <c r="C313" s="5" t="s">
        <v>82</v>
      </c>
      <c r="D313" s="5">
        <v>2</v>
      </c>
      <c r="E313" s="5">
        <v>3</v>
      </c>
      <c r="F313" s="5">
        <v>0</v>
      </c>
      <c r="G313" s="6">
        <f t="shared" si="5"/>
        <v>0</v>
      </c>
      <c r="H313" s="5">
        <v>1.5</v>
      </c>
      <c r="I313" s="6">
        <f>D313/(VLOOKUP(B313,'[1]2022 Team'!$B$2:$G$33,3,FALSE))</f>
        <v>3.968253968253968E-3</v>
      </c>
    </row>
    <row r="314" spans="1:9" x14ac:dyDescent="0.25">
      <c r="A314" s="5" t="s">
        <v>777</v>
      </c>
      <c r="B314" s="5" t="s">
        <v>38</v>
      </c>
      <c r="C314" s="5" t="s">
        <v>153</v>
      </c>
      <c r="D314" s="5">
        <v>2</v>
      </c>
      <c r="E314" s="5">
        <v>5</v>
      </c>
      <c r="F314" s="5">
        <v>0</v>
      </c>
      <c r="G314" s="6">
        <f t="shared" si="5"/>
        <v>0</v>
      </c>
      <c r="H314" s="5">
        <v>2.5</v>
      </c>
      <c r="I314" s="6">
        <f>D314/(VLOOKUP(B314,'[1]2022 Team'!$B$2:$G$33,3,FALSE))</f>
        <v>4.7961630695443642E-3</v>
      </c>
    </row>
    <row r="315" spans="1:9" x14ac:dyDescent="0.25">
      <c r="A315" s="5" t="s">
        <v>168</v>
      </c>
      <c r="B315" s="5" t="s">
        <v>18</v>
      </c>
      <c r="C315" s="5" t="s">
        <v>153</v>
      </c>
      <c r="D315" s="5">
        <v>2</v>
      </c>
      <c r="E315" s="5">
        <v>9</v>
      </c>
      <c r="F315" s="5">
        <v>0</v>
      </c>
      <c r="G315" s="6">
        <f t="shared" si="5"/>
        <v>0</v>
      </c>
      <c r="H315" s="5">
        <v>4.5</v>
      </c>
      <c r="I315" s="6">
        <f>D315/(VLOOKUP(B315,'[1]2022 Team'!$B$2:$G$33,3,FALSE))</f>
        <v>3.5842293906810036E-3</v>
      </c>
    </row>
    <row r="316" spans="1:9" x14ac:dyDescent="0.25">
      <c r="A316" s="5" t="s">
        <v>978</v>
      </c>
      <c r="B316" s="5" t="s">
        <v>30</v>
      </c>
      <c r="C316" s="5" t="s">
        <v>163</v>
      </c>
      <c r="D316" s="5">
        <v>2</v>
      </c>
      <c r="E316" s="5">
        <v>0</v>
      </c>
      <c r="F316" s="5">
        <v>0</v>
      </c>
      <c r="G316" s="6">
        <f t="shared" si="5"/>
        <v>0</v>
      </c>
      <c r="H316" s="5">
        <v>0</v>
      </c>
      <c r="I316" s="6">
        <f>D316/(VLOOKUP(B316,'[1]2022 Team'!$B$2:$G$33,3,FALSE))</f>
        <v>4.3859649122807015E-3</v>
      </c>
    </row>
    <row r="317" spans="1:9" x14ac:dyDescent="0.25">
      <c r="A317" s="5" t="s">
        <v>654</v>
      </c>
      <c r="B317" s="5" t="s">
        <v>50</v>
      </c>
      <c r="C317" s="5" t="s">
        <v>163</v>
      </c>
      <c r="D317" s="5">
        <v>2</v>
      </c>
      <c r="E317" s="5">
        <v>-11</v>
      </c>
      <c r="F317" s="5">
        <v>0</v>
      </c>
      <c r="G317" s="6">
        <f t="shared" si="5"/>
        <v>0</v>
      </c>
      <c r="H317" s="5">
        <v>-5.5</v>
      </c>
      <c r="I317" s="6">
        <f>D317/(VLOOKUP(B317,'[1]2022 Team'!$B$2:$G$33,3,FALSE))</f>
        <v>4.7058823529411761E-3</v>
      </c>
    </row>
    <row r="318" spans="1:9" x14ac:dyDescent="0.25">
      <c r="A318" s="5" t="s">
        <v>1732</v>
      </c>
      <c r="B318" s="5" t="s">
        <v>50</v>
      </c>
      <c r="C318" s="5" t="s">
        <v>163</v>
      </c>
      <c r="D318" s="5">
        <v>2</v>
      </c>
      <c r="E318" s="5">
        <v>-2</v>
      </c>
      <c r="F318" s="5">
        <v>0</v>
      </c>
      <c r="G318" s="6">
        <f t="shared" si="5"/>
        <v>0</v>
      </c>
      <c r="H318" s="5">
        <v>-1</v>
      </c>
      <c r="I318" s="6">
        <f>D318/(VLOOKUP(B318,'[1]2022 Team'!$B$2:$G$33,3,FALSE))</f>
        <v>4.7058823529411761E-3</v>
      </c>
    </row>
    <row r="319" spans="1:9" x14ac:dyDescent="0.25">
      <c r="A319" s="5" t="s">
        <v>2442</v>
      </c>
      <c r="B319" s="5" t="s">
        <v>28</v>
      </c>
      <c r="C319" s="5" t="s">
        <v>755</v>
      </c>
      <c r="D319" s="5">
        <v>2</v>
      </c>
      <c r="E319" s="5">
        <v>55</v>
      </c>
      <c r="F319" s="5">
        <v>0</v>
      </c>
      <c r="G319" s="6">
        <f t="shared" si="5"/>
        <v>0</v>
      </c>
      <c r="H319" s="5">
        <v>27.5</v>
      </c>
      <c r="I319" s="6">
        <f>D319/(VLOOKUP(B319,'[1]2022 Team'!$B$2:$G$33,3,FALSE))</f>
        <v>4.1666666666666666E-3</v>
      </c>
    </row>
    <row r="320" spans="1:9" x14ac:dyDescent="0.25">
      <c r="A320" s="5" t="s">
        <v>852</v>
      </c>
      <c r="B320" s="5" t="s">
        <v>22</v>
      </c>
      <c r="C320" s="5" t="s">
        <v>153</v>
      </c>
      <c r="D320" s="5">
        <v>2</v>
      </c>
      <c r="E320" s="5">
        <v>-8</v>
      </c>
      <c r="F320" s="5">
        <v>0</v>
      </c>
      <c r="G320" s="6">
        <f t="shared" si="5"/>
        <v>0</v>
      </c>
      <c r="H320" s="5">
        <v>-4</v>
      </c>
      <c r="I320" s="6">
        <f>D320/(VLOOKUP(B320,'[1]2022 Team'!$B$2:$G$33,3,FALSE))</f>
        <v>3.7593984962406013E-3</v>
      </c>
    </row>
    <row r="321" spans="1:9" x14ac:dyDescent="0.25">
      <c r="A321" s="5" t="s">
        <v>2443</v>
      </c>
      <c r="B321" s="5" t="s">
        <v>66</v>
      </c>
      <c r="C321" s="5" t="s">
        <v>163</v>
      </c>
      <c r="D321" s="5">
        <v>2</v>
      </c>
      <c r="E321" s="5">
        <v>-7</v>
      </c>
      <c r="F321" s="5">
        <v>0</v>
      </c>
      <c r="G321" s="6">
        <f t="shared" si="5"/>
        <v>0</v>
      </c>
      <c r="H321" s="5">
        <v>-3.5</v>
      </c>
      <c r="I321" s="6">
        <f>D321/(VLOOKUP(B321,'[1]2022 Team'!$B$2:$G$33,3,FALSE))</f>
        <v>5.1813471502590676E-3</v>
      </c>
    </row>
    <row r="322" spans="1:9" x14ac:dyDescent="0.25">
      <c r="A322" s="5" t="s">
        <v>1585</v>
      </c>
      <c r="B322" s="5" t="s">
        <v>18</v>
      </c>
      <c r="C322" s="5" t="s">
        <v>82</v>
      </c>
      <c r="D322" s="5">
        <v>2</v>
      </c>
      <c r="E322" s="5">
        <v>7</v>
      </c>
      <c r="F322" s="5">
        <v>0</v>
      </c>
      <c r="G322" s="6">
        <f t="shared" si="5"/>
        <v>0</v>
      </c>
      <c r="H322" s="5">
        <v>3.5</v>
      </c>
      <c r="I322" s="6">
        <f>D322/(VLOOKUP(B322,'[1]2022 Team'!$B$2:$G$33,3,FALSE))</f>
        <v>3.5842293906810036E-3</v>
      </c>
    </row>
    <row r="323" spans="1:9" x14ac:dyDescent="0.25">
      <c r="A323" s="5" t="s">
        <v>959</v>
      </c>
      <c r="B323" s="5" t="s">
        <v>18</v>
      </c>
      <c r="C323" s="5" t="s">
        <v>163</v>
      </c>
      <c r="D323" s="5">
        <v>2</v>
      </c>
      <c r="E323" s="5">
        <v>37</v>
      </c>
      <c r="F323" s="5">
        <v>0</v>
      </c>
      <c r="G323" s="6">
        <f t="shared" si="5"/>
        <v>0</v>
      </c>
      <c r="H323" s="5">
        <v>18.5</v>
      </c>
      <c r="I323" s="6">
        <f>D323/(VLOOKUP(B323,'[1]2022 Team'!$B$2:$G$33,3,FALSE))</f>
        <v>3.5842293906810036E-3</v>
      </c>
    </row>
    <row r="324" spans="1:9" x14ac:dyDescent="0.25">
      <c r="A324" s="5" t="s">
        <v>681</v>
      </c>
      <c r="B324" s="5" t="s">
        <v>54</v>
      </c>
      <c r="C324" s="5" t="s">
        <v>163</v>
      </c>
      <c r="D324" s="5">
        <v>2</v>
      </c>
      <c r="E324" s="5">
        <v>-1</v>
      </c>
      <c r="F324" s="5">
        <v>0</v>
      </c>
      <c r="G324" s="6">
        <f t="shared" si="5"/>
        <v>0</v>
      </c>
      <c r="H324" s="5">
        <v>-0.5</v>
      </c>
      <c r="I324" s="6">
        <f>D324/(VLOOKUP(B324,'[1]2022 Team'!$B$2:$G$33,3,FALSE))</f>
        <v>3.8461538461538464E-3</v>
      </c>
    </row>
    <row r="325" spans="1:9" x14ac:dyDescent="0.25">
      <c r="A325" s="5" t="s">
        <v>1839</v>
      </c>
      <c r="B325" s="5" t="s">
        <v>30</v>
      </c>
      <c r="C325" s="5" t="s">
        <v>163</v>
      </c>
      <c r="D325" s="5">
        <v>0</v>
      </c>
      <c r="E325" s="5">
        <v>0</v>
      </c>
      <c r="F325" s="5">
        <v>0</v>
      </c>
      <c r="G325" s="6" t="e">
        <f t="shared" si="5"/>
        <v>#DIV/0!</v>
      </c>
      <c r="H325" s="5"/>
      <c r="I325" s="6">
        <f>D325/(VLOOKUP(B325,'[1]2022 Team'!$B$2:$G$33,3,FALSE))</f>
        <v>0</v>
      </c>
    </row>
    <row r="326" spans="1:9" x14ac:dyDescent="0.25">
      <c r="A326" s="5" t="s">
        <v>1839</v>
      </c>
      <c r="B326" s="5" t="s">
        <v>32</v>
      </c>
      <c r="C326" s="5" t="s">
        <v>163</v>
      </c>
      <c r="D326" s="5">
        <v>2</v>
      </c>
      <c r="E326" s="5">
        <v>7</v>
      </c>
      <c r="F326" s="5">
        <v>0</v>
      </c>
      <c r="G326" s="6">
        <f t="shared" si="5"/>
        <v>0</v>
      </c>
      <c r="H326" s="5">
        <v>3.5</v>
      </c>
      <c r="I326" s="6">
        <f>D326/(VLOOKUP(B326,'[1]2022 Team'!$B$2:$G$33,3,FALSE))</f>
        <v>5.0251256281407036E-3</v>
      </c>
    </row>
    <row r="327" spans="1:9" x14ac:dyDescent="0.25">
      <c r="A327" s="5" t="s">
        <v>2444</v>
      </c>
      <c r="B327" s="5" t="s">
        <v>70</v>
      </c>
      <c r="C327" s="5" t="s">
        <v>153</v>
      </c>
      <c r="D327" s="5">
        <v>2</v>
      </c>
      <c r="E327" s="5">
        <v>26</v>
      </c>
      <c r="F327" s="5">
        <v>0</v>
      </c>
      <c r="G327" s="6">
        <f t="shared" si="5"/>
        <v>0</v>
      </c>
      <c r="H327" s="5">
        <v>13</v>
      </c>
      <c r="I327" s="6">
        <f>D327/(VLOOKUP(B327,'[1]2022 Team'!$B$2:$G$33,3,FALSE))</f>
        <v>3.7174721189591076E-3</v>
      </c>
    </row>
    <row r="328" spans="1:9" x14ac:dyDescent="0.25">
      <c r="A328" s="5" t="s">
        <v>1682</v>
      </c>
      <c r="B328" s="5" t="s">
        <v>58</v>
      </c>
      <c r="C328" s="5" t="s">
        <v>159</v>
      </c>
      <c r="D328" s="5">
        <v>2</v>
      </c>
      <c r="E328" s="5">
        <v>19</v>
      </c>
      <c r="F328" s="5">
        <v>0</v>
      </c>
      <c r="G328" s="6">
        <f t="shared" si="5"/>
        <v>0</v>
      </c>
      <c r="H328" s="5">
        <v>9.5</v>
      </c>
      <c r="I328" s="6">
        <f>D328/(VLOOKUP(B328,'[1]2022 Team'!$B$2:$G$33,3,FALSE))</f>
        <v>3.6764705882352941E-3</v>
      </c>
    </row>
    <row r="329" spans="1:9" x14ac:dyDescent="0.25">
      <c r="A329" s="5" t="s">
        <v>839</v>
      </c>
      <c r="B329" s="5" t="s">
        <v>46</v>
      </c>
      <c r="C329" s="5" t="s">
        <v>153</v>
      </c>
      <c r="D329" s="5">
        <v>2</v>
      </c>
      <c r="E329" s="5">
        <v>1</v>
      </c>
      <c r="F329" s="5">
        <v>1</v>
      </c>
      <c r="G329" s="6">
        <f t="shared" si="5"/>
        <v>0.5</v>
      </c>
      <c r="H329" s="5">
        <v>0.5</v>
      </c>
      <c r="I329" s="6">
        <f>D329/(VLOOKUP(B329,'[1]2022 Team'!$B$2:$G$33,3,FALSE))</f>
        <v>5.1282051282051282E-3</v>
      </c>
    </row>
    <row r="330" spans="1:9" x14ac:dyDescent="0.25">
      <c r="A330" s="5" t="s">
        <v>759</v>
      </c>
      <c r="B330" s="5" t="s">
        <v>66</v>
      </c>
      <c r="C330" s="5" t="s">
        <v>163</v>
      </c>
      <c r="D330" s="5">
        <v>2</v>
      </c>
      <c r="E330" s="5">
        <v>26</v>
      </c>
      <c r="F330" s="5">
        <v>0</v>
      </c>
      <c r="G330" s="6">
        <f t="shared" si="5"/>
        <v>0</v>
      </c>
      <c r="H330" s="5">
        <v>13</v>
      </c>
      <c r="I330" s="6">
        <f>D330/(VLOOKUP(B330,'[1]2022 Team'!$B$2:$G$33,3,FALSE))</f>
        <v>5.1813471502590676E-3</v>
      </c>
    </row>
    <row r="331" spans="1:9" x14ac:dyDescent="0.25">
      <c r="A331" s="5" t="s">
        <v>1707</v>
      </c>
      <c r="B331" s="5" t="s">
        <v>10</v>
      </c>
      <c r="C331" s="5" t="s">
        <v>159</v>
      </c>
      <c r="D331" s="5">
        <v>2</v>
      </c>
      <c r="E331" s="5">
        <v>2</v>
      </c>
      <c r="F331" s="5">
        <v>0</v>
      </c>
      <c r="G331" s="6">
        <f t="shared" si="5"/>
        <v>0</v>
      </c>
      <c r="H331" s="5">
        <v>1</v>
      </c>
      <c r="I331" s="6">
        <f>D331/(VLOOKUP(B331,'[1]2022 Team'!$B$2:$G$33,3,FALSE))</f>
        <v>3.5778175313059034E-3</v>
      </c>
    </row>
    <row r="332" spans="1:9" x14ac:dyDescent="0.25">
      <c r="A332" s="5" t="s">
        <v>667</v>
      </c>
      <c r="B332" s="5" t="s">
        <v>10</v>
      </c>
      <c r="C332" s="5" t="s">
        <v>163</v>
      </c>
      <c r="D332" s="5">
        <v>2</v>
      </c>
      <c r="E332" s="5">
        <v>7</v>
      </c>
      <c r="F332" s="5">
        <v>0</v>
      </c>
      <c r="G332" s="6">
        <f t="shared" si="5"/>
        <v>0</v>
      </c>
      <c r="H332" s="5">
        <v>3.5</v>
      </c>
      <c r="I332" s="6">
        <f>D332/(VLOOKUP(B332,'[1]2022 Team'!$B$2:$G$33,3,FALSE))</f>
        <v>3.5778175313059034E-3</v>
      </c>
    </row>
    <row r="333" spans="1:9" x14ac:dyDescent="0.25">
      <c r="A333" s="5" t="s">
        <v>916</v>
      </c>
      <c r="B333" s="5" t="s">
        <v>42</v>
      </c>
      <c r="C333" s="5" t="s">
        <v>163</v>
      </c>
      <c r="D333" s="5">
        <v>1</v>
      </c>
      <c r="E333" s="5">
        <v>8</v>
      </c>
      <c r="F333" s="5">
        <v>0</v>
      </c>
      <c r="G333" s="6">
        <f t="shared" si="5"/>
        <v>0</v>
      </c>
      <c r="H333" s="5">
        <v>8</v>
      </c>
      <c r="I333" s="6">
        <f>D333/(VLOOKUP(B333,'[1]2022 Team'!$B$2:$G$33,3,FALSE))</f>
        <v>2.4752475247524753E-3</v>
      </c>
    </row>
    <row r="334" spans="1:9" x14ac:dyDescent="0.25">
      <c r="A334" s="5" t="s">
        <v>2445</v>
      </c>
      <c r="B334" s="5" t="s">
        <v>60</v>
      </c>
      <c r="C334" s="5" t="s">
        <v>980</v>
      </c>
      <c r="D334" s="5">
        <v>1</v>
      </c>
      <c r="E334" s="5">
        <v>4</v>
      </c>
      <c r="F334" s="5">
        <v>0</v>
      </c>
      <c r="G334" s="6">
        <f t="shared" si="5"/>
        <v>0</v>
      </c>
      <c r="H334" s="5">
        <v>4</v>
      </c>
      <c r="I334" s="6">
        <f>D334/(VLOOKUP(B334,'[1]2022 Team'!$B$2:$G$33,3,FALSE))</f>
        <v>2E-3</v>
      </c>
    </row>
    <row r="335" spans="1:9" x14ac:dyDescent="0.25">
      <c r="A335" s="5" t="s">
        <v>2082</v>
      </c>
      <c r="B335" s="5" t="s">
        <v>24</v>
      </c>
      <c r="C335" s="5" t="s">
        <v>165</v>
      </c>
      <c r="D335" s="5">
        <v>1</v>
      </c>
      <c r="E335" s="5">
        <v>0</v>
      </c>
      <c r="F335" s="5">
        <v>0</v>
      </c>
      <c r="G335" s="6">
        <f t="shared" si="5"/>
        <v>0</v>
      </c>
      <c r="H335" s="5">
        <v>0</v>
      </c>
      <c r="I335" s="6">
        <f>D335/(VLOOKUP(B335,'[1]2022 Team'!$B$2:$G$33,3,FALSE))</f>
        <v>1.8832391713747645E-3</v>
      </c>
    </row>
    <row r="336" spans="1:9" x14ac:dyDescent="0.25">
      <c r="A336" s="5" t="s">
        <v>627</v>
      </c>
      <c r="B336" s="5" t="s">
        <v>26</v>
      </c>
      <c r="C336" s="5" t="s">
        <v>159</v>
      </c>
      <c r="D336" s="5">
        <v>1</v>
      </c>
      <c r="E336" s="5">
        <v>0</v>
      </c>
      <c r="F336" s="5">
        <v>0</v>
      </c>
      <c r="G336" s="6">
        <f t="shared" si="5"/>
        <v>0</v>
      </c>
      <c r="H336" s="5">
        <v>0</v>
      </c>
      <c r="I336" s="6">
        <f>D336/(VLOOKUP(B336,'[1]2022 Team'!$B$2:$G$33,3,FALSE))</f>
        <v>2.2522522522522522E-3</v>
      </c>
    </row>
    <row r="337" spans="1:9" x14ac:dyDescent="0.25">
      <c r="A337" s="5" t="s">
        <v>969</v>
      </c>
      <c r="B337" s="5" t="s">
        <v>54</v>
      </c>
      <c r="C337" s="5" t="s">
        <v>153</v>
      </c>
      <c r="D337" s="5">
        <v>1</v>
      </c>
      <c r="E337" s="5">
        <v>2</v>
      </c>
      <c r="F337" s="5">
        <v>1</v>
      </c>
      <c r="G337" s="6">
        <f t="shared" si="5"/>
        <v>1</v>
      </c>
      <c r="H337" s="5">
        <v>2</v>
      </c>
      <c r="I337" s="6">
        <f>D337/(VLOOKUP(B337,'[1]2022 Team'!$B$2:$G$33,3,FALSE))</f>
        <v>1.9230769230769232E-3</v>
      </c>
    </row>
    <row r="338" spans="1:9" x14ac:dyDescent="0.25">
      <c r="A338" s="5" t="s">
        <v>2446</v>
      </c>
      <c r="B338" s="5" t="s">
        <v>64</v>
      </c>
      <c r="C338" s="5" t="s">
        <v>186</v>
      </c>
      <c r="D338" s="5">
        <v>1</v>
      </c>
      <c r="E338" s="5">
        <v>3</v>
      </c>
      <c r="F338" s="5">
        <v>0</v>
      </c>
      <c r="G338" s="6">
        <f t="shared" si="5"/>
        <v>0</v>
      </c>
      <c r="H338" s="5">
        <v>3</v>
      </c>
      <c r="I338" s="6">
        <f>D338/(VLOOKUP(B338,'[1]2022 Team'!$B$2:$G$33,3,FALSE))</f>
        <v>2.352941176470588E-3</v>
      </c>
    </row>
    <row r="339" spans="1:9" x14ac:dyDescent="0.25">
      <c r="A339" s="5" t="s">
        <v>638</v>
      </c>
      <c r="B339" s="5" t="s">
        <v>70</v>
      </c>
      <c r="C339" s="5" t="s">
        <v>163</v>
      </c>
      <c r="D339" s="5">
        <v>1</v>
      </c>
      <c r="E339" s="5">
        <v>15</v>
      </c>
      <c r="F339" s="5">
        <v>0</v>
      </c>
      <c r="G339" s="6">
        <f t="shared" si="5"/>
        <v>0</v>
      </c>
      <c r="H339" s="5">
        <v>15</v>
      </c>
      <c r="I339" s="6">
        <f>D339/(VLOOKUP(B339,'[1]2022 Team'!$B$2:$G$33,3,FALSE))</f>
        <v>1.8587360594795538E-3</v>
      </c>
    </row>
    <row r="340" spans="1:9" x14ac:dyDescent="0.25">
      <c r="A340" s="5" t="s">
        <v>907</v>
      </c>
      <c r="B340" s="5" t="s">
        <v>8</v>
      </c>
      <c r="C340" s="5" t="s">
        <v>163</v>
      </c>
      <c r="D340" s="5">
        <v>1</v>
      </c>
      <c r="E340" s="5">
        <v>1</v>
      </c>
      <c r="F340" s="5">
        <v>0</v>
      </c>
      <c r="G340" s="6">
        <f t="shared" si="5"/>
        <v>0</v>
      </c>
      <c r="H340" s="5">
        <v>1</v>
      </c>
      <c r="I340" s="6">
        <f>D340/(VLOOKUP(B340,'[1]2022 Team'!$B$2:$G$33,3,FALSE))</f>
        <v>2.304147465437788E-3</v>
      </c>
    </row>
    <row r="341" spans="1:9" x14ac:dyDescent="0.25">
      <c r="A341" s="5" t="s">
        <v>886</v>
      </c>
      <c r="B341" s="5" t="s">
        <v>22</v>
      </c>
      <c r="C341" s="5" t="s">
        <v>153</v>
      </c>
      <c r="D341" s="5">
        <v>1</v>
      </c>
      <c r="E341" s="5">
        <v>8</v>
      </c>
      <c r="F341" s="5">
        <v>0</v>
      </c>
      <c r="G341" s="6">
        <f t="shared" si="5"/>
        <v>0</v>
      </c>
      <c r="H341" s="5">
        <v>8</v>
      </c>
      <c r="I341" s="6">
        <f>D341/(VLOOKUP(B341,'[1]2022 Team'!$B$2:$G$33,3,FALSE))</f>
        <v>1.8796992481203006E-3</v>
      </c>
    </row>
    <row r="342" spans="1:9" x14ac:dyDescent="0.25">
      <c r="A342" s="5" t="s">
        <v>1743</v>
      </c>
      <c r="B342" s="5" t="s">
        <v>28</v>
      </c>
      <c r="C342" s="5" t="s">
        <v>186</v>
      </c>
      <c r="D342" s="5">
        <v>1</v>
      </c>
      <c r="E342" s="5">
        <v>4</v>
      </c>
      <c r="F342" s="5">
        <v>0</v>
      </c>
      <c r="G342" s="6">
        <f t="shared" si="5"/>
        <v>0</v>
      </c>
      <c r="H342" s="5">
        <v>4</v>
      </c>
      <c r="I342" s="6">
        <f>D342/(VLOOKUP(B342,'[1]2022 Team'!$B$2:$G$33,3,FALSE))</f>
        <v>2.0833333333333333E-3</v>
      </c>
    </row>
    <row r="343" spans="1:9" x14ac:dyDescent="0.25">
      <c r="A343" s="5" t="s">
        <v>2447</v>
      </c>
      <c r="B343" s="5" t="s">
        <v>16</v>
      </c>
      <c r="C343" s="5" t="s">
        <v>755</v>
      </c>
      <c r="D343" s="5">
        <v>1</v>
      </c>
      <c r="E343" s="5">
        <v>2</v>
      </c>
      <c r="F343" s="5">
        <v>0</v>
      </c>
      <c r="G343" s="6">
        <f t="shared" si="5"/>
        <v>0</v>
      </c>
      <c r="H343" s="5">
        <v>2</v>
      </c>
      <c r="I343" s="6">
        <f>D343/(VLOOKUP(B343,'[1]2022 Team'!$B$2:$G$33,3,FALSE))</f>
        <v>2.070393374741201E-3</v>
      </c>
    </row>
    <row r="344" spans="1:9" x14ac:dyDescent="0.25">
      <c r="A344" s="5" t="s">
        <v>2377</v>
      </c>
      <c r="B344" s="5" t="s">
        <v>42</v>
      </c>
      <c r="C344" s="5" t="s">
        <v>82</v>
      </c>
      <c r="D344" s="5">
        <v>1</v>
      </c>
      <c r="E344" s="5">
        <v>4</v>
      </c>
      <c r="F344" s="5">
        <v>0</v>
      </c>
      <c r="G344" s="6">
        <f t="shared" si="5"/>
        <v>0</v>
      </c>
      <c r="H344" s="5">
        <v>4</v>
      </c>
      <c r="I344" s="6">
        <f>D344/(VLOOKUP(B344,'[1]2022 Team'!$B$2:$G$33,3,FALSE))</f>
        <v>2.4752475247524753E-3</v>
      </c>
    </row>
    <row r="345" spans="1:9" x14ac:dyDescent="0.25">
      <c r="A345" s="5" t="s">
        <v>2179</v>
      </c>
      <c r="B345" s="5" t="s">
        <v>66</v>
      </c>
      <c r="C345" s="5" t="s">
        <v>163</v>
      </c>
      <c r="D345" s="5">
        <v>1</v>
      </c>
      <c r="E345" s="5">
        <v>2</v>
      </c>
      <c r="F345" s="5">
        <v>0</v>
      </c>
      <c r="G345" s="6">
        <f t="shared" si="5"/>
        <v>0</v>
      </c>
      <c r="H345" s="5">
        <v>2</v>
      </c>
      <c r="I345" s="6">
        <f>D345/(VLOOKUP(B345,'[1]2022 Team'!$B$2:$G$33,3,FALSE))</f>
        <v>2.5906735751295338E-3</v>
      </c>
    </row>
    <row r="346" spans="1:9" x14ac:dyDescent="0.25">
      <c r="A346" s="5" t="s">
        <v>1737</v>
      </c>
      <c r="B346" s="5" t="s">
        <v>56</v>
      </c>
      <c r="C346" s="5" t="s">
        <v>755</v>
      </c>
      <c r="D346" s="5">
        <v>1</v>
      </c>
      <c r="E346" s="5">
        <v>2</v>
      </c>
      <c r="F346" s="5">
        <v>0</v>
      </c>
      <c r="G346" s="6">
        <f t="shared" si="5"/>
        <v>0</v>
      </c>
      <c r="H346" s="5">
        <v>2</v>
      </c>
      <c r="I346" s="6">
        <f>D346/(VLOOKUP(B346,'[1]2022 Team'!$B$2:$G$33,3,FALSE))</f>
        <v>2.4691358024691358E-3</v>
      </c>
    </row>
    <row r="347" spans="1:9" x14ac:dyDescent="0.25">
      <c r="A347" s="5" t="s">
        <v>965</v>
      </c>
      <c r="B347" s="5" t="s">
        <v>14</v>
      </c>
      <c r="C347" s="5" t="s">
        <v>163</v>
      </c>
      <c r="D347" s="5">
        <v>1</v>
      </c>
      <c r="E347" s="5">
        <v>-3</v>
      </c>
      <c r="F347" s="5">
        <v>0</v>
      </c>
      <c r="G347" s="6">
        <f t="shared" si="5"/>
        <v>0</v>
      </c>
      <c r="H347" s="5">
        <v>-3</v>
      </c>
      <c r="I347" s="6">
        <f>D347/(VLOOKUP(B347,'[1]2022 Team'!$B$2:$G$33,3,FALSE))</f>
        <v>2.3255813953488372E-3</v>
      </c>
    </row>
    <row r="348" spans="1:9" x14ac:dyDescent="0.25">
      <c r="A348" s="5" t="s">
        <v>879</v>
      </c>
      <c r="B348" s="5" t="s">
        <v>30</v>
      </c>
      <c r="C348" s="5" t="s">
        <v>163</v>
      </c>
      <c r="D348" s="5">
        <v>1</v>
      </c>
      <c r="E348" s="5">
        <v>11</v>
      </c>
      <c r="F348" s="5">
        <v>0</v>
      </c>
      <c r="G348" s="6">
        <f t="shared" si="5"/>
        <v>0</v>
      </c>
      <c r="H348" s="5">
        <v>11</v>
      </c>
      <c r="I348" s="6">
        <f>D348/(VLOOKUP(B348,'[1]2022 Team'!$B$2:$G$33,3,FALSE))</f>
        <v>2.1929824561403508E-3</v>
      </c>
    </row>
    <row r="349" spans="1:9" x14ac:dyDescent="0.25">
      <c r="A349" s="5" t="s">
        <v>1729</v>
      </c>
      <c r="B349" s="5" t="s">
        <v>42</v>
      </c>
      <c r="C349" s="5" t="s">
        <v>153</v>
      </c>
      <c r="D349" s="5">
        <v>1</v>
      </c>
      <c r="E349" s="5">
        <v>0</v>
      </c>
      <c r="F349" s="5">
        <v>0</v>
      </c>
      <c r="G349" s="6">
        <f t="shared" si="5"/>
        <v>0</v>
      </c>
      <c r="H349" s="5">
        <v>0</v>
      </c>
      <c r="I349" s="6">
        <f>D349/(VLOOKUP(B349,'[1]2022 Team'!$B$2:$G$33,3,FALSE))</f>
        <v>2.4752475247524753E-3</v>
      </c>
    </row>
    <row r="350" spans="1:9" x14ac:dyDescent="0.25">
      <c r="A350" s="5" t="s">
        <v>2394</v>
      </c>
      <c r="B350" s="5" t="s">
        <v>40</v>
      </c>
      <c r="C350" s="5" t="s">
        <v>755</v>
      </c>
      <c r="D350" s="5">
        <v>1</v>
      </c>
      <c r="E350" s="5">
        <v>-3</v>
      </c>
      <c r="F350" s="5">
        <v>0</v>
      </c>
      <c r="G350" s="6">
        <f t="shared" si="5"/>
        <v>0</v>
      </c>
      <c r="H350" s="5">
        <v>-3</v>
      </c>
      <c r="I350" s="6">
        <f>D350/(VLOOKUP(B350,'[1]2022 Team'!$B$2:$G$33,3,FALSE))</f>
        <v>2.3364485981308409E-3</v>
      </c>
    </row>
    <row r="351" spans="1:9" x14ac:dyDescent="0.25">
      <c r="A351" s="5" t="s">
        <v>2448</v>
      </c>
      <c r="B351" s="5" t="s">
        <v>46</v>
      </c>
      <c r="C351" s="5" t="s">
        <v>755</v>
      </c>
      <c r="D351" s="5">
        <v>1</v>
      </c>
      <c r="E351" s="5">
        <v>0</v>
      </c>
      <c r="F351" s="5">
        <v>0</v>
      </c>
      <c r="G351" s="6">
        <f t="shared" si="5"/>
        <v>0</v>
      </c>
      <c r="H351" s="5">
        <v>0</v>
      </c>
      <c r="I351" s="6">
        <f>D351/(VLOOKUP(B351,'[1]2022 Team'!$B$2:$G$33,3,FALSE))</f>
        <v>2.5641025641025641E-3</v>
      </c>
    </row>
    <row r="352" spans="1:9" x14ac:dyDescent="0.25">
      <c r="A352" s="5" t="s">
        <v>2449</v>
      </c>
      <c r="B352" s="5" t="s">
        <v>22</v>
      </c>
      <c r="C352" s="5" t="s">
        <v>163</v>
      </c>
      <c r="D352" s="5">
        <v>1</v>
      </c>
      <c r="E352" s="5">
        <v>-4</v>
      </c>
      <c r="F352" s="5">
        <v>0</v>
      </c>
      <c r="G352" s="6">
        <f t="shared" si="5"/>
        <v>0</v>
      </c>
      <c r="H352" s="5">
        <v>-4</v>
      </c>
      <c r="I352" s="6">
        <f>D352/(VLOOKUP(B352,'[1]2022 Team'!$B$2:$G$33,3,FALSE))</f>
        <v>1.8796992481203006E-3</v>
      </c>
    </row>
    <row r="353" spans="1:9" x14ac:dyDescent="0.25">
      <c r="A353" s="5" t="s">
        <v>705</v>
      </c>
      <c r="B353" s="5" t="s">
        <v>10</v>
      </c>
      <c r="C353" s="5" t="s">
        <v>82</v>
      </c>
      <c r="D353" s="5">
        <v>1</v>
      </c>
      <c r="E353" s="5">
        <v>0</v>
      </c>
      <c r="F353" s="5">
        <v>0</v>
      </c>
      <c r="G353" s="6">
        <f t="shared" si="5"/>
        <v>0</v>
      </c>
      <c r="H353" s="5">
        <v>0</v>
      </c>
      <c r="I353" s="6">
        <f>D353/(VLOOKUP(B353,'[1]2022 Team'!$B$2:$G$33,3,FALSE))</f>
        <v>1.7889087656529517E-3</v>
      </c>
    </row>
    <row r="354" spans="1:9" x14ac:dyDescent="0.25">
      <c r="A354" s="5" t="s">
        <v>995</v>
      </c>
      <c r="B354" s="5" t="s">
        <v>34</v>
      </c>
      <c r="C354" s="5" t="s">
        <v>153</v>
      </c>
      <c r="D354" s="5">
        <v>1</v>
      </c>
      <c r="E354" s="5">
        <v>0</v>
      </c>
      <c r="F354" s="5">
        <v>0</v>
      </c>
      <c r="G354" s="6">
        <f t="shared" si="5"/>
        <v>0</v>
      </c>
      <c r="H354" s="5">
        <v>0</v>
      </c>
      <c r="I354" s="6">
        <f>D354/(VLOOKUP(B354,'[1]2022 Team'!$B$2:$G$33,3,FALSE))</f>
        <v>2.2779043280182231E-3</v>
      </c>
    </row>
    <row r="355" spans="1:9" x14ac:dyDescent="0.25">
      <c r="A355" s="5" t="s">
        <v>2450</v>
      </c>
      <c r="B355" s="5" t="s">
        <v>62</v>
      </c>
      <c r="C355" s="5" t="s">
        <v>163</v>
      </c>
      <c r="D355" s="5">
        <v>1</v>
      </c>
      <c r="E355" s="5">
        <v>9</v>
      </c>
      <c r="F355" s="5">
        <v>0</v>
      </c>
      <c r="G355" s="6">
        <f t="shared" si="5"/>
        <v>0</v>
      </c>
      <c r="H355" s="5">
        <v>9</v>
      </c>
      <c r="I355" s="6">
        <f>D355/(VLOOKUP(B355,'[1]2022 Team'!$B$2:$G$33,3,FALSE))</f>
        <v>1.984126984126984E-3</v>
      </c>
    </row>
    <row r="356" spans="1:9" x14ac:dyDescent="0.25">
      <c r="A356" s="5" t="s">
        <v>909</v>
      </c>
      <c r="B356" s="5" t="s">
        <v>38</v>
      </c>
      <c r="C356" s="5" t="s">
        <v>153</v>
      </c>
      <c r="D356" s="5">
        <v>1</v>
      </c>
      <c r="E356" s="5">
        <v>1</v>
      </c>
      <c r="F356" s="5">
        <v>1</v>
      </c>
      <c r="G356" s="6">
        <f t="shared" si="5"/>
        <v>1</v>
      </c>
      <c r="H356" s="5">
        <v>1</v>
      </c>
      <c r="I356" s="6">
        <f>D356/(VLOOKUP(B356,'[1]2022 Team'!$B$2:$G$33,3,FALSE))</f>
        <v>2.3980815347721821E-3</v>
      </c>
    </row>
    <row r="357" spans="1:9" x14ac:dyDescent="0.25">
      <c r="A357" s="5" t="s">
        <v>1748</v>
      </c>
      <c r="B357" s="5" t="s">
        <v>24</v>
      </c>
      <c r="C357" s="5" t="s">
        <v>153</v>
      </c>
      <c r="D357" s="5">
        <v>1</v>
      </c>
      <c r="E357" s="5">
        <v>2</v>
      </c>
      <c r="F357" s="5">
        <v>1</v>
      </c>
      <c r="G357" s="6">
        <f t="shared" si="5"/>
        <v>1</v>
      </c>
      <c r="H357" s="5">
        <v>2</v>
      </c>
      <c r="I357" s="6">
        <f>D357/(VLOOKUP(B357,'[1]2022 Team'!$B$2:$G$33,3,FALSE))</f>
        <v>1.8832391713747645E-3</v>
      </c>
    </row>
    <row r="358" spans="1:9" x14ac:dyDescent="0.25">
      <c r="A358" s="5" t="s">
        <v>2451</v>
      </c>
      <c r="B358" s="5" t="s">
        <v>30</v>
      </c>
      <c r="C358" s="5" t="s">
        <v>159</v>
      </c>
      <c r="D358" s="5">
        <v>1</v>
      </c>
      <c r="E358" s="5">
        <v>7</v>
      </c>
      <c r="F358" s="5">
        <v>0</v>
      </c>
      <c r="G358" s="6">
        <f t="shared" si="5"/>
        <v>0</v>
      </c>
      <c r="H358" s="5">
        <v>7</v>
      </c>
      <c r="I358" s="6">
        <f>D358/(VLOOKUP(B358,'[1]2022 Team'!$B$2:$G$33,3,FALSE))</f>
        <v>2.1929824561403508E-3</v>
      </c>
    </row>
    <row r="359" spans="1:9" x14ac:dyDescent="0.25">
      <c r="A359" s="5" t="s">
        <v>2452</v>
      </c>
      <c r="B359" s="5" t="s">
        <v>52</v>
      </c>
      <c r="C359" s="5" t="s">
        <v>159</v>
      </c>
      <c r="D359" s="5">
        <v>1</v>
      </c>
      <c r="E359" s="5">
        <v>1</v>
      </c>
      <c r="F359" s="5">
        <v>0</v>
      </c>
      <c r="G359" s="6">
        <f t="shared" si="5"/>
        <v>0</v>
      </c>
      <c r="H359" s="5">
        <v>1</v>
      </c>
      <c r="I359" s="6">
        <f>D359/(VLOOKUP(B359,'[1]2022 Team'!$B$2:$G$33,3,FALSE))</f>
        <v>2.1505376344086021E-3</v>
      </c>
    </row>
    <row r="360" spans="1:9" x14ac:dyDescent="0.25">
      <c r="A360" s="5" t="s">
        <v>2453</v>
      </c>
      <c r="B360" s="5" t="s">
        <v>46</v>
      </c>
      <c r="C360" s="5" t="s">
        <v>2205</v>
      </c>
      <c r="D360" s="5">
        <v>1</v>
      </c>
      <c r="E360" s="5">
        <v>0</v>
      </c>
      <c r="F360" s="5">
        <v>0</v>
      </c>
      <c r="G360" s="6">
        <f t="shared" si="5"/>
        <v>0</v>
      </c>
      <c r="H360" s="5">
        <v>0</v>
      </c>
      <c r="I360" s="6">
        <f>D360/(VLOOKUP(B360,'[1]2022 Team'!$B$2:$G$33,3,FALSE))</f>
        <v>2.5641025641025641E-3</v>
      </c>
    </row>
    <row r="361" spans="1:9" x14ac:dyDescent="0.25">
      <c r="A361" s="5" t="s">
        <v>1807</v>
      </c>
      <c r="B361" s="5" t="s">
        <v>20</v>
      </c>
      <c r="C361" s="5" t="s">
        <v>163</v>
      </c>
      <c r="D361" s="5">
        <v>1</v>
      </c>
      <c r="E361" s="5">
        <v>11</v>
      </c>
      <c r="F361" s="5">
        <v>0</v>
      </c>
      <c r="G361" s="6">
        <f t="shared" si="5"/>
        <v>0</v>
      </c>
      <c r="H361" s="5">
        <v>11</v>
      </c>
      <c r="I361" s="6">
        <f>D361/(VLOOKUP(B361,'[1]2022 Team'!$B$2:$G$33,3,FALSE))</f>
        <v>2.5062656641604009E-3</v>
      </c>
    </row>
    <row r="362" spans="1:9" x14ac:dyDescent="0.25">
      <c r="A362" s="5" t="s">
        <v>2454</v>
      </c>
      <c r="B362" s="5" t="s">
        <v>8</v>
      </c>
      <c r="C362" s="5" t="s">
        <v>163</v>
      </c>
      <c r="D362" s="5">
        <v>0</v>
      </c>
      <c r="E362" s="5">
        <v>0</v>
      </c>
      <c r="F362" s="5">
        <v>0</v>
      </c>
      <c r="G362" s="6" t="e">
        <f t="shared" si="5"/>
        <v>#DIV/0!</v>
      </c>
      <c r="H362" s="5"/>
      <c r="I362" s="6">
        <f>D362/(VLOOKUP(B362,'[1]2022 Team'!$B$2:$G$33,3,FALSE))</f>
        <v>0</v>
      </c>
    </row>
    <row r="363" spans="1:9" x14ac:dyDescent="0.25">
      <c r="A363" s="5" t="s">
        <v>2454</v>
      </c>
      <c r="B363" s="5" t="s">
        <v>12</v>
      </c>
      <c r="C363" s="5" t="s">
        <v>163</v>
      </c>
      <c r="D363" s="5">
        <v>1</v>
      </c>
      <c r="E363" s="5">
        <v>1</v>
      </c>
      <c r="F363" s="5">
        <v>0</v>
      </c>
      <c r="G363" s="6">
        <f t="shared" si="5"/>
        <v>0</v>
      </c>
      <c r="H363" s="5">
        <v>1</v>
      </c>
      <c r="I363" s="6">
        <f>D363/(VLOOKUP(B363,'[1]2022 Team'!$B$2:$G$33,3,FALSE))</f>
        <v>1.9011406844106464E-3</v>
      </c>
    </row>
    <row r="364" spans="1:9" x14ac:dyDescent="0.25">
      <c r="A364" s="5" t="s">
        <v>2455</v>
      </c>
      <c r="B364" s="5" t="s">
        <v>30</v>
      </c>
      <c r="C364" s="5" t="s">
        <v>755</v>
      </c>
      <c r="D364" s="5">
        <v>1</v>
      </c>
      <c r="E364" s="5">
        <v>0</v>
      </c>
      <c r="F364" s="5">
        <v>0</v>
      </c>
      <c r="G364" s="6">
        <f t="shared" si="5"/>
        <v>0</v>
      </c>
      <c r="H364" s="5">
        <v>0</v>
      </c>
      <c r="I364" s="6">
        <f>D364/(VLOOKUP(B364,'[1]2022 Team'!$B$2:$G$33,3,FALSE))</f>
        <v>2.1929824561403508E-3</v>
      </c>
    </row>
    <row r="365" spans="1:9" x14ac:dyDescent="0.25">
      <c r="A365" s="5" t="s">
        <v>100</v>
      </c>
      <c r="B365" s="5" t="s">
        <v>30</v>
      </c>
      <c r="C365" s="5" t="s">
        <v>82</v>
      </c>
      <c r="D365" s="5">
        <v>1</v>
      </c>
      <c r="E365" s="5">
        <v>-1</v>
      </c>
      <c r="F365" s="5">
        <v>0</v>
      </c>
      <c r="G365" s="6">
        <f t="shared" si="5"/>
        <v>0</v>
      </c>
      <c r="H365" s="5">
        <v>-1</v>
      </c>
      <c r="I365" s="6">
        <f>D365/(VLOOKUP(B365,'[1]2022 Team'!$B$2:$G$33,3,FALSE))</f>
        <v>2.1929824561403508E-3</v>
      </c>
    </row>
    <row r="366" spans="1:9" x14ac:dyDescent="0.25">
      <c r="A366" s="5" t="s">
        <v>2456</v>
      </c>
      <c r="B366" s="5" t="s">
        <v>68</v>
      </c>
      <c r="C366" s="5" t="s">
        <v>163</v>
      </c>
      <c r="D366" s="5">
        <v>1</v>
      </c>
      <c r="E366" s="5">
        <v>4</v>
      </c>
      <c r="F366" s="5">
        <v>0</v>
      </c>
      <c r="G366" s="6">
        <f t="shared" si="5"/>
        <v>0</v>
      </c>
      <c r="H366" s="5">
        <v>4</v>
      </c>
      <c r="I366" s="6">
        <f>D366/(VLOOKUP(B366,'[1]2022 Team'!$B$2:$G$33,3,FALSE))</f>
        <v>2.0533880903490761E-3</v>
      </c>
    </row>
    <row r="367" spans="1:9" x14ac:dyDescent="0.25">
      <c r="A367" s="5" t="s">
        <v>1001</v>
      </c>
      <c r="B367" s="5" t="s">
        <v>66</v>
      </c>
      <c r="C367" s="5" t="s">
        <v>163</v>
      </c>
      <c r="D367" s="5">
        <v>1</v>
      </c>
      <c r="E367" s="5">
        <v>8</v>
      </c>
      <c r="F367" s="5">
        <v>0</v>
      </c>
      <c r="G367" s="6">
        <f t="shared" si="5"/>
        <v>0</v>
      </c>
      <c r="H367" s="5">
        <v>8</v>
      </c>
      <c r="I367" s="6">
        <f>D367/(VLOOKUP(B367,'[1]2022 Team'!$B$2:$G$33,3,FALSE))</f>
        <v>2.5906735751295338E-3</v>
      </c>
    </row>
    <row r="368" spans="1:9" x14ac:dyDescent="0.25">
      <c r="A368" s="5" t="s">
        <v>807</v>
      </c>
      <c r="B368" s="5" t="s">
        <v>18</v>
      </c>
      <c r="C368" s="5" t="s">
        <v>163</v>
      </c>
      <c r="D368" s="5">
        <v>1</v>
      </c>
      <c r="E368" s="5">
        <v>2</v>
      </c>
      <c r="F368" s="5">
        <v>0</v>
      </c>
      <c r="G368" s="6">
        <f t="shared" si="5"/>
        <v>0</v>
      </c>
      <c r="H368" s="5">
        <v>2</v>
      </c>
      <c r="I368" s="6">
        <f>D368/(VLOOKUP(B368,'[1]2022 Team'!$B$2:$G$33,3,FALSE))</f>
        <v>1.7921146953405018E-3</v>
      </c>
    </row>
    <row r="369" spans="1:9" x14ac:dyDescent="0.25">
      <c r="A369" s="5" t="s">
        <v>827</v>
      </c>
      <c r="B369" s="5" t="s">
        <v>42</v>
      </c>
      <c r="C369" s="5" t="s">
        <v>163</v>
      </c>
      <c r="D369" s="5">
        <v>1</v>
      </c>
      <c r="E369" s="5">
        <v>4</v>
      </c>
      <c r="F369" s="5">
        <v>0</v>
      </c>
      <c r="G369" s="6">
        <f t="shared" si="5"/>
        <v>0</v>
      </c>
      <c r="H369" s="5">
        <v>4</v>
      </c>
      <c r="I369" s="6">
        <f>D369/(VLOOKUP(B369,'[1]2022 Team'!$B$2:$G$33,3,FALSE))</f>
        <v>2.4752475247524753E-3</v>
      </c>
    </row>
    <row r="370" spans="1:9" x14ac:dyDescent="0.25">
      <c r="A370" s="5" t="s">
        <v>1830</v>
      </c>
      <c r="B370" s="5" t="s">
        <v>58</v>
      </c>
      <c r="C370" s="5" t="s">
        <v>163</v>
      </c>
      <c r="D370" s="5">
        <v>1</v>
      </c>
      <c r="E370" s="5">
        <v>0</v>
      </c>
      <c r="F370" s="5">
        <v>0</v>
      </c>
      <c r="G370" s="6">
        <f t="shared" si="5"/>
        <v>0</v>
      </c>
      <c r="H370" s="5">
        <v>0</v>
      </c>
      <c r="I370" s="6">
        <f>D370/(VLOOKUP(B370,'[1]2022 Team'!$B$2:$G$33,3,FALSE))</f>
        <v>1.838235294117647E-3</v>
      </c>
    </row>
    <row r="371" spans="1:9" x14ac:dyDescent="0.25">
      <c r="A371" s="5" t="s">
        <v>1831</v>
      </c>
      <c r="B371" s="5" t="s">
        <v>22</v>
      </c>
      <c r="C371" s="5" t="s">
        <v>163</v>
      </c>
      <c r="D371" s="5">
        <v>1</v>
      </c>
      <c r="E371" s="5">
        <v>2</v>
      </c>
      <c r="F371" s="5">
        <v>0</v>
      </c>
      <c r="G371" s="6">
        <f t="shared" si="5"/>
        <v>0</v>
      </c>
      <c r="H371" s="5">
        <v>2</v>
      </c>
      <c r="I371" s="6">
        <f>D371/(VLOOKUP(B371,'[1]2022 Team'!$B$2:$G$33,3,FALSE))</f>
        <v>1.8796992481203006E-3</v>
      </c>
    </row>
    <row r="372" spans="1:9" x14ac:dyDescent="0.25">
      <c r="A372" s="5" t="s">
        <v>1002</v>
      </c>
      <c r="B372" s="5" t="s">
        <v>44</v>
      </c>
      <c r="C372" s="5" t="s">
        <v>163</v>
      </c>
      <c r="D372" s="5">
        <v>1</v>
      </c>
      <c r="E372" s="5">
        <v>17</v>
      </c>
      <c r="F372" s="5">
        <v>1</v>
      </c>
      <c r="G372" s="6">
        <f t="shared" ref="G372:G430" si="6">F372/D372</f>
        <v>1</v>
      </c>
      <c r="H372" s="5">
        <v>17</v>
      </c>
      <c r="I372" s="6">
        <f>D372/(VLOOKUP(B372,'[1]2022 Team'!$B$2:$G$33,3,FALSE))</f>
        <v>2.4330900243309003E-3</v>
      </c>
    </row>
    <row r="373" spans="1:9" x14ac:dyDescent="0.25">
      <c r="A373" s="5" t="s">
        <v>610</v>
      </c>
      <c r="B373" s="5" t="s">
        <v>50</v>
      </c>
      <c r="C373" s="5" t="s">
        <v>153</v>
      </c>
      <c r="D373" s="5">
        <v>1</v>
      </c>
      <c r="E373" s="5">
        <v>5</v>
      </c>
      <c r="F373" s="5">
        <v>0</v>
      </c>
      <c r="G373" s="6">
        <f t="shared" si="6"/>
        <v>0</v>
      </c>
      <c r="H373" s="5">
        <v>5</v>
      </c>
      <c r="I373" s="6">
        <f>D373/(VLOOKUP(B373,'[1]2022 Team'!$B$2:$G$33,3,FALSE))</f>
        <v>2.352941176470588E-3</v>
      </c>
    </row>
    <row r="374" spans="1:9" x14ac:dyDescent="0.25">
      <c r="A374" s="5" t="s">
        <v>1845</v>
      </c>
      <c r="B374" s="5" t="s">
        <v>10</v>
      </c>
      <c r="C374" s="5" t="s">
        <v>163</v>
      </c>
      <c r="D374" s="5">
        <v>1</v>
      </c>
      <c r="E374" s="5">
        <v>2</v>
      </c>
      <c r="F374" s="5">
        <v>0</v>
      </c>
      <c r="G374" s="6">
        <f t="shared" si="6"/>
        <v>0</v>
      </c>
      <c r="H374" s="5">
        <v>2</v>
      </c>
      <c r="I374" s="6">
        <f>D374/(VLOOKUP(B374,'[1]2022 Team'!$B$2:$G$33,3,FALSE))</f>
        <v>1.7889087656529517E-3</v>
      </c>
    </row>
    <row r="375" spans="1:9" x14ac:dyDescent="0.25">
      <c r="A375" s="5" t="s">
        <v>1713</v>
      </c>
      <c r="B375" s="5" t="s">
        <v>18</v>
      </c>
      <c r="C375" s="5" t="s">
        <v>163</v>
      </c>
      <c r="D375" s="5">
        <v>1</v>
      </c>
      <c r="E375" s="5">
        <v>-1</v>
      </c>
      <c r="F375" s="5">
        <v>0</v>
      </c>
      <c r="G375" s="6">
        <f t="shared" si="6"/>
        <v>0</v>
      </c>
      <c r="H375" s="5">
        <v>-1</v>
      </c>
      <c r="I375" s="6">
        <f>D375/(VLOOKUP(B375,'[1]2022 Team'!$B$2:$G$33,3,FALSE))</f>
        <v>1.7921146953405018E-3</v>
      </c>
    </row>
    <row r="376" spans="1:9" x14ac:dyDescent="0.25">
      <c r="A376" s="5" t="s">
        <v>2457</v>
      </c>
      <c r="B376" s="5" t="s">
        <v>32</v>
      </c>
      <c r="C376" s="5" t="s">
        <v>980</v>
      </c>
      <c r="D376" s="5">
        <v>1</v>
      </c>
      <c r="E376" s="5">
        <v>3</v>
      </c>
      <c r="F376" s="5">
        <v>0</v>
      </c>
      <c r="G376" s="6">
        <f t="shared" si="6"/>
        <v>0</v>
      </c>
      <c r="H376" s="5">
        <v>3</v>
      </c>
      <c r="I376" s="6">
        <f>D376/(VLOOKUP(B376,'[1]2022 Team'!$B$2:$G$33,3,FALSE))</f>
        <v>2.5125628140703518E-3</v>
      </c>
    </row>
    <row r="377" spans="1:9" x14ac:dyDescent="0.25">
      <c r="A377" s="5" t="s">
        <v>184</v>
      </c>
      <c r="B377" s="5" t="s">
        <v>26</v>
      </c>
      <c r="C377" s="5" t="s">
        <v>163</v>
      </c>
      <c r="D377" s="5">
        <v>1</v>
      </c>
      <c r="E377" s="5">
        <v>5</v>
      </c>
      <c r="F377" s="5">
        <v>0</v>
      </c>
      <c r="G377" s="6">
        <f t="shared" si="6"/>
        <v>0</v>
      </c>
      <c r="H377" s="5">
        <v>5</v>
      </c>
      <c r="I377" s="6">
        <f>D377/(VLOOKUP(B377,'[1]2022 Team'!$B$2:$G$33,3,FALSE))</f>
        <v>2.2522522522522522E-3</v>
      </c>
    </row>
    <row r="378" spans="1:9" x14ac:dyDescent="0.25">
      <c r="A378" s="5" t="s">
        <v>952</v>
      </c>
      <c r="B378" s="5" t="s">
        <v>48</v>
      </c>
      <c r="C378" s="5" t="s">
        <v>163</v>
      </c>
      <c r="D378" s="5">
        <v>1</v>
      </c>
      <c r="E378" s="5">
        <v>4</v>
      </c>
      <c r="F378" s="5">
        <v>0</v>
      </c>
      <c r="G378" s="6">
        <f t="shared" si="6"/>
        <v>0</v>
      </c>
      <c r="H378" s="5">
        <v>4</v>
      </c>
      <c r="I378" s="6">
        <f>D378/(VLOOKUP(B378,'[1]2022 Team'!$B$2:$G$33,3,FALSE))</f>
        <v>2.4752475247524753E-3</v>
      </c>
    </row>
    <row r="379" spans="1:9" x14ac:dyDescent="0.25">
      <c r="A379" s="5" t="s">
        <v>1003</v>
      </c>
      <c r="B379" s="5" t="s">
        <v>38</v>
      </c>
      <c r="C379" s="5" t="s">
        <v>163</v>
      </c>
      <c r="D379" s="5">
        <v>1</v>
      </c>
      <c r="E379" s="5">
        <v>-3</v>
      </c>
      <c r="F379" s="5">
        <v>0</v>
      </c>
      <c r="G379" s="6">
        <f t="shared" si="6"/>
        <v>0</v>
      </c>
      <c r="H379" s="5">
        <v>-3</v>
      </c>
      <c r="I379" s="6">
        <f>D379/(VLOOKUP(B379,'[1]2022 Team'!$B$2:$G$33,3,FALSE))</f>
        <v>2.3980815347721821E-3</v>
      </c>
    </row>
    <row r="380" spans="1:9" x14ac:dyDescent="0.25">
      <c r="A380" s="5" t="s">
        <v>642</v>
      </c>
      <c r="B380" s="5" t="s">
        <v>28</v>
      </c>
      <c r="C380" s="5" t="s">
        <v>163</v>
      </c>
      <c r="D380" s="5">
        <v>1</v>
      </c>
      <c r="E380" s="5">
        <v>40</v>
      </c>
      <c r="F380" s="5">
        <v>0</v>
      </c>
      <c r="G380" s="6">
        <f t="shared" si="6"/>
        <v>0</v>
      </c>
      <c r="H380" s="5">
        <v>40</v>
      </c>
      <c r="I380" s="6">
        <f>D380/(VLOOKUP(B380,'[1]2022 Team'!$B$2:$G$33,3,FALSE))</f>
        <v>2.0833333333333333E-3</v>
      </c>
    </row>
    <row r="381" spans="1:9" x14ac:dyDescent="0.25">
      <c r="A381" s="5" t="s">
        <v>948</v>
      </c>
      <c r="B381" s="5" t="s">
        <v>46</v>
      </c>
      <c r="C381" s="5" t="s">
        <v>163</v>
      </c>
      <c r="D381" s="5">
        <v>1</v>
      </c>
      <c r="E381" s="5">
        <v>8</v>
      </c>
      <c r="F381" s="5">
        <v>0</v>
      </c>
      <c r="G381" s="6">
        <f t="shared" si="6"/>
        <v>0</v>
      </c>
      <c r="H381" s="5">
        <v>8</v>
      </c>
      <c r="I381" s="6">
        <f>D381/(VLOOKUP(B381,'[1]2022 Team'!$B$2:$G$33,3,FALSE))</f>
        <v>2.5641025641025641E-3</v>
      </c>
    </row>
    <row r="382" spans="1:9" x14ac:dyDescent="0.25">
      <c r="A382" s="5" t="s">
        <v>2216</v>
      </c>
      <c r="B382" s="5" t="s">
        <v>22</v>
      </c>
      <c r="C382" s="5" t="s">
        <v>163</v>
      </c>
      <c r="D382" s="5">
        <v>1</v>
      </c>
      <c r="E382" s="5">
        <v>-5</v>
      </c>
      <c r="F382" s="5">
        <v>0</v>
      </c>
      <c r="G382" s="6">
        <f t="shared" si="6"/>
        <v>0</v>
      </c>
      <c r="H382" s="5">
        <v>-5</v>
      </c>
      <c r="I382" s="6">
        <f>D382/(VLOOKUP(B382,'[1]2022 Team'!$B$2:$G$33,3,FALSE))</f>
        <v>1.8796992481203006E-3</v>
      </c>
    </row>
    <row r="383" spans="1:9" x14ac:dyDescent="0.25">
      <c r="A383" s="5" t="s">
        <v>1770</v>
      </c>
      <c r="B383" s="5" t="s">
        <v>50</v>
      </c>
      <c r="C383" s="5" t="s">
        <v>163</v>
      </c>
      <c r="D383" s="5">
        <v>0</v>
      </c>
      <c r="E383" s="5">
        <v>0</v>
      </c>
      <c r="F383" s="5">
        <v>0</v>
      </c>
      <c r="G383" s="6" t="e">
        <f t="shared" si="6"/>
        <v>#DIV/0!</v>
      </c>
      <c r="H383" s="5"/>
      <c r="I383" s="6">
        <f>D383/(VLOOKUP(B383,'[1]2022 Team'!$B$2:$G$33,3,FALSE))</f>
        <v>0</v>
      </c>
    </row>
    <row r="384" spans="1:9" x14ac:dyDescent="0.25">
      <c r="A384" s="5" t="s">
        <v>1772</v>
      </c>
      <c r="B384" s="5" t="s">
        <v>32</v>
      </c>
      <c r="C384" s="5" t="s">
        <v>153</v>
      </c>
      <c r="D384" s="5">
        <v>0</v>
      </c>
      <c r="E384" s="5">
        <v>0</v>
      </c>
      <c r="F384" s="5">
        <v>0</v>
      </c>
      <c r="G384" s="6" t="e">
        <f t="shared" si="6"/>
        <v>#DIV/0!</v>
      </c>
      <c r="H384" s="5"/>
      <c r="I384" s="6">
        <f>D384/(VLOOKUP(B384,'[1]2022 Team'!$B$2:$G$33,3,FALSE))</f>
        <v>0</v>
      </c>
    </row>
    <row r="385" spans="1:9" x14ac:dyDescent="0.25">
      <c r="A385" s="5" t="s">
        <v>2458</v>
      </c>
      <c r="B385" s="5" t="s">
        <v>28</v>
      </c>
      <c r="C385" s="5" t="s">
        <v>163</v>
      </c>
      <c r="D385" s="5">
        <v>0</v>
      </c>
      <c r="E385" s="5">
        <v>0</v>
      </c>
      <c r="F385" s="5">
        <v>0</v>
      </c>
      <c r="G385" s="6" t="e">
        <f t="shared" si="6"/>
        <v>#DIV/0!</v>
      </c>
      <c r="H385" s="5"/>
      <c r="I385" s="6">
        <f>D385/(VLOOKUP(B385,'[1]2022 Team'!$B$2:$G$33,3,FALSE))</f>
        <v>0</v>
      </c>
    </row>
    <row r="386" spans="1:9" x14ac:dyDescent="0.25">
      <c r="A386" s="5" t="s">
        <v>2459</v>
      </c>
      <c r="B386" s="5" t="s">
        <v>10</v>
      </c>
      <c r="C386" s="5" t="s">
        <v>163</v>
      </c>
      <c r="D386" s="5">
        <v>0</v>
      </c>
      <c r="E386" s="5">
        <v>0</v>
      </c>
      <c r="F386" s="5">
        <v>0</v>
      </c>
      <c r="G386" s="6" t="e">
        <f t="shared" si="6"/>
        <v>#DIV/0!</v>
      </c>
      <c r="H386" s="5"/>
      <c r="I386" s="6">
        <f>D386/(VLOOKUP(B386,'[1]2022 Team'!$B$2:$G$33,3,FALSE))</f>
        <v>0</v>
      </c>
    </row>
    <row r="387" spans="1:9" x14ac:dyDescent="0.25">
      <c r="A387" s="5" t="s">
        <v>892</v>
      </c>
      <c r="B387" s="5" t="s">
        <v>34</v>
      </c>
      <c r="C387" s="5" t="s">
        <v>153</v>
      </c>
      <c r="D387" s="5">
        <v>0</v>
      </c>
      <c r="E387" s="5">
        <v>0</v>
      </c>
      <c r="F387" s="5">
        <v>0</v>
      </c>
      <c r="G387" s="6" t="e">
        <f t="shared" si="6"/>
        <v>#DIV/0!</v>
      </c>
      <c r="H387" s="5"/>
      <c r="I387" s="6">
        <f>D387/(VLOOKUP(B387,'[1]2022 Team'!$B$2:$G$33,3,FALSE))</f>
        <v>0</v>
      </c>
    </row>
    <row r="388" spans="1:9" x14ac:dyDescent="0.25">
      <c r="A388" s="5" t="s">
        <v>2460</v>
      </c>
      <c r="B388" s="5" t="s">
        <v>8</v>
      </c>
      <c r="C388" s="5" t="s">
        <v>153</v>
      </c>
      <c r="D388" s="5">
        <v>0</v>
      </c>
      <c r="E388" s="5">
        <v>0</v>
      </c>
      <c r="F388" s="5">
        <v>0</v>
      </c>
      <c r="G388" s="6" t="e">
        <f t="shared" si="6"/>
        <v>#DIV/0!</v>
      </c>
      <c r="H388" s="5"/>
      <c r="I388" s="6">
        <f>D388/(VLOOKUP(B388,'[1]2022 Team'!$B$2:$G$33,3,FALSE))</f>
        <v>0</v>
      </c>
    </row>
    <row r="389" spans="1:9" x14ac:dyDescent="0.25">
      <c r="A389" s="5" t="s">
        <v>2461</v>
      </c>
      <c r="B389" s="5" t="s">
        <v>36</v>
      </c>
      <c r="C389" s="5" t="s">
        <v>153</v>
      </c>
      <c r="D389" s="5">
        <v>0</v>
      </c>
      <c r="E389" s="5">
        <v>0</v>
      </c>
      <c r="F389" s="5">
        <v>0</v>
      </c>
      <c r="G389" s="6" t="e">
        <f t="shared" si="6"/>
        <v>#DIV/0!</v>
      </c>
      <c r="H389" s="5"/>
      <c r="I389" s="6">
        <f>D389/(VLOOKUP(B389,'[1]2022 Team'!$B$2:$G$33,3,FALSE))</f>
        <v>0</v>
      </c>
    </row>
    <row r="390" spans="1:9" x14ac:dyDescent="0.25">
      <c r="A390" s="5" t="s">
        <v>2462</v>
      </c>
      <c r="B390" s="5" t="s">
        <v>20</v>
      </c>
      <c r="C390" s="5" t="s">
        <v>153</v>
      </c>
      <c r="D390" s="5">
        <v>0</v>
      </c>
      <c r="E390" s="5">
        <v>0</v>
      </c>
      <c r="F390" s="5">
        <v>0</v>
      </c>
      <c r="G390" s="6" t="e">
        <f t="shared" si="6"/>
        <v>#DIV/0!</v>
      </c>
      <c r="H390" s="5"/>
      <c r="I390" s="6">
        <f>D390/(VLOOKUP(B390,'[1]2022 Team'!$B$2:$G$33,3,FALSE))</f>
        <v>0</v>
      </c>
    </row>
    <row r="391" spans="1:9" x14ac:dyDescent="0.25">
      <c r="A391" s="5" t="s">
        <v>787</v>
      </c>
      <c r="B391" s="5" t="s">
        <v>8</v>
      </c>
      <c r="C391" s="5" t="s">
        <v>163</v>
      </c>
      <c r="D391" s="5">
        <v>0</v>
      </c>
      <c r="E391" s="5">
        <v>0</v>
      </c>
      <c r="F391" s="5">
        <v>0</v>
      </c>
      <c r="G391" s="6" t="e">
        <f t="shared" si="6"/>
        <v>#DIV/0!</v>
      </c>
      <c r="H391" s="5"/>
      <c r="I391" s="6">
        <f>D391/(VLOOKUP(B391,'[1]2022 Team'!$B$2:$G$33,3,FALSE))</f>
        <v>0</v>
      </c>
    </row>
    <row r="392" spans="1:9" x14ac:dyDescent="0.25">
      <c r="A392" s="5" t="s">
        <v>2463</v>
      </c>
      <c r="B392" s="5" t="s">
        <v>30</v>
      </c>
      <c r="C392" s="5" t="s">
        <v>2184</v>
      </c>
      <c r="D392" s="5">
        <v>0</v>
      </c>
      <c r="E392" s="5">
        <v>0</v>
      </c>
      <c r="F392" s="5">
        <v>0</v>
      </c>
      <c r="G392" s="6" t="e">
        <f t="shared" si="6"/>
        <v>#DIV/0!</v>
      </c>
      <c r="H392" s="5"/>
      <c r="I392" s="6">
        <f>D392/(VLOOKUP(B392,'[1]2022 Team'!$B$2:$G$33,3,FALSE))</f>
        <v>0</v>
      </c>
    </row>
    <row r="393" spans="1:9" x14ac:dyDescent="0.25">
      <c r="A393" s="5" t="s">
        <v>2464</v>
      </c>
      <c r="B393" s="5" t="s">
        <v>22</v>
      </c>
      <c r="C393" s="5" t="s">
        <v>163</v>
      </c>
      <c r="D393" s="5">
        <v>0</v>
      </c>
      <c r="E393" s="5">
        <v>0</v>
      </c>
      <c r="F393" s="5">
        <v>0</v>
      </c>
      <c r="G393" s="6" t="e">
        <f t="shared" si="6"/>
        <v>#DIV/0!</v>
      </c>
      <c r="H393" s="5"/>
      <c r="I393" s="6">
        <f>D393/(VLOOKUP(B393,'[1]2022 Team'!$B$2:$G$33,3,FALSE))</f>
        <v>0</v>
      </c>
    </row>
    <row r="394" spans="1:9" x14ac:dyDescent="0.25">
      <c r="A394" s="5" t="s">
        <v>864</v>
      </c>
      <c r="B394" s="5" t="s">
        <v>42</v>
      </c>
      <c r="C394" s="5" t="s">
        <v>163</v>
      </c>
      <c r="D394" s="5">
        <v>0</v>
      </c>
      <c r="E394" s="5">
        <v>0</v>
      </c>
      <c r="F394" s="5">
        <v>0</v>
      </c>
      <c r="G394" s="6" t="e">
        <f t="shared" si="6"/>
        <v>#DIV/0!</v>
      </c>
      <c r="H394" s="5"/>
      <c r="I394" s="6">
        <f>D394/(VLOOKUP(B394,'[1]2022 Team'!$B$2:$G$33,3,FALSE))</f>
        <v>0</v>
      </c>
    </row>
    <row r="395" spans="1:9" x14ac:dyDescent="0.25">
      <c r="A395" s="5" t="s">
        <v>812</v>
      </c>
      <c r="B395" s="5" t="s">
        <v>12</v>
      </c>
      <c r="C395" s="5" t="s">
        <v>163</v>
      </c>
      <c r="D395" s="5">
        <v>0</v>
      </c>
      <c r="E395" s="5">
        <v>0</v>
      </c>
      <c r="F395" s="5">
        <v>0</v>
      </c>
      <c r="G395" s="6" t="e">
        <f t="shared" si="6"/>
        <v>#DIV/0!</v>
      </c>
      <c r="H395" s="5"/>
      <c r="I395" s="6">
        <f>D395/(VLOOKUP(B395,'[1]2022 Team'!$B$2:$G$33,3,FALSE))</f>
        <v>0</v>
      </c>
    </row>
    <row r="396" spans="1:9" x14ac:dyDescent="0.25">
      <c r="A396" s="5" t="s">
        <v>1041</v>
      </c>
      <c r="B396" s="5" t="s">
        <v>70</v>
      </c>
      <c r="C396" s="5" t="s">
        <v>153</v>
      </c>
      <c r="D396" s="5">
        <v>0</v>
      </c>
      <c r="E396" s="5">
        <v>0</v>
      </c>
      <c r="F396" s="5">
        <v>0</v>
      </c>
      <c r="G396" s="6" t="e">
        <f t="shared" si="6"/>
        <v>#DIV/0!</v>
      </c>
      <c r="H396" s="5"/>
      <c r="I396" s="6">
        <f>D396/(VLOOKUP(B396,'[1]2022 Team'!$B$2:$G$33,3,FALSE))</f>
        <v>0</v>
      </c>
    </row>
    <row r="397" spans="1:9" x14ac:dyDescent="0.25">
      <c r="A397" s="5" t="s">
        <v>2399</v>
      </c>
      <c r="B397" s="5" t="s">
        <v>66</v>
      </c>
      <c r="C397" s="5" t="s">
        <v>163</v>
      </c>
      <c r="D397" s="5">
        <v>0</v>
      </c>
      <c r="E397" s="5">
        <v>0</v>
      </c>
      <c r="F397" s="5">
        <v>0</v>
      </c>
      <c r="G397" s="6" t="e">
        <f t="shared" si="6"/>
        <v>#DIV/0!</v>
      </c>
      <c r="H397" s="5"/>
      <c r="I397" s="6">
        <f>D397/(VLOOKUP(B397,'[1]2022 Team'!$B$2:$G$33,3,FALSE))</f>
        <v>0</v>
      </c>
    </row>
    <row r="398" spans="1:9" x14ac:dyDescent="0.25">
      <c r="A398" s="5" t="s">
        <v>2399</v>
      </c>
      <c r="B398" s="5" t="s">
        <v>14</v>
      </c>
      <c r="C398" s="5" t="s">
        <v>163</v>
      </c>
      <c r="D398" s="5">
        <v>0</v>
      </c>
      <c r="E398" s="5">
        <v>0</v>
      </c>
      <c r="F398" s="5">
        <v>0</v>
      </c>
      <c r="G398" s="6" t="e">
        <f t="shared" si="6"/>
        <v>#DIV/0!</v>
      </c>
      <c r="H398" s="5"/>
      <c r="I398" s="6">
        <f>D398/(VLOOKUP(B398,'[1]2022 Team'!$B$2:$G$33,3,FALSE))</f>
        <v>0</v>
      </c>
    </row>
    <row r="399" spans="1:9" x14ac:dyDescent="0.25">
      <c r="A399" s="5" t="s">
        <v>1775</v>
      </c>
      <c r="B399" s="5" t="s">
        <v>38</v>
      </c>
      <c r="C399" s="5" t="s">
        <v>153</v>
      </c>
      <c r="D399" s="5">
        <v>0</v>
      </c>
      <c r="E399" s="5">
        <v>0</v>
      </c>
      <c r="F399" s="5">
        <v>0</v>
      </c>
      <c r="G399" s="6" t="e">
        <f t="shared" si="6"/>
        <v>#DIV/0!</v>
      </c>
      <c r="H399" s="5"/>
      <c r="I399" s="6">
        <f>D399/(VLOOKUP(B399,'[1]2022 Team'!$B$2:$G$33,3,FALSE))</f>
        <v>0</v>
      </c>
    </row>
    <row r="400" spans="1:9" x14ac:dyDescent="0.25">
      <c r="A400" s="5" t="s">
        <v>1776</v>
      </c>
      <c r="B400" s="5" t="s">
        <v>22</v>
      </c>
      <c r="C400" s="5" t="s">
        <v>163</v>
      </c>
      <c r="D400" s="5">
        <v>0</v>
      </c>
      <c r="E400" s="5">
        <v>0</v>
      </c>
      <c r="F400" s="5">
        <v>0</v>
      </c>
      <c r="G400" s="6" t="e">
        <f t="shared" si="6"/>
        <v>#DIV/0!</v>
      </c>
      <c r="H400" s="5"/>
      <c r="I400" s="6">
        <f>D400/(VLOOKUP(B400,'[1]2022 Team'!$B$2:$G$33,3,FALSE))</f>
        <v>0</v>
      </c>
    </row>
    <row r="401" spans="1:9" x14ac:dyDescent="0.25">
      <c r="A401" s="5" t="s">
        <v>2465</v>
      </c>
      <c r="B401" s="5" t="s">
        <v>44</v>
      </c>
      <c r="C401" s="5" t="s">
        <v>153</v>
      </c>
      <c r="D401" s="5">
        <v>0</v>
      </c>
      <c r="E401" s="5">
        <v>0</v>
      </c>
      <c r="F401" s="5">
        <v>0</v>
      </c>
      <c r="G401" s="6" t="e">
        <f t="shared" si="6"/>
        <v>#DIV/0!</v>
      </c>
      <c r="H401" s="5"/>
      <c r="I401" s="6">
        <f>D401/(VLOOKUP(B401,'[1]2022 Team'!$B$2:$G$33,3,FALSE))</f>
        <v>0</v>
      </c>
    </row>
    <row r="402" spans="1:9" x14ac:dyDescent="0.25">
      <c r="A402" s="5" t="s">
        <v>1712</v>
      </c>
      <c r="B402" s="5" t="s">
        <v>18</v>
      </c>
      <c r="C402" s="5" t="s">
        <v>613</v>
      </c>
      <c r="D402" s="5">
        <v>0</v>
      </c>
      <c r="E402" s="5">
        <v>0</v>
      </c>
      <c r="F402" s="5">
        <v>0</v>
      </c>
      <c r="G402" s="6" t="e">
        <f t="shared" si="6"/>
        <v>#DIV/0!</v>
      </c>
      <c r="H402" s="5"/>
      <c r="I402" s="6">
        <f>D402/(VLOOKUP(B402,'[1]2022 Team'!$B$2:$G$33,3,FALSE))</f>
        <v>0</v>
      </c>
    </row>
    <row r="403" spans="1:9" x14ac:dyDescent="0.25">
      <c r="A403" s="5" t="s">
        <v>2466</v>
      </c>
      <c r="B403" s="5" t="s">
        <v>68</v>
      </c>
      <c r="C403" s="5" t="s">
        <v>163</v>
      </c>
      <c r="D403" s="5">
        <v>0</v>
      </c>
      <c r="E403" s="5">
        <v>0</v>
      </c>
      <c r="F403" s="5">
        <v>0</v>
      </c>
      <c r="G403" s="6" t="e">
        <f t="shared" si="6"/>
        <v>#DIV/0!</v>
      </c>
      <c r="H403" s="5"/>
      <c r="I403" s="6">
        <f>D403/(VLOOKUP(B403,'[1]2022 Team'!$B$2:$G$33,3,FALSE))</f>
        <v>0</v>
      </c>
    </row>
    <row r="404" spans="1:9" x14ac:dyDescent="0.25">
      <c r="A404" s="5" t="s">
        <v>1582</v>
      </c>
      <c r="B404" s="5" t="s">
        <v>20</v>
      </c>
      <c r="C404" s="5" t="s">
        <v>163</v>
      </c>
      <c r="D404" s="5">
        <v>0</v>
      </c>
      <c r="E404" s="5">
        <v>0</v>
      </c>
      <c r="F404" s="5">
        <v>0</v>
      </c>
      <c r="G404" s="6" t="e">
        <f t="shared" si="6"/>
        <v>#DIV/0!</v>
      </c>
      <c r="H404" s="5"/>
      <c r="I404" s="6">
        <f>D404/(VLOOKUP(B404,'[1]2022 Team'!$B$2:$G$33,3,FALSE))</f>
        <v>0</v>
      </c>
    </row>
    <row r="405" spans="1:9" x14ac:dyDescent="0.25">
      <c r="A405" s="5" t="s">
        <v>1777</v>
      </c>
      <c r="B405" s="5" t="s">
        <v>60</v>
      </c>
      <c r="C405" s="5" t="s">
        <v>163</v>
      </c>
      <c r="D405" s="5">
        <v>0</v>
      </c>
      <c r="E405" s="5">
        <v>0</v>
      </c>
      <c r="F405" s="5">
        <v>0</v>
      </c>
      <c r="G405" s="6" t="e">
        <f t="shared" si="6"/>
        <v>#DIV/0!</v>
      </c>
      <c r="H405" s="5"/>
      <c r="I405" s="6">
        <f>D405/(VLOOKUP(B405,'[1]2022 Team'!$B$2:$G$33,3,FALSE))</f>
        <v>0</v>
      </c>
    </row>
    <row r="406" spans="1:9" x14ac:dyDescent="0.25">
      <c r="A406" s="5" t="s">
        <v>2467</v>
      </c>
      <c r="B406" s="5" t="s">
        <v>66</v>
      </c>
      <c r="C406" s="5" t="s">
        <v>153</v>
      </c>
      <c r="D406" s="5">
        <v>0</v>
      </c>
      <c r="E406" s="5">
        <v>0</v>
      </c>
      <c r="F406" s="5">
        <v>0</v>
      </c>
      <c r="G406" s="6" t="e">
        <f t="shared" si="6"/>
        <v>#DIV/0!</v>
      </c>
      <c r="H406" s="5"/>
      <c r="I406" s="6">
        <f>D406/(VLOOKUP(B406,'[1]2022 Team'!$B$2:$G$33,3,FALSE))</f>
        <v>0</v>
      </c>
    </row>
    <row r="407" spans="1:9" x14ac:dyDescent="0.25">
      <c r="A407" s="5" t="s">
        <v>988</v>
      </c>
      <c r="B407" s="5" t="s">
        <v>58</v>
      </c>
      <c r="C407" s="5" t="s">
        <v>163</v>
      </c>
      <c r="D407" s="5">
        <v>0</v>
      </c>
      <c r="E407" s="5">
        <v>0</v>
      </c>
      <c r="F407" s="5">
        <v>0</v>
      </c>
      <c r="G407" s="6" t="e">
        <f t="shared" si="6"/>
        <v>#DIV/0!</v>
      </c>
      <c r="H407" s="5"/>
      <c r="I407" s="6">
        <f>D407/(VLOOKUP(B407,'[1]2022 Team'!$B$2:$G$33,3,FALSE))</f>
        <v>0</v>
      </c>
    </row>
    <row r="408" spans="1:9" x14ac:dyDescent="0.25">
      <c r="A408" s="5" t="s">
        <v>2468</v>
      </c>
      <c r="B408" s="5" t="s">
        <v>14</v>
      </c>
      <c r="C408" s="5" t="s">
        <v>163</v>
      </c>
      <c r="D408" s="5">
        <v>0</v>
      </c>
      <c r="E408" s="5">
        <v>0</v>
      </c>
      <c r="F408" s="5">
        <v>0</v>
      </c>
      <c r="G408" s="6" t="e">
        <f t="shared" si="6"/>
        <v>#DIV/0!</v>
      </c>
      <c r="H408" s="5"/>
      <c r="I408" s="6">
        <f>D408/(VLOOKUP(B408,'[1]2022 Team'!$B$2:$G$33,3,FALSE))</f>
        <v>0</v>
      </c>
    </row>
    <row r="409" spans="1:9" x14ac:dyDescent="0.25">
      <c r="A409" s="5" t="s">
        <v>1042</v>
      </c>
      <c r="B409" s="5" t="s">
        <v>24</v>
      </c>
      <c r="C409" s="5" t="s">
        <v>163</v>
      </c>
      <c r="D409" s="5">
        <v>0</v>
      </c>
      <c r="E409" s="5">
        <v>0</v>
      </c>
      <c r="F409" s="5">
        <v>0</v>
      </c>
      <c r="G409" s="6" t="e">
        <f t="shared" si="6"/>
        <v>#DIV/0!</v>
      </c>
      <c r="H409" s="5"/>
      <c r="I409" s="6">
        <f>D409/(VLOOKUP(B409,'[1]2022 Team'!$B$2:$G$33,3,FALSE))</f>
        <v>0</v>
      </c>
    </row>
    <row r="410" spans="1:9" x14ac:dyDescent="0.25">
      <c r="A410" s="5" t="s">
        <v>790</v>
      </c>
      <c r="B410" s="5" t="s">
        <v>32</v>
      </c>
      <c r="C410" s="5" t="s">
        <v>153</v>
      </c>
      <c r="D410" s="5">
        <v>0</v>
      </c>
      <c r="E410" s="5">
        <v>0</v>
      </c>
      <c r="F410" s="5">
        <v>0</v>
      </c>
      <c r="G410" s="6" t="e">
        <f t="shared" si="6"/>
        <v>#DIV/0!</v>
      </c>
      <c r="H410" s="5"/>
      <c r="I410" s="6">
        <f>D410/(VLOOKUP(B410,'[1]2022 Team'!$B$2:$G$33,3,FALSE))</f>
        <v>0</v>
      </c>
    </row>
    <row r="411" spans="1:9" x14ac:dyDescent="0.25">
      <c r="A411" s="5" t="s">
        <v>790</v>
      </c>
      <c r="B411" s="5" t="s">
        <v>22</v>
      </c>
      <c r="C411" s="5" t="s">
        <v>153</v>
      </c>
      <c r="D411" s="5">
        <v>0</v>
      </c>
      <c r="E411" s="5">
        <v>0</v>
      </c>
      <c r="F411" s="5">
        <v>0</v>
      </c>
      <c r="G411" s="6" t="e">
        <f t="shared" si="6"/>
        <v>#DIV/0!</v>
      </c>
      <c r="H411" s="5"/>
      <c r="I411" s="6">
        <f>D411/(VLOOKUP(B411,'[1]2022 Team'!$B$2:$G$33,3,FALSE))</f>
        <v>0</v>
      </c>
    </row>
    <row r="412" spans="1:9" x14ac:dyDescent="0.25">
      <c r="A412" s="5" t="s">
        <v>1779</v>
      </c>
      <c r="B412" s="5" t="s">
        <v>10</v>
      </c>
      <c r="C412" s="5" t="s">
        <v>163</v>
      </c>
      <c r="D412" s="5">
        <v>0</v>
      </c>
      <c r="E412" s="5">
        <v>0</v>
      </c>
      <c r="F412" s="5">
        <v>0</v>
      </c>
      <c r="G412" s="6" t="e">
        <f t="shared" si="6"/>
        <v>#DIV/0!</v>
      </c>
      <c r="H412" s="5"/>
      <c r="I412" s="6">
        <f>D412/(VLOOKUP(B412,'[1]2022 Team'!$B$2:$G$33,3,FALSE))</f>
        <v>0</v>
      </c>
    </row>
    <row r="413" spans="1:9" x14ac:dyDescent="0.25">
      <c r="A413" s="5" t="s">
        <v>1780</v>
      </c>
      <c r="B413" s="5" t="s">
        <v>56</v>
      </c>
      <c r="C413" s="5" t="s">
        <v>163</v>
      </c>
      <c r="D413" s="5">
        <v>0</v>
      </c>
      <c r="E413" s="5">
        <v>0</v>
      </c>
      <c r="F413" s="5">
        <v>0</v>
      </c>
      <c r="G413" s="6" t="e">
        <f t="shared" si="6"/>
        <v>#DIV/0!</v>
      </c>
      <c r="H413" s="5"/>
      <c r="I413" s="6">
        <f>D413/(VLOOKUP(B413,'[1]2022 Team'!$B$2:$G$33,3,FALSE))</f>
        <v>0</v>
      </c>
    </row>
    <row r="414" spans="1:9" x14ac:dyDescent="0.25">
      <c r="A414" s="5" t="s">
        <v>1780</v>
      </c>
      <c r="B414" s="5" t="s">
        <v>54</v>
      </c>
      <c r="C414" s="5" t="s">
        <v>163</v>
      </c>
      <c r="D414" s="5">
        <v>0</v>
      </c>
      <c r="E414" s="5">
        <v>0</v>
      </c>
      <c r="F414" s="5">
        <v>0</v>
      </c>
      <c r="G414" s="6" t="e">
        <f t="shared" si="6"/>
        <v>#DIV/0!</v>
      </c>
      <c r="H414" s="5"/>
      <c r="I414" s="6">
        <f>D414/(VLOOKUP(B414,'[1]2022 Team'!$B$2:$G$33,3,FALSE))</f>
        <v>0</v>
      </c>
    </row>
    <row r="415" spans="1:9" x14ac:dyDescent="0.25">
      <c r="A415" s="5" t="s">
        <v>989</v>
      </c>
      <c r="B415" s="5" t="s">
        <v>58</v>
      </c>
      <c r="C415" s="5" t="s">
        <v>153</v>
      </c>
      <c r="D415" s="5">
        <v>0</v>
      </c>
      <c r="E415" s="5">
        <v>0</v>
      </c>
      <c r="F415" s="5">
        <v>0</v>
      </c>
      <c r="G415" s="6" t="e">
        <f t="shared" si="6"/>
        <v>#DIV/0!</v>
      </c>
      <c r="H415" s="5"/>
      <c r="I415" s="6">
        <f>D415/(VLOOKUP(B415,'[1]2022 Team'!$B$2:$G$33,3,FALSE))</f>
        <v>0</v>
      </c>
    </row>
    <row r="416" spans="1:9" x14ac:dyDescent="0.25">
      <c r="A416" s="5" t="s">
        <v>2469</v>
      </c>
      <c r="B416" s="5" t="s">
        <v>52</v>
      </c>
      <c r="C416" s="5" t="s">
        <v>163</v>
      </c>
      <c r="D416" s="5">
        <v>0</v>
      </c>
      <c r="E416" s="5">
        <v>0</v>
      </c>
      <c r="F416" s="5">
        <v>0</v>
      </c>
      <c r="G416" s="6" t="e">
        <f t="shared" si="6"/>
        <v>#DIV/0!</v>
      </c>
      <c r="H416" s="5"/>
      <c r="I416" s="6">
        <f>D416/(VLOOKUP(B416,'[1]2022 Team'!$B$2:$G$33,3,FALSE))</f>
        <v>0</v>
      </c>
    </row>
    <row r="417" spans="1:9" x14ac:dyDescent="0.25">
      <c r="A417" s="5" t="s">
        <v>2470</v>
      </c>
      <c r="B417" s="5" t="s">
        <v>32</v>
      </c>
      <c r="C417" s="5" t="s">
        <v>163</v>
      </c>
      <c r="D417" s="5">
        <v>0</v>
      </c>
      <c r="E417" s="5">
        <v>0</v>
      </c>
      <c r="F417" s="5">
        <v>0</v>
      </c>
      <c r="G417" s="6" t="e">
        <f t="shared" si="6"/>
        <v>#DIV/0!</v>
      </c>
      <c r="H417" s="5"/>
      <c r="I417" s="6">
        <f>D417/(VLOOKUP(B417,'[1]2022 Team'!$B$2:$G$33,3,FALSE))</f>
        <v>0</v>
      </c>
    </row>
    <row r="418" spans="1:9" x14ac:dyDescent="0.25">
      <c r="A418" s="5" t="s">
        <v>2471</v>
      </c>
      <c r="B418" s="5" t="s">
        <v>28</v>
      </c>
      <c r="C418" s="5" t="s">
        <v>163</v>
      </c>
      <c r="D418" s="5">
        <v>0</v>
      </c>
      <c r="E418" s="5">
        <v>0</v>
      </c>
      <c r="F418" s="5">
        <v>0</v>
      </c>
      <c r="G418" s="6" t="e">
        <f t="shared" si="6"/>
        <v>#DIV/0!</v>
      </c>
      <c r="H418" s="5"/>
      <c r="I418" s="6">
        <f>D418/(VLOOKUP(B418,'[1]2022 Team'!$B$2:$G$33,3,FALSE))</f>
        <v>0</v>
      </c>
    </row>
    <row r="419" spans="1:9" x14ac:dyDescent="0.25">
      <c r="A419" s="5" t="s">
        <v>1781</v>
      </c>
      <c r="B419" s="5" t="s">
        <v>28</v>
      </c>
      <c r="C419" s="5" t="s">
        <v>163</v>
      </c>
      <c r="D419" s="5">
        <v>0</v>
      </c>
      <c r="E419" s="5">
        <v>0</v>
      </c>
      <c r="F419" s="5">
        <v>0</v>
      </c>
      <c r="G419" s="6" t="e">
        <f t="shared" si="6"/>
        <v>#DIV/0!</v>
      </c>
      <c r="H419" s="5"/>
      <c r="I419" s="6">
        <f>D419/(VLOOKUP(B419,'[1]2022 Team'!$B$2:$G$33,3,FALSE))</f>
        <v>0</v>
      </c>
    </row>
    <row r="420" spans="1:9" x14ac:dyDescent="0.25">
      <c r="A420" s="5" t="s">
        <v>1043</v>
      </c>
      <c r="B420" s="5" t="s">
        <v>16</v>
      </c>
      <c r="C420" s="5" t="s">
        <v>163</v>
      </c>
      <c r="D420" s="5">
        <v>0</v>
      </c>
      <c r="E420" s="5">
        <v>0</v>
      </c>
      <c r="F420" s="5">
        <v>0</v>
      </c>
      <c r="G420" s="6" t="e">
        <f t="shared" si="6"/>
        <v>#DIV/0!</v>
      </c>
      <c r="H420" s="5"/>
      <c r="I420" s="6">
        <f>D420/(VLOOKUP(B420,'[1]2022 Team'!$B$2:$G$33,3,FALSE))</f>
        <v>0</v>
      </c>
    </row>
    <row r="421" spans="1:9" x14ac:dyDescent="0.25">
      <c r="A421" s="5" t="s">
        <v>1043</v>
      </c>
      <c r="B421" s="5" t="s">
        <v>8</v>
      </c>
      <c r="C421" s="5" t="s">
        <v>163</v>
      </c>
      <c r="D421" s="5">
        <v>0</v>
      </c>
      <c r="E421" s="5">
        <v>0</v>
      </c>
      <c r="F421" s="5">
        <v>0</v>
      </c>
      <c r="G421" s="6" t="e">
        <f t="shared" si="6"/>
        <v>#DIV/0!</v>
      </c>
      <c r="H421" s="5"/>
      <c r="I421" s="6">
        <f>D421/(VLOOKUP(B421,'[1]2022 Team'!$B$2:$G$33,3,FALSE))</f>
        <v>0</v>
      </c>
    </row>
    <row r="422" spans="1:9" x14ac:dyDescent="0.25">
      <c r="A422" s="5" t="s">
        <v>2472</v>
      </c>
      <c r="B422" s="5" t="s">
        <v>26</v>
      </c>
      <c r="C422" s="5" t="s">
        <v>163</v>
      </c>
      <c r="D422" s="5">
        <v>0</v>
      </c>
      <c r="E422" s="5">
        <v>0</v>
      </c>
      <c r="F422" s="5">
        <v>0</v>
      </c>
      <c r="G422" s="6" t="e">
        <f t="shared" si="6"/>
        <v>#DIV/0!</v>
      </c>
      <c r="H422" s="5"/>
      <c r="I422" s="6">
        <f>D422/(VLOOKUP(B422,'[1]2022 Team'!$B$2:$G$33,3,FALSE))</f>
        <v>0</v>
      </c>
    </row>
    <row r="423" spans="1:9" x14ac:dyDescent="0.25">
      <c r="A423" s="5" t="s">
        <v>1784</v>
      </c>
      <c r="B423" s="5" t="s">
        <v>30</v>
      </c>
      <c r="C423" s="5" t="s">
        <v>163</v>
      </c>
      <c r="D423" s="5">
        <v>0</v>
      </c>
      <c r="E423" s="5">
        <v>0</v>
      </c>
      <c r="F423" s="5">
        <v>0</v>
      </c>
      <c r="G423" s="6" t="e">
        <f t="shared" si="6"/>
        <v>#DIV/0!</v>
      </c>
      <c r="H423" s="5"/>
      <c r="I423" s="6">
        <f>D423/(VLOOKUP(B423,'[1]2022 Team'!$B$2:$G$33,3,FALSE))</f>
        <v>0</v>
      </c>
    </row>
    <row r="424" spans="1:9" x14ac:dyDescent="0.25">
      <c r="A424" s="5" t="s">
        <v>2401</v>
      </c>
      <c r="B424" s="5" t="s">
        <v>40</v>
      </c>
      <c r="C424" s="5" t="s">
        <v>163</v>
      </c>
      <c r="D424" s="5">
        <v>0</v>
      </c>
      <c r="E424" s="5">
        <v>0</v>
      </c>
      <c r="F424" s="5">
        <v>0</v>
      </c>
      <c r="G424" s="6" t="e">
        <f t="shared" si="6"/>
        <v>#DIV/0!</v>
      </c>
      <c r="H424" s="5"/>
      <c r="I424" s="6">
        <f>D424/(VLOOKUP(B424,'[1]2022 Team'!$B$2:$G$33,3,FALSE))</f>
        <v>0</v>
      </c>
    </row>
    <row r="425" spans="1:9" x14ac:dyDescent="0.25">
      <c r="A425" s="5" t="s">
        <v>725</v>
      </c>
      <c r="B425" s="5" t="s">
        <v>32</v>
      </c>
      <c r="C425" s="5" t="s">
        <v>163</v>
      </c>
      <c r="D425" s="5">
        <v>0</v>
      </c>
      <c r="E425" s="5">
        <v>0</v>
      </c>
      <c r="F425" s="5">
        <v>0</v>
      </c>
      <c r="G425" s="6" t="e">
        <f t="shared" si="6"/>
        <v>#DIV/0!</v>
      </c>
      <c r="H425" s="5"/>
      <c r="I425" s="6">
        <f>D425/(VLOOKUP(B425,'[1]2022 Team'!$B$2:$G$33,3,FALSE))</f>
        <v>0</v>
      </c>
    </row>
    <row r="426" spans="1:9" x14ac:dyDescent="0.25">
      <c r="A426" s="5" t="s">
        <v>2473</v>
      </c>
      <c r="B426" s="5" t="s">
        <v>22</v>
      </c>
      <c r="C426" s="5" t="s">
        <v>2087</v>
      </c>
      <c r="D426" s="5">
        <v>0</v>
      </c>
      <c r="E426" s="5">
        <v>0</v>
      </c>
      <c r="F426" s="5">
        <v>0</v>
      </c>
      <c r="G426" s="6" t="e">
        <f t="shared" si="6"/>
        <v>#DIV/0!</v>
      </c>
      <c r="H426" s="5"/>
      <c r="I426" s="6">
        <f>D426/(VLOOKUP(B426,'[1]2022 Team'!$B$2:$G$33,3,FALSE))</f>
        <v>0</v>
      </c>
    </row>
    <row r="427" spans="1:9" x14ac:dyDescent="0.25">
      <c r="A427" s="5" t="s">
        <v>1785</v>
      </c>
      <c r="B427" s="5" t="s">
        <v>32</v>
      </c>
      <c r="C427" s="5" t="s">
        <v>163</v>
      </c>
      <c r="D427" s="5">
        <v>0</v>
      </c>
      <c r="E427" s="5">
        <v>0</v>
      </c>
      <c r="F427" s="5">
        <v>0</v>
      </c>
      <c r="G427" s="6" t="e">
        <f t="shared" si="6"/>
        <v>#DIV/0!</v>
      </c>
      <c r="H427" s="5"/>
      <c r="I427" s="6">
        <f>D427/(VLOOKUP(B427,'[1]2022 Team'!$B$2:$G$33,3,FALSE))</f>
        <v>0</v>
      </c>
    </row>
    <row r="428" spans="1:9" x14ac:dyDescent="0.25">
      <c r="A428" s="5" t="s">
        <v>1785</v>
      </c>
      <c r="B428" s="5" t="s">
        <v>68</v>
      </c>
      <c r="C428" s="5" t="s">
        <v>163</v>
      </c>
      <c r="D428" s="5">
        <v>0</v>
      </c>
      <c r="E428" s="5">
        <v>0</v>
      </c>
      <c r="F428" s="5">
        <v>0</v>
      </c>
      <c r="G428" s="6" t="e">
        <f t="shared" si="6"/>
        <v>#DIV/0!</v>
      </c>
      <c r="H428" s="5"/>
      <c r="I428" s="6">
        <f>D428/(VLOOKUP(B428,'[1]2022 Team'!$B$2:$G$33,3,FALSE))</f>
        <v>0</v>
      </c>
    </row>
    <row r="429" spans="1:9" x14ac:dyDescent="0.25">
      <c r="A429" s="5" t="s">
        <v>941</v>
      </c>
      <c r="B429" s="5" t="s">
        <v>46</v>
      </c>
      <c r="C429" s="5" t="s">
        <v>153</v>
      </c>
      <c r="D429" s="5">
        <v>0</v>
      </c>
      <c r="E429" s="5">
        <v>0</v>
      </c>
      <c r="F429" s="5">
        <v>0</v>
      </c>
      <c r="G429" s="6" t="e">
        <f t="shared" si="6"/>
        <v>#DIV/0!</v>
      </c>
      <c r="H429" s="5"/>
      <c r="I429" s="6">
        <f>D429/(VLOOKUP(B429,'[1]2022 Team'!$B$2:$G$33,3,FALSE))</f>
        <v>0</v>
      </c>
    </row>
    <row r="430" spans="1:9" x14ac:dyDescent="0.25">
      <c r="A430" s="5" t="s">
        <v>1787</v>
      </c>
      <c r="B430" s="5" t="s">
        <v>22</v>
      </c>
      <c r="C430" s="5" t="s">
        <v>163</v>
      </c>
      <c r="D430" s="5">
        <v>0</v>
      </c>
      <c r="E430" s="5">
        <v>0</v>
      </c>
      <c r="F430" s="5">
        <v>0</v>
      </c>
      <c r="G430" s="6" t="e">
        <f t="shared" si="6"/>
        <v>#DIV/0!</v>
      </c>
      <c r="H430" s="5"/>
      <c r="I430" s="6">
        <f>D430/(VLOOKUP(B430,'[1]2022 Team'!$B$2:$G$33,3,FALSE))</f>
        <v>0</v>
      </c>
    </row>
    <row r="431" spans="1:9" x14ac:dyDescent="0.25">
      <c r="A431" s="5" t="s">
        <v>2474</v>
      </c>
      <c r="B431" s="5" t="s">
        <v>34</v>
      </c>
      <c r="C431" s="5" t="s">
        <v>163</v>
      </c>
      <c r="D431" s="5">
        <v>0</v>
      </c>
      <c r="E431" s="5">
        <v>0</v>
      </c>
      <c r="F431" s="5">
        <v>0</v>
      </c>
      <c r="G431" s="6" t="e">
        <f t="shared" ref="G431:G492" si="7">F431/D431</f>
        <v>#DIV/0!</v>
      </c>
      <c r="H431" s="5"/>
      <c r="I431" s="6">
        <f>D431/(VLOOKUP(B431,'[1]2022 Team'!$B$2:$G$33,3,FALSE))</f>
        <v>0</v>
      </c>
    </row>
    <row r="432" spans="1:9" x14ac:dyDescent="0.25">
      <c r="A432" s="5" t="s">
        <v>1788</v>
      </c>
      <c r="B432" s="5" t="s">
        <v>46</v>
      </c>
      <c r="C432" s="5" t="s">
        <v>163</v>
      </c>
      <c r="D432" s="5">
        <v>0</v>
      </c>
      <c r="E432" s="5">
        <v>0</v>
      </c>
      <c r="F432" s="5">
        <v>0</v>
      </c>
      <c r="G432" s="6" t="e">
        <f t="shared" si="7"/>
        <v>#DIV/0!</v>
      </c>
      <c r="H432" s="5"/>
      <c r="I432" s="6">
        <f>D432/(VLOOKUP(B432,'[1]2022 Team'!$B$2:$G$33,3,FALSE))</f>
        <v>0</v>
      </c>
    </row>
    <row r="433" spans="1:9" x14ac:dyDescent="0.25">
      <c r="A433" s="5" t="s">
        <v>1789</v>
      </c>
      <c r="B433" s="5" t="s">
        <v>14</v>
      </c>
      <c r="C433" s="5" t="s">
        <v>163</v>
      </c>
      <c r="D433" s="5">
        <v>0</v>
      </c>
      <c r="E433" s="5">
        <v>0</v>
      </c>
      <c r="F433" s="5">
        <v>0</v>
      </c>
      <c r="G433" s="6" t="e">
        <f t="shared" si="7"/>
        <v>#DIV/0!</v>
      </c>
      <c r="H433" s="5"/>
      <c r="I433" s="6">
        <f>D433/(VLOOKUP(B433,'[1]2022 Team'!$B$2:$G$33,3,FALSE))</f>
        <v>0</v>
      </c>
    </row>
    <row r="434" spans="1:9" x14ac:dyDescent="0.25">
      <c r="A434" s="5" t="s">
        <v>2475</v>
      </c>
      <c r="B434" s="5" t="s">
        <v>10</v>
      </c>
      <c r="C434" s="5" t="s">
        <v>163</v>
      </c>
      <c r="D434" s="5">
        <v>0</v>
      </c>
      <c r="E434" s="5">
        <v>0</v>
      </c>
      <c r="F434" s="5">
        <v>0</v>
      </c>
      <c r="G434" s="6" t="e">
        <f t="shared" si="7"/>
        <v>#DIV/0!</v>
      </c>
      <c r="H434" s="5"/>
      <c r="I434" s="6">
        <f>D434/(VLOOKUP(B434,'[1]2022 Team'!$B$2:$G$33,3,FALSE))</f>
        <v>0</v>
      </c>
    </row>
    <row r="435" spans="1:9" x14ac:dyDescent="0.25">
      <c r="A435" s="5" t="s">
        <v>2476</v>
      </c>
      <c r="B435" s="5" t="s">
        <v>56</v>
      </c>
      <c r="C435" s="5" t="s">
        <v>163</v>
      </c>
      <c r="D435" s="5">
        <v>0</v>
      </c>
      <c r="E435" s="5">
        <v>0</v>
      </c>
      <c r="F435" s="5">
        <v>0</v>
      </c>
      <c r="G435" s="6" t="e">
        <f t="shared" si="7"/>
        <v>#DIV/0!</v>
      </c>
      <c r="H435" s="5"/>
      <c r="I435" s="6">
        <f>D435/(VLOOKUP(B435,'[1]2022 Team'!$B$2:$G$33,3,FALSE))</f>
        <v>0</v>
      </c>
    </row>
    <row r="436" spans="1:9" x14ac:dyDescent="0.25">
      <c r="A436" s="5" t="s">
        <v>821</v>
      </c>
      <c r="B436" s="5" t="s">
        <v>14</v>
      </c>
      <c r="C436" s="5" t="s">
        <v>163</v>
      </c>
      <c r="D436" s="5">
        <v>0</v>
      </c>
      <c r="E436" s="5">
        <v>0</v>
      </c>
      <c r="F436" s="5">
        <v>0</v>
      </c>
      <c r="G436" s="6" t="e">
        <f t="shared" si="7"/>
        <v>#DIV/0!</v>
      </c>
      <c r="H436" s="5"/>
      <c r="I436" s="6">
        <f>D436/(VLOOKUP(B436,'[1]2022 Team'!$B$2:$G$33,3,FALSE))</f>
        <v>0</v>
      </c>
    </row>
    <row r="437" spans="1:9" x14ac:dyDescent="0.25">
      <c r="A437" s="5" t="s">
        <v>2477</v>
      </c>
      <c r="B437" s="5" t="s">
        <v>30</v>
      </c>
      <c r="C437" s="5" t="s">
        <v>153</v>
      </c>
      <c r="D437" s="5">
        <v>0</v>
      </c>
      <c r="E437" s="5">
        <v>0</v>
      </c>
      <c r="F437" s="5">
        <v>0</v>
      </c>
      <c r="G437" s="6" t="e">
        <f t="shared" si="7"/>
        <v>#DIV/0!</v>
      </c>
      <c r="H437" s="5"/>
      <c r="I437" s="6">
        <f>D437/(VLOOKUP(B437,'[1]2022 Team'!$B$2:$G$33,3,FALSE))</f>
        <v>0</v>
      </c>
    </row>
    <row r="438" spans="1:9" x14ac:dyDescent="0.25">
      <c r="A438" s="5" t="s">
        <v>791</v>
      </c>
      <c r="B438" s="5" t="s">
        <v>30</v>
      </c>
      <c r="C438" s="5" t="s">
        <v>153</v>
      </c>
      <c r="D438" s="5">
        <v>0</v>
      </c>
      <c r="E438" s="5">
        <v>0</v>
      </c>
      <c r="F438" s="5">
        <v>0</v>
      </c>
      <c r="G438" s="6" t="e">
        <f t="shared" si="7"/>
        <v>#DIV/0!</v>
      </c>
      <c r="H438" s="5"/>
      <c r="I438" s="6">
        <f>D438/(VLOOKUP(B438,'[1]2022 Team'!$B$2:$G$33,3,FALSE))</f>
        <v>0</v>
      </c>
    </row>
    <row r="439" spans="1:9" x14ac:dyDescent="0.25">
      <c r="A439" s="5" t="s">
        <v>917</v>
      </c>
      <c r="B439" s="5" t="s">
        <v>64</v>
      </c>
      <c r="C439" s="5" t="s">
        <v>153</v>
      </c>
      <c r="D439" s="5">
        <v>0</v>
      </c>
      <c r="E439" s="5">
        <v>0</v>
      </c>
      <c r="F439" s="5">
        <v>0</v>
      </c>
      <c r="G439" s="6" t="e">
        <f t="shared" si="7"/>
        <v>#DIV/0!</v>
      </c>
      <c r="H439" s="5"/>
      <c r="I439" s="6">
        <f>D439/(VLOOKUP(B439,'[1]2022 Team'!$B$2:$G$33,3,FALSE))</f>
        <v>0</v>
      </c>
    </row>
    <row r="440" spans="1:9" x14ac:dyDescent="0.25">
      <c r="A440" s="5" t="s">
        <v>1790</v>
      </c>
      <c r="B440" s="5" t="s">
        <v>32</v>
      </c>
      <c r="C440" s="5" t="s">
        <v>163</v>
      </c>
      <c r="D440" s="5">
        <v>0</v>
      </c>
      <c r="E440" s="5">
        <v>0</v>
      </c>
      <c r="F440" s="5">
        <v>0</v>
      </c>
      <c r="G440" s="6" t="e">
        <f t="shared" si="7"/>
        <v>#DIV/0!</v>
      </c>
      <c r="H440" s="5"/>
      <c r="I440" s="6">
        <f>D440/(VLOOKUP(B440,'[1]2022 Team'!$B$2:$G$33,3,FALSE))</f>
        <v>0</v>
      </c>
    </row>
    <row r="441" spans="1:9" x14ac:dyDescent="0.25">
      <c r="A441" s="5" t="s">
        <v>733</v>
      </c>
      <c r="B441" s="5" t="s">
        <v>26</v>
      </c>
      <c r="C441" s="5" t="s">
        <v>153</v>
      </c>
      <c r="D441" s="5">
        <v>0</v>
      </c>
      <c r="E441" s="5">
        <v>0</v>
      </c>
      <c r="F441" s="5">
        <v>0</v>
      </c>
      <c r="G441" s="6" t="e">
        <f t="shared" si="7"/>
        <v>#DIV/0!</v>
      </c>
      <c r="H441" s="5"/>
      <c r="I441" s="6">
        <f>D441/(VLOOKUP(B441,'[1]2022 Team'!$B$2:$G$33,3,FALSE))</f>
        <v>0</v>
      </c>
    </row>
    <row r="442" spans="1:9" x14ac:dyDescent="0.25">
      <c r="A442" s="5" t="s">
        <v>870</v>
      </c>
      <c r="B442" s="5" t="s">
        <v>62</v>
      </c>
      <c r="C442" s="5" t="s">
        <v>153</v>
      </c>
      <c r="D442" s="5">
        <v>0</v>
      </c>
      <c r="E442" s="5">
        <v>0</v>
      </c>
      <c r="F442" s="5">
        <v>0</v>
      </c>
      <c r="G442" s="6" t="e">
        <f t="shared" si="7"/>
        <v>#DIV/0!</v>
      </c>
      <c r="H442" s="5"/>
      <c r="I442" s="6">
        <f>D442/(VLOOKUP(B442,'[1]2022 Team'!$B$2:$G$33,3,FALSE))</f>
        <v>0</v>
      </c>
    </row>
    <row r="443" spans="1:9" x14ac:dyDescent="0.25">
      <c r="A443" s="5" t="s">
        <v>2478</v>
      </c>
      <c r="B443" s="5" t="s">
        <v>10</v>
      </c>
      <c r="C443" s="5" t="s">
        <v>163</v>
      </c>
      <c r="D443" s="5">
        <v>0</v>
      </c>
      <c r="E443" s="5">
        <v>0</v>
      </c>
      <c r="F443" s="5">
        <v>0</v>
      </c>
      <c r="G443" s="6" t="e">
        <f t="shared" si="7"/>
        <v>#DIV/0!</v>
      </c>
      <c r="H443" s="5"/>
      <c r="I443" s="6">
        <f>D443/(VLOOKUP(B443,'[1]2022 Team'!$B$2:$G$33,3,FALSE))</f>
        <v>0</v>
      </c>
    </row>
    <row r="444" spans="1:9" x14ac:dyDescent="0.25">
      <c r="A444" s="5" t="s">
        <v>2479</v>
      </c>
      <c r="B444" s="5" t="s">
        <v>48</v>
      </c>
      <c r="C444" s="5" t="s">
        <v>153</v>
      </c>
      <c r="D444" s="5">
        <v>0</v>
      </c>
      <c r="E444" s="5">
        <v>0</v>
      </c>
      <c r="F444" s="5">
        <v>0</v>
      </c>
      <c r="G444" s="6" t="e">
        <f t="shared" si="7"/>
        <v>#DIV/0!</v>
      </c>
      <c r="H444" s="5"/>
      <c r="I444" s="6">
        <f>D444/(VLOOKUP(B444,'[1]2022 Team'!$B$2:$G$33,3,FALSE))</f>
        <v>0</v>
      </c>
    </row>
    <row r="445" spans="1:9" x14ac:dyDescent="0.25">
      <c r="A445" s="5" t="s">
        <v>1044</v>
      </c>
      <c r="B445" s="5" t="s">
        <v>8</v>
      </c>
      <c r="C445" s="5" t="s">
        <v>153</v>
      </c>
      <c r="D445" s="5">
        <v>0</v>
      </c>
      <c r="E445" s="5">
        <v>0</v>
      </c>
      <c r="F445" s="5">
        <v>0</v>
      </c>
      <c r="G445" s="6" t="e">
        <f t="shared" si="7"/>
        <v>#DIV/0!</v>
      </c>
      <c r="H445" s="5"/>
      <c r="I445" s="6">
        <f>D445/(VLOOKUP(B445,'[1]2022 Team'!$B$2:$G$33,3,FALSE))</f>
        <v>0</v>
      </c>
    </row>
    <row r="446" spans="1:9" x14ac:dyDescent="0.25">
      <c r="A446" s="5" t="s">
        <v>1738</v>
      </c>
      <c r="B446" s="5" t="s">
        <v>20</v>
      </c>
      <c r="C446" s="5" t="s">
        <v>159</v>
      </c>
      <c r="D446" s="5">
        <v>0</v>
      </c>
      <c r="E446" s="5">
        <v>0</v>
      </c>
      <c r="F446" s="5">
        <v>0</v>
      </c>
      <c r="G446" s="6" t="e">
        <f t="shared" si="7"/>
        <v>#DIV/0!</v>
      </c>
      <c r="H446" s="5"/>
      <c r="I446" s="6">
        <f>D446/(VLOOKUP(B446,'[1]2022 Team'!$B$2:$G$33,3,FALSE))</f>
        <v>0</v>
      </c>
    </row>
    <row r="447" spans="1:9" x14ac:dyDescent="0.25">
      <c r="A447" s="5" t="s">
        <v>1024</v>
      </c>
      <c r="B447" s="5" t="s">
        <v>66</v>
      </c>
      <c r="C447" s="5" t="s">
        <v>163</v>
      </c>
      <c r="D447" s="5">
        <v>0</v>
      </c>
      <c r="E447" s="5">
        <v>0</v>
      </c>
      <c r="F447" s="5">
        <v>0</v>
      </c>
      <c r="G447" s="6" t="e">
        <f t="shared" si="7"/>
        <v>#DIV/0!</v>
      </c>
      <c r="H447" s="5"/>
      <c r="I447" s="6">
        <f>D447/(VLOOKUP(B447,'[1]2022 Team'!$B$2:$G$33,3,FALSE))</f>
        <v>0</v>
      </c>
    </row>
    <row r="448" spans="1:9" x14ac:dyDescent="0.25">
      <c r="A448" s="5" t="s">
        <v>1719</v>
      </c>
      <c r="B448" s="5" t="s">
        <v>46</v>
      </c>
      <c r="C448" s="5" t="s">
        <v>163</v>
      </c>
      <c r="D448" s="5">
        <v>0</v>
      </c>
      <c r="E448" s="5">
        <v>0</v>
      </c>
      <c r="F448" s="5">
        <v>0</v>
      </c>
      <c r="G448" s="6" t="e">
        <f t="shared" si="7"/>
        <v>#DIV/0!</v>
      </c>
      <c r="H448" s="5"/>
      <c r="I448" s="6">
        <f>D448/(VLOOKUP(B448,'[1]2022 Team'!$B$2:$G$33,3,FALSE))</f>
        <v>0</v>
      </c>
    </row>
    <row r="449" spans="1:9" x14ac:dyDescent="0.25">
      <c r="A449" s="5" t="s">
        <v>841</v>
      </c>
      <c r="B449" s="5" t="s">
        <v>64</v>
      </c>
      <c r="C449" s="5" t="s">
        <v>153</v>
      </c>
      <c r="D449" s="5">
        <v>0</v>
      </c>
      <c r="E449" s="5">
        <v>0</v>
      </c>
      <c r="F449" s="5">
        <v>0</v>
      </c>
      <c r="G449" s="6" t="e">
        <f t="shared" si="7"/>
        <v>#DIV/0!</v>
      </c>
      <c r="H449" s="5"/>
      <c r="I449" s="6">
        <f>D449/(VLOOKUP(B449,'[1]2022 Team'!$B$2:$G$33,3,FALSE))</f>
        <v>0</v>
      </c>
    </row>
    <row r="450" spans="1:9" x14ac:dyDescent="0.25">
      <c r="A450" s="5" t="s">
        <v>1016</v>
      </c>
      <c r="B450" s="5" t="s">
        <v>36</v>
      </c>
      <c r="C450" s="5" t="s">
        <v>153</v>
      </c>
      <c r="D450" s="5">
        <v>0</v>
      </c>
      <c r="E450" s="5">
        <v>0</v>
      </c>
      <c r="F450" s="5">
        <v>0</v>
      </c>
      <c r="G450" s="6" t="e">
        <f t="shared" si="7"/>
        <v>#DIV/0!</v>
      </c>
      <c r="H450" s="5"/>
      <c r="I450" s="6">
        <f>D450/(VLOOKUP(B450,'[1]2022 Team'!$B$2:$G$33,3,FALSE))</f>
        <v>0</v>
      </c>
    </row>
    <row r="451" spans="1:9" x14ac:dyDescent="0.25">
      <c r="A451" s="5" t="s">
        <v>1796</v>
      </c>
      <c r="B451" s="5" t="s">
        <v>24</v>
      </c>
      <c r="C451" s="5" t="s">
        <v>163</v>
      </c>
      <c r="D451" s="5">
        <v>0</v>
      </c>
      <c r="E451" s="5">
        <v>0</v>
      </c>
      <c r="F451" s="5">
        <v>0</v>
      </c>
      <c r="G451" s="6" t="e">
        <f t="shared" si="7"/>
        <v>#DIV/0!</v>
      </c>
      <c r="H451" s="5"/>
      <c r="I451" s="6">
        <f>D451/(VLOOKUP(B451,'[1]2022 Team'!$B$2:$G$33,3,FALSE))</f>
        <v>0</v>
      </c>
    </row>
    <row r="452" spans="1:9" x14ac:dyDescent="0.25">
      <c r="A452" s="5" t="s">
        <v>784</v>
      </c>
      <c r="B452" s="5" t="s">
        <v>24</v>
      </c>
      <c r="C452" s="5" t="s">
        <v>153</v>
      </c>
      <c r="D452" s="5">
        <v>0</v>
      </c>
      <c r="E452" s="5">
        <v>0</v>
      </c>
      <c r="F452" s="5">
        <v>0</v>
      </c>
      <c r="G452" s="6" t="e">
        <f t="shared" si="7"/>
        <v>#DIV/0!</v>
      </c>
      <c r="H452" s="5"/>
      <c r="I452" s="6">
        <f>D452/(VLOOKUP(B452,'[1]2022 Team'!$B$2:$G$33,3,FALSE))</f>
        <v>0</v>
      </c>
    </row>
    <row r="453" spans="1:9" x14ac:dyDescent="0.25">
      <c r="A453" s="5" t="s">
        <v>871</v>
      </c>
      <c r="B453" s="5" t="s">
        <v>10</v>
      </c>
      <c r="C453" s="5" t="s">
        <v>613</v>
      </c>
      <c r="D453" s="5">
        <v>0</v>
      </c>
      <c r="E453" s="5">
        <v>0</v>
      </c>
      <c r="F453" s="5">
        <v>0</v>
      </c>
      <c r="G453" s="6" t="e">
        <f t="shared" si="7"/>
        <v>#DIV/0!</v>
      </c>
      <c r="H453" s="5"/>
      <c r="I453" s="6">
        <f>D453/(VLOOKUP(B453,'[1]2022 Team'!$B$2:$G$33,3,FALSE))</f>
        <v>0</v>
      </c>
    </row>
    <row r="454" spans="1:9" x14ac:dyDescent="0.25">
      <c r="A454" s="5" t="s">
        <v>2480</v>
      </c>
      <c r="B454" s="5" t="s">
        <v>22</v>
      </c>
      <c r="C454" s="5" t="s">
        <v>153</v>
      </c>
      <c r="D454" s="5">
        <v>0</v>
      </c>
      <c r="E454" s="5">
        <v>0</v>
      </c>
      <c r="F454" s="5">
        <v>0</v>
      </c>
      <c r="G454" s="6" t="e">
        <f t="shared" si="7"/>
        <v>#DIV/0!</v>
      </c>
      <c r="H454" s="5"/>
      <c r="I454" s="6">
        <f>D454/(VLOOKUP(B454,'[1]2022 Team'!$B$2:$G$33,3,FALSE))</f>
        <v>0</v>
      </c>
    </row>
    <row r="455" spans="1:9" x14ac:dyDescent="0.25">
      <c r="A455" s="5" t="s">
        <v>2186</v>
      </c>
      <c r="B455" s="5" t="s">
        <v>38</v>
      </c>
      <c r="C455" s="5" t="s">
        <v>153</v>
      </c>
      <c r="D455" s="5">
        <v>0</v>
      </c>
      <c r="E455" s="5">
        <v>0</v>
      </c>
      <c r="F455" s="5">
        <v>0</v>
      </c>
      <c r="G455" s="6" t="e">
        <f t="shared" si="7"/>
        <v>#DIV/0!</v>
      </c>
      <c r="H455" s="5"/>
      <c r="I455" s="6">
        <f>D455/(VLOOKUP(B455,'[1]2022 Team'!$B$2:$G$33,3,FALSE))</f>
        <v>0</v>
      </c>
    </row>
    <row r="456" spans="1:9" x14ac:dyDescent="0.25">
      <c r="A456" s="5" t="s">
        <v>1000</v>
      </c>
      <c r="B456" s="5" t="s">
        <v>60</v>
      </c>
      <c r="C456" s="5" t="s">
        <v>153</v>
      </c>
      <c r="D456" s="5">
        <v>0</v>
      </c>
      <c r="E456" s="5">
        <v>0</v>
      </c>
      <c r="F456" s="5">
        <v>0</v>
      </c>
      <c r="G456" s="6" t="e">
        <f t="shared" si="7"/>
        <v>#DIV/0!</v>
      </c>
      <c r="H456" s="5"/>
      <c r="I456" s="6">
        <f>D456/(VLOOKUP(B456,'[1]2022 Team'!$B$2:$G$33,3,FALSE))</f>
        <v>0</v>
      </c>
    </row>
    <row r="457" spans="1:9" x14ac:dyDescent="0.25">
      <c r="A457" s="5" t="s">
        <v>2481</v>
      </c>
      <c r="B457" s="5" t="s">
        <v>66</v>
      </c>
      <c r="C457" s="5" t="s">
        <v>163</v>
      </c>
      <c r="D457" s="5">
        <v>0</v>
      </c>
      <c r="E457" s="5">
        <v>0</v>
      </c>
      <c r="F457" s="5">
        <v>0</v>
      </c>
      <c r="G457" s="6" t="e">
        <f t="shared" si="7"/>
        <v>#DIV/0!</v>
      </c>
      <c r="H457" s="5"/>
      <c r="I457" s="6">
        <f>D457/(VLOOKUP(B457,'[1]2022 Team'!$B$2:$G$33,3,FALSE))</f>
        <v>0</v>
      </c>
    </row>
    <row r="458" spans="1:9" x14ac:dyDescent="0.25">
      <c r="A458" s="5" t="s">
        <v>1798</v>
      </c>
      <c r="B458" s="5" t="s">
        <v>24</v>
      </c>
      <c r="C458" s="5" t="s">
        <v>163</v>
      </c>
      <c r="D458" s="5">
        <v>0</v>
      </c>
      <c r="E458" s="5">
        <v>0</v>
      </c>
      <c r="F458" s="5">
        <v>0</v>
      </c>
      <c r="G458" s="6" t="e">
        <f t="shared" si="7"/>
        <v>#DIV/0!</v>
      </c>
      <c r="H458" s="5"/>
      <c r="I458" s="6">
        <f>D458/(VLOOKUP(B458,'[1]2022 Team'!$B$2:$G$33,3,FALSE))</f>
        <v>0</v>
      </c>
    </row>
    <row r="459" spans="1:9" x14ac:dyDescent="0.25">
      <c r="A459" s="5" t="s">
        <v>2482</v>
      </c>
      <c r="B459" s="5" t="s">
        <v>14</v>
      </c>
      <c r="C459" s="5" t="s">
        <v>163</v>
      </c>
      <c r="D459" s="5">
        <v>0</v>
      </c>
      <c r="E459" s="5">
        <v>0</v>
      </c>
      <c r="F459" s="5">
        <v>0</v>
      </c>
      <c r="G459" s="6" t="e">
        <f t="shared" si="7"/>
        <v>#DIV/0!</v>
      </c>
      <c r="H459" s="5"/>
      <c r="I459" s="6">
        <f>D459/(VLOOKUP(B459,'[1]2022 Team'!$B$2:$G$33,3,FALSE))</f>
        <v>0</v>
      </c>
    </row>
    <row r="460" spans="1:9" x14ac:dyDescent="0.25">
      <c r="A460" s="5" t="s">
        <v>2483</v>
      </c>
      <c r="B460" s="5" t="s">
        <v>60</v>
      </c>
      <c r="C460" s="5" t="s">
        <v>153</v>
      </c>
      <c r="D460" s="5">
        <v>0</v>
      </c>
      <c r="E460" s="5">
        <v>0</v>
      </c>
      <c r="F460" s="5">
        <v>0</v>
      </c>
      <c r="G460" s="6" t="e">
        <f t="shared" si="7"/>
        <v>#DIV/0!</v>
      </c>
      <c r="H460" s="5"/>
      <c r="I460" s="6">
        <f>D460/(VLOOKUP(B460,'[1]2022 Team'!$B$2:$G$33,3,FALSE))</f>
        <v>0</v>
      </c>
    </row>
    <row r="461" spans="1:9" x14ac:dyDescent="0.25">
      <c r="A461" s="5" t="s">
        <v>2484</v>
      </c>
      <c r="B461" s="5" t="s">
        <v>44</v>
      </c>
      <c r="C461" s="5" t="s">
        <v>186</v>
      </c>
      <c r="D461" s="5">
        <v>0</v>
      </c>
      <c r="E461" s="5">
        <v>0</v>
      </c>
      <c r="F461" s="5">
        <v>0</v>
      </c>
      <c r="G461" s="6" t="e">
        <f t="shared" si="7"/>
        <v>#DIV/0!</v>
      </c>
      <c r="H461" s="5"/>
      <c r="I461" s="6">
        <f>D461/(VLOOKUP(B461,'[1]2022 Team'!$B$2:$G$33,3,FALSE))</f>
        <v>0</v>
      </c>
    </row>
    <row r="462" spans="1:9" x14ac:dyDescent="0.25">
      <c r="A462" s="5" t="s">
        <v>844</v>
      </c>
      <c r="B462" s="5" t="s">
        <v>46</v>
      </c>
      <c r="C462" s="5" t="s">
        <v>153</v>
      </c>
      <c r="D462" s="5">
        <v>0</v>
      </c>
      <c r="E462" s="5">
        <v>0</v>
      </c>
      <c r="F462" s="5">
        <v>0</v>
      </c>
      <c r="G462" s="6" t="e">
        <f t="shared" si="7"/>
        <v>#DIV/0!</v>
      </c>
      <c r="H462" s="5"/>
      <c r="I462" s="6">
        <f>D462/(VLOOKUP(B462,'[1]2022 Team'!$B$2:$G$33,3,FALSE))</f>
        <v>0</v>
      </c>
    </row>
    <row r="463" spans="1:9" x14ac:dyDescent="0.25">
      <c r="A463" s="5" t="s">
        <v>702</v>
      </c>
      <c r="B463" s="5" t="s">
        <v>14</v>
      </c>
      <c r="C463" s="5" t="s">
        <v>613</v>
      </c>
      <c r="D463" s="5">
        <v>0</v>
      </c>
      <c r="E463" s="5">
        <v>0</v>
      </c>
      <c r="F463" s="5">
        <v>0</v>
      </c>
      <c r="G463" s="6" t="e">
        <f t="shared" si="7"/>
        <v>#DIV/0!</v>
      </c>
      <c r="H463" s="5"/>
      <c r="I463" s="6">
        <f>D463/(VLOOKUP(B463,'[1]2022 Team'!$B$2:$G$33,3,FALSE))</f>
        <v>0</v>
      </c>
    </row>
    <row r="464" spans="1:9" x14ac:dyDescent="0.25">
      <c r="A464" s="5" t="s">
        <v>994</v>
      </c>
      <c r="B464" s="5" t="s">
        <v>58</v>
      </c>
      <c r="C464" s="5" t="s">
        <v>153</v>
      </c>
      <c r="D464" s="5">
        <v>0</v>
      </c>
      <c r="E464" s="5">
        <v>0</v>
      </c>
      <c r="F464" s="5">
        <v>0</v>
      </c>
      <c r="G464" s="6" t="e">
        <f t="shared" si="7"/>
        <v>#DIV/0!</v>
      </c>
      <c r="H464" s="5"/>
      <c r="I464" s="6">
        <f>D464/(VLOOKUP(B464,'[1]2022 Team'!$B$2:$G$33,3,FALSE))</f>
        <v>0</v>
      </c>
    </row>
    <row r="465" spans="1:9" x14ac:dyDescent="0.25">
      <c r="A465" s="5" t="s">
        <v>2485</v>
      </c>
      <c r="B465" s="5" t="s">
        <v>54</v>
      </c>
      <c r="C465" s="5" t="s">
        <v>163</v>
      </c>
      <c r="D465" s="5">
        <v>0</v>
      </c>
      <c r="E465" s="5">
        <v>0</v>
      </c>
      <c r="F465" s="5">
        <v>0</v>
      </c>
      <c r="G465" s="6" t="e">
        <f t="shared" si="7"/>
        <v>#DIV/0!</v>
      </c>
      <c r="H465" s="5"/>
      <c r="I465" s="6">
        <f>D465/(VLOOKUP(B465,'[1]2022 Team'!$B$2:$G$33,3,FALSE))</f>
        <v>0</v>
      </c>
    </row>
    <row r="466" spans="1:9" x14ac:dyDescent="0.25">
      <c r="A466" s="5" t="s">
        <v>2486</v>
      </c>
      <c r="B466" s="5" t="s">
        <v>68</v>
      </c>
      <c r="C466" s="5" t="s">
        <v>163</v>
      </c>
      <c r="D466" s="5">
        <v>0</v>
      </c>
      <c r="E466" s="5">
        <v>0</v>
      </c>
      <c r="F466" s="5">
        <v>0</v>
      </c>
      <c r="G466" s="6" t="e">
        <f t="shared" si="7"/>
        <v>#DIV/0!</v>
      </c>
      <c r="H466" s="5"/>
      <c r="I466" s="6">
        <f>D466/(VLOOKUP(B466,'[1]2022 Team'!$B$2:$G$33,3,FALSE))</f>
        <v>0</v>
      </c>
    </row>
    <row r="467" spans="1:9" x14ac:dyDescent="0.25">
      <c r="A467" s="5" t="s">
        <v>2487</v>
      </c>
      <c r="B467" s="5" t="s">
        <v>8</v>
      </c>
      <c r="C467" s="5" t="s">
        <v>163</v>
      </c>
      <c r="D467" s="5">
        <v>0</v>
      </c>
      <c r="E467" s="5">
        <v>0</v>
      </c>
      <c r="F467" s="5">
        <v>0</v>
      </c>
      <c r="G467" s="6" t="e">
        <f t="shared" si="7"/>
        <v>#DIV/0!</v>
      </c>
      <c r="H467" s="5"/>
      <c r="I467" s="6">
        <f>D467/(VLOOKUP(B467,'[1]2022 Team'!$B$2:$G$33,3,FALSE))</f>
        <v>0</v>
      </c>
    </row>
    <row r="468" spans="1:9" x14ac:dyDescent="0.25">
      <c r="A468" s="5" t="s">
        <v>2488</v>
      </c>
      <c r="B468" s="5" t="s">
        <v>18</v>
      </c>
      <c r="C468" s="5" t="s">
        <v>153</v>
      </c>
      <c r="D468" s="5">
        <v>0</v>
      </c>
      <c r="E468" s="5">
        <v>0</v>
      </c>
      <c r="F468" s="5">
        <v>0</v>
      </c>
      <c r="G468" s="6" t="e">
        <f t="shared" si="7"/>
        <v>#DIV/0!</v>
      </c>
      <c r="H468" s="5"/>
      <c r="I468" s="6">
        <f>D468/(VLOOKUP(B468,'[1]2022 Team'!$B$2:$G$33,3,FALSE))</f>
        <v>0</v>
      </c>
    </row>
    <row r="469" spans="1:9" x14ac:dyDescent="0.25">
      <c r="A469" s="5" t="s">
        <v>2489</v>
      </c>
      <c r="B469" s="5" t="s">
        <v>8</v>
      </c>
      <c r="C469" s="5" t="s">
        <v>186</v>
      </c>
      <c r="D469" s="5">
        <v>0</v>
      </c>
      <c r="E469" s="5">
        <v>0</v>
      </c>
      <c r="F469" s="5">
        <v>0</v>
      </c>
      <c r="G469" s="6" t="e">
        <f t="shared" si="7"/>
        <v>#DIV/0!</v>
      </c>
      <c r="H469" s="5"/>
      <c r="I469" s="6">
        <f>D469/(VLOOKUP(B469,'[1]2022 Team'!$B$2:$G$33,3,FALSE))</f>
        <v>0</v>
      </c>
    </row>
    <row r="470" spans="1:9" x14ac:dyDescent="0.25">
      <c r="A470" s="5" t="s">
        <v>1801</v>
      </c>
      <c r="B470" s="5" t="s">
        <v>42</v>
      </c>
      <c r="C470" s="5" t="s">
        <v>163</v>
      </c>
      <c r="D470" s="5">
        <v>0</v>
      </c>
      <c r="E470" s="5">
        <v>0</v>
      </c>
      <c r="F470" s="5">
        <v>0</v>
      </c>
      <c r="G470" s="6" t="e">
        <f t="shared" si="7"/>
        <v>#DIV/0!</v>
      </c>
      <c r="H470" s="5"/>
      <c r="I470" s="6">
        <f>D470/(VLOOKUP(B470,'[1]2022 Team'!$B$2:$G$33,3,FALSE))</f>
        <v>0</v>
      </c>
    </row>
    <row r="471" spans="1:9" x14ac:dyDescent="0.25">
      <c r="A471" s="5" t="s">
        <v>2490</v>
      </c>
      <c r="B471" s="5" t="s">
        <v>32</v>
      </c>
      <c r="C471" s="5" t="s">
        <v>153</v>
      </c>
      <c r="D471" s="5">
        <v>0</v>
      </c>
      <c r="E471" s="5">
        <v>0</v>
      </c>
      <c r="F471" s="5">
        <v>0</v>
      </c>
      <c r="G471" s="6" t="e">
        <f t="shared" si="7"/>
        <v>#DIV/0!</v>
      </c>
      <c r="H471" s="5"/>
      <c r="I471" s="6">
        <f>D471/(VLOOKUP(B471,'[1]2022 Team'!$B$2:$G$33,3,FALSE))</f>
        <v>0</v>
      </c>
    </row>
    <row r="472" spans="1:9" x14ac:dyDescent="0.25">
      <c r="A472" s="5" t="s">
        <v>2491</v>
      </c>
      <c r="B472" s="5" t="s">
        <v>44</v>
      </c>
      <c r="C472" s="5" t="s">
        <v>163</v>
      </c>
      <c r="D472" s="5">
        <v>0</v>
      </c>
      <c r="E472" s="5">
        <v>0</v>
      </c>
      <c r="F472" s="5">
        <v>0</v>
      </c>
      <c r="G472" s="6" t="e">
        <f t="shared" si="7"/>
        <v>#DIV/0!</v>
      </c>
      <c r="H472" s="5"/>
      <c r="I472" s="6">
        <f>D472/(VLOOKUP(B472,'[1]2022 Team'!$B$2:$G$33,3,FALSE))</f>
        <v>0</v>
      </c>
    </row>
    <row r="473" spans="1:9" x14ac:dyDescent="0.25">
      <c r="A473" s="5" t="s">
        <v>2492</v>
      </c>
      <c r="B473" s="5" t="s">
        <v>18</v>
      </c>
      <c r="C473" s="5" t="s">
        <v>163</v>
      </c>
      <c r="D473" s="5">
        <v>0</v>
      </c>
      <c r="E473" s="5">
        <v>0</v>
      </c>
      <c r="F473" s="5">
        <v>0</v>
      </c>
      <c r="G473" s="6" t="e">
        <f t="shared" si="7"/>
        <v>#DIV/0!</v>
      </c>
      <c r="H473" s="5"/>
      <c r="I473" s="6">
        <f>D473/(VLOOKUP(B473,'[1]2022 Team'!$B$2:$G$33,3,FALSE))</f>
        <v>0</v>
      </c>
    </row>
    <row r="474" spans="1:9" x14ac:dyDescent="0.25">
      <c r="A474" s="5" t="s">
        <v>2493</v>
      </c>
      <c r="B474" s="5" t="s">
        <v>64</v>
      </c>
      <c r="C474" s="5" t="s">
        <v>163</v>
      </c>
      <c r="D474" s="5">
        <v>0</v>
      </c>
      <c r="E474" s="5">
        <v>0</v>
      </c>
      <c r="F474" s="5">
        <v>0</v>
      </c>
      <c r="G474" s="6" t="e">
        <f t="shared" si="7"/>
        <v>#DIV/0!</v>
      </c>
      <c r="H474" s="5"/>
      <c r="I474" s="6">
        <f>D474/(VLOOKUP(B474,'[1]2022 Team'!$B$2:$G$33,3,FALSE))</f>
        <v>0</v>
      </c>
    </row>
    <row r="475" spans="1:9" x14ac:dyDescent="0.25">
      <c r="A475" s="5" t="s">
        <v>1726</v>
      </c>
      <c r="B475" s="5" t="s">
        <v>52</v>
      </c>
      <c r="C475" s="5" t="s">
        <v>163</v>
      </c>
      <c r="D475" s="5">
        <v>0</v>
      </c>
      <c r="E475" s="5">
        <v>0</v>
      </c>
      <c r="F475" s="5">
        <v>0</v>
      </c>
      <c r="G475" s="6" t="e">
        <f t="shared" si="7"/>
        <v>#DIV/0!</v>
      </c>
      <c r="H475" s="5"/>
      <c r="I475" s="6">
        <f>D475/(VLOOKUP(B475,'[1]2022 Team'!$B$2:$G$33,3,FALSE))</f>
        <v>0</v>
      </c>
    </row>
    <row r="476" spans="1:9" x14ac:dyDescent="0.25">
      <c r="A476" s="5" t="s">
        <v>966</v>
      </c>
      <c r="B476" s="5" t="s">
        <v>50</v>
      </c>
      <c r="C476" s="5" t="s">
        <v>153</v>
      </c>
      <c r="D476" s="5">
        <v>0</v>
      </c>
      <c r="E476" s="5">
        <v>0</v>
      </c>
      <c r="F476" s="5">
        <v>0</v>
      </c>
      <c r="G476" s="6" t="e">
        <f t="shared" si="7"/>
        <v>#DIV/0!</v>
      </c>
      <c r="H476" s="5"/>
      <c r="I476" s="6">
        <f>D476/(VLOOKUP(B476,'[1]2022 Team'!$B$2:$G$33,3,FALSE))</f>
        <v>0</v>
      </c>
    </row>
    <row r="477" spans="1:9" x14ac:dyDescent="0.25">
      <c r="A477" s="5" t="s">
        <v>2494</v>
      </c>
      <c r="B477" s="5" t="s">
        <v>10</v>
      </c>
      <c r="C477" s="5" t="s">
        <v>153</v>
      </c>
      <c r="D477" s="5">
        <v>0</v>
      </c>
      <c r="E477" s="5">
        <v>0</v>
      </c>
      <c r="F477" s="5">
        <v>0</v>
      </c>
      <c r="G477" s="6" t="e">
        <f t="shared" si="7"/>
        <v>#DIV/0!</v>
      </c>
      <c r="H477" s="5"/>
      <c r="I477" s="6">
        <f>D477/(VLOOKUP(B477,'[1]2022 Team'!$B$2:$G$33,3,FALSE))</f>
        <v>0</v>
      </c>
    </row>
    <row r="478" spans="1:9" x14ac:dyDescent="0.25">
      <c r="A478" s="5" t="s">
        <v>927</v>
      </c>
      <c r="B478" s="5" t="s">
        <v>44</v>
      </c>
      <c r="C478" s="5" t="s">
        <v>153</v>
      </c>
      <c r="D478" s="5">
        <v>0</v>
      </c>
      <c r="E478" s="5">
        <v>0</v>
      </c>
      <c r="F478" s="5">
        <v>0</v>
      </c>
      <c r="G478" s="6" t="e">
        <f t="shared" si="7"/>
        <v>#DIV/0!</v>
      </c>
      <c r="H478" s="5"/>
      <c r="I478" s="6">
        <f>D478/(VLOOKUP(B478,'[1]2022 Team'!$B$2:$G$33,3,FALSE))</f>
        <v>0</v>
      </c>
    </row>
    <row r="479" spans="1:9" x14ac:dyDescent="0.25">
      <c r="A479" s="5" t="s">
        <v>846</v>
      </c>
      <c r="B479" s="5" t="s">
        <v>20</v>
      </c>
      <c r="C479" s="5" t="s">
        <v>163</v>
      </c>
      <c r="D479" s="5">
        <v>0</v>
      </c>
      <c r="E479" s="5">
        <v>0</v>
      </c>
      <c r="F479" s="5">
        <v>0</v>
      </c>
      <c r="G479" s="6" t="e">
        <f t="shared" si="7"/>
        <v>#DIV/0!</v>
      </c>
      <c r="H479" s="5"/>
      <c r="I479" s="6">
        <f>D479/(VLOOKUP(B479,'[1]2022 Team'!$B$2:$G$33,3,FALSE))</f>
        <v>0</v>
      </c>
    </row>
    <row r="480" spans="1:9" x14ac:dyDescent="0.25">
      <c r="A480" s="5" t="s">
        <v>2495</v>
      </c>
      <c r="B480" s="5" t="s">
        <v>24</v>
      </c>
      <c r="C480" s="5" t="s">
        <v>163</v>
      </c>
      <c r="D480" s="5">
        <v>0</v>
      </c>
      <c r="E480" s="5">
        <v>0</v>
      </c>
      <c r="F480" s="5">
        <v>0</v>
      </c>
      <c r="G480" s="6" t="e">
        <f t="shared" si="7"/>
        <v>#DIV/0!</v>
      </c>
      <c r="H480" s="5"/>
      <c r="I480" s="6">
        <f>D480/(VLOOKUP(B480,'[1]2022 Team'!$B$2:$G$33,3,FALSE))</f>
        <v>0</v>
      </c>
    </row>
    <row r="481" spans="1:9" x14ac:dyDescent="0.25">
      <c r="A481" s="5" t="s">
        <v>737</v>
      </c>
      <c r="B481" s="5" t="s">
        <v>28</v>
      </c>
      <c r="C481" s="5" t="s">
        <v>153</v>
      </c>
      <c r="D481" s="5">
        <v>0</v>
      </c>
      <c r="E481" s="5">
        <v>0</v>
      </c>
      <c r="F481" s="5">
        <v>0</v>
      </c>
      <c r="G481" s="6" t="e">
        <f t="shared" si="7"/>
        <v>#DIV/0!</v>
      </c>
      <c r="H481" s="5"/>
      <c r="I481" s="6">
        <f>D481/(VLOOKUP(B481,'[1]2022 Team'!$B$2:$G$33,3,FALSE))</f>
        <v>0</v>
      </c>
    </row>
    <row r="482" spans="1:9" x14ac:dyDescent="0.25">
      <c r="A482" s="5" t="s">
        <v>737</v>
      </c>
      <c r="B482" s="5" t="s">
        <v>48</v>
      </c>
      <c r="C482" s="5" t="s">
        <v>153</v>
      </c>
      <c r="D482" s="5">
        <v>0</v>
      </c>
      <c r="E482" s="5">
        <v>0</v>
      </c>
      <c r="F482" s="5">
        <v>0</v>
      </c>
      <c r="G482" s="6" t="e">
        <f t="shared" si="7"/>
        <v>#DIV/0!</v>
      </c>
      <c r="H482" s="5"/>
      <c r="I482" s="6">
        <f>D482/(VLOOKUP(B482,'[1]2022 Team'!$B$2:$G$33,3,FALSE))</f>
        <v>0</v>
      </c>
    </row>
    <row r="483" spans="1:9" x14ac:dyDescent="0.25">
      <c r="A483" s="5" t="s">
        <v>802</v>
      </c>
      <c r="B483" s="5" t="s">
        <v>10</v>
      </c>
      <c r="C483" s="5" t="s">
        <v>163</v>
      </c>
      <c r="D483" s="5">
        <v>0</v>
      </c>
      <c r="E483" s="5">
        <v>0</v>
      </c>
      <c r="F483" s="5">
        <v>0</v>
      </c>
      <c r="G483" s="6" t="e">
        <f t="shared" si="7"/>
        <v>#DIV/0!</v>
      </c>
      <c r="H483" s="5"/>
      <c r="I483" s="6">
        <f>D483/(VLOOKUP(B483,'[1]2022 Team'!$B$2:$G$33,3,FALSE))</f>
        <v>0</v>
      </c>
    </row>
    <row r="484" spans="1:9" x14ac:dyDescent="0.25">
      <c r="A484" s="5" t="s">
        <v>971</v>
      </c>
      <c r="B484" s="5" t="s">
        <v>14</v>
      </c>
      <c r="C484" s="5" t="s">
        <v>163</v>
      </c>
      <c r="D484" s="5">
        <v>0</v>
      </c>
      <c r="E484" s="5">
        <v>0</v>
      </c>
      <c r="F484" s="5">
        <v>0</v>
      </c>
      <c r="G484" s="6" t="e">
        <f t="shared" si="7"/>
        <v>#DIV/0!</v>
      </c>
      <c r="H484" s="5"/>
      <c r="I484" s="6">
        <f>D484/(VLOOKUP(B484,'[1]2022 Team'!$B$2:$G$33,3,FALSE))</f>
        <v>0</v>
      </c>
    </row>
    <row r="485" spans="1:9" x14ac:dyDescent="0.25">
      <c r="A485" s="5" t="s">
        <v>971</v>
      </c>
      <c r="B485" s="5" t="s">
        <v>54</v>
      </c>
      <c r="C485" s="5" t="s">
        <v>163</v>
      </c>
      <c r="D485" s="5">
        <v>0</v>
      </c>
      <c r="E485" s="5">
        <v>0</v>
      </c>
      <c r="F485" s="5">
        <v>0</v>
      </c>
      <c r="G485" s="6" t="e">
        <f t="shared" si="7"/>
        <v>#DIV/0!</v>
      </c>
      <c r="H485" s="5"/>
      <c r="I485" s="6">
        <f>D485/(VLOOKUP(B485,'[1]2022 Team'!$B$2:$G$33,3,FALSE))</f>
        <v>0</v>
      </c>
    </row>
    <row r="486" spans="1:9" x14ac:dyDescent="0.25">
      <c r="A486" s="5" t="s">
        <v>2496</v>
      </c>
      <c r="B486" s="5" t="s">
        <v>68</v>
      </c>
      <c r="C486" s="5" t="s">
        <v>163</v>
      </c>
      <c r="D486" s="5">
        <v>0</v>
      </c>
      <c r="E486" s="5">
        <v>0</v>
      </c>
      <c r="F486" s="5">
        <v>0</v>
      </c>
      <c r="G486" s="6" t="e">
        <f t="shared" si="7"/>
        <v>#DIV/0!</v>
      </c>
      <c r="H486" s="5"/>
      <c r="I486" s="6">
        <f>D486/(VLOOKUP(B486,'[1]2022 Team'!$B$2:$G$33,3,FALSE))</f>
        <v>0</v>
      </c>
    </row>
    <row r="487" spans="1:9" x14ac:dyDescent="0.25">
      <c r="A487" s="5" t="s">
        <v>967</v>
      </c>
      <c r="B487" s="5" t="s">
        <v>68</v>
      </c>
      <c r="C487" s="5" t="s">
        <v>153</v>
      </c>
      <c r="D487" s="5">
        <v>0</v>
      </c>
      <c r="E487" s="5">
        <v>0</v>
      </c>
      <c r="F487" s="5">
        <v>0</v>
      </c>
      <c r="G487" s="6" t="e">
        <f t="shared" si="7"/>
        <v>#DIV/0!</v>
      </c>
      <c r="H487" s="5"/>
      <c r="I487" s="6">
        <f>D487/(VLOOKUP(B487,'[1]2022 Team'!$B$2:$G$33,3,FALSE))</f>
        <v>0</v>
      </c>
    </row>
    <row r="488" spans="1:9" x14ac:dyDescent="0.25">
      <c r="A488" s="5" t="s">
        <v>1804</v>
      </c>
      <c r="B488" s="5" t="s">
        <v>44</v>
      </c>
      <c r="C488" s="5" t="s">
        <v>153</v>
      </c>
      <c r="D488" s="5">
        <v>0</v>
      </c>
      <c r="E488" s="5">
        <v>0</v>
      </c>
      <c r="F488" s="5">
        <v>0</v>
      </c>
      <c r="G488" s="6" t="e">
        <f t="shared" si="7"/>
        <v>#DIV/0!</v>
      </c>
      <c r="H488" s="5"/>
      <c r="I488" s="6">
        <f>D488/(VLOOKUP(B488,'[1]2022 Team'!$B$2:$G$33,3,FALSE))</f>
        <v>0</v>
      </c>
    </row>
    <row r="489" spans="1:9" x14ac:dyDescent="0.25">
      <c r="A489" s="5" t="s">
        <v>813</v>
      </c>
      <c r="B489" s="5" t="s">
        <v>8</v>
      </c>
      <c r="C489" s="5" t="s">
        <v>163</v>
      </c>
      <c r="D489" s="5">
        <v>0</v>
      </c>
      <c r="E489" s="5">
        <v>0</v>
      </c>
      <c r="F489" s="5">
        <v>0</v>
      </c>
      <c r="G489" s="6" t="e">
        <f t="shared" si="7"/>
        <v>#DIV/0!</v>
      </c>
      <c r="H489" s="5"/>
      <c r="I489" s="6">
        <f>D489/(VLOOKUP(B489,'[1]2022 Team'!$B$2:$G$33,3,FALSE))</f>
        <v>0</v>
      </c>
    </row>
    <row r="490" spans="1:9" x14ac:dyDescent="0.25">
      <c r="A490" s="5" t="s">
        <v>1805</v>
      </c>
      <c r="B490" s="5" t="s">
        <v>40</v>
      </c>
      <c r="C490" s="5" t="s">
        <v>163</v>
      </c>
      <c r="D490" s="5">
        <v>0</v>
      </c>
      <c r="E490" s="5">
        <v>0</v>
      </c>
      <c r="F490" s="5">
        <v>0</v>
      </c>
      <c r="G490" s="6" t="e">
        <f t="shared" si="7"/>
        <v>#DIV/0!</v>
      </c>
      <c r="H490" s="5"/>
      <c r="I490" s="6">
        <f>D490/(VLOOKUP(B490,'[1]2022 Team'!$B$2:$G$33,3,FALSE))</f>
        <v>0</v>
      </c>
    </row>
    <row r="491" spans="1:9" x14ac:dyDescent="0.25">
      <c r="A491" s="5" t="s">
        <v>2497</v>
      </c>
      <c r="B491" s="5" t="s">
        <v>24</v>
      </c>
      <c r="C491" s="5" t="s">
        <v>163</v>
      </c>
      <c r="D491" s="5">
        <v>0</v>
      </c>
      <c r="E491" s="5">
        <v>0</v>
      </c>
      <c r="F491" s="5">
        <v>0</v>
      </c>
      <c r="G491" s="6" t="e">
        <f t="shared" si="7"/>
        <v>#DIV/0!</v>
      </c>
      <c r="H491" s="5"/>
      <c r="I491" s="6">
        <f>D491/(VLOOKUP(B491,'[1]2022 Team'!$B$2:$G$33,3,FALSE))</f>
        <v>0</v>
      </c>
    </row>
    <row r="492" spans="1:9" x14ac:dyDescent="0.25">
      <c r="A492" s="5" t="s">
        <v>2498</v>
      </c>
      <c r="B492" s="5" t="s">
        <v>32</v>
      </c>
      <c r="C492" s="5" t="s">
        <v>153</v>
      </c>
      <c r="D492" s="5">
        <v>0</v>
      </c>
      <c r="E492" s="5">
        <v>0</v>
      </c>
      <c r="F492" s="5">
        <v>0</v>
      </c>
      <c r="G492" s="6" t="e">
        <f t="shared" si="7"/>
        <v>#DIV/0!</v>
      </c>
      <c r="H492" s="5"/>
      <c r="I492" s="6">
        <f>D492/(VLOOKUP(B492,'[1]2022 Team'!$B$2:$G$33,3,FALSE))</f>
        <v>0</v>
      </c>
    </row>
    <row r="493" spans="1:9" x14ac:dyDescent="0.25">
      <c r="A493" s="5" t="s">
        <v>847</v>
      </c>
      <c r="B493" s="5" t="s">
        <v>54</v>
      </c>
      <c r="C493" s="5" t="s">
        <v>153</v>
      </c>
      <c r="D493" s="5">
        <v>0</v>
      </c>
      <c r="E493" s="5">
        <v>0</v>
      </c>
      <c r="F493" s="5">
        <v>0</v>
      </c>
      <c r="G493" s="6" t="e">
        <f t="shared" ref="G493:G556" si="8">F493/D493</f>
        <v>#DIV/0!</v>
      </c>
      <c r="H493" s="5"/>
      <c r="I493" s="6">
        <f>D493/(VLOOKUP(B493,'[1]2022 Team'!$B$2:$G$33,3,FALSE))</f>
        <v>0</v>
      </c>
    </row>
    <row r="494" spans="1:9" x14ac:dyDescent="0.25">
      <c r="A494" s="5" t="s">
        <v>867</v>
      </c>
      <c r="B494" s="5" t="s">
        <v>50</v>
      </c>
      <c r="C494" s="5" t="s">
        <v>163</v>
      </c>
      <c r="D494" s="5">
        <v>0</v>
      </c>
      <c r="E494" s="5">
        <v>0</v>
      </c>
      <c r="F494" s="5">
        <v>0</v>
      </c>
      <c r="G494" s="6" t="e">
        <f t="shared" si="8"/>
        <v>#DIV/0!</v>
      </c>
      <c r="H494" s="5"/>
      <c r="I494" s="6">
        <f>D494/(VLOOKUP(B494,'[1]2022 Team'!$B$2:$G$33,3,FALSE))</f>
        <v>0</v>
      </c>
    </row>
    <row r="495" spans="1:9" x14ac:dyDescent="0.25">
      <c r="A495" s="5" t="s">
        <v>1806</v>
      </c>
      <c r="B495" s="5" t="s">
        <v>20</v>
      </c>
      <c r="C495" s="5" t="s">
        <v>153</v>
      </c>
      <c r="D495" s="5">
        <v>0</v>
      </c>
      <c r="E495" s="5">
        <v>0</v>
      </c>
      <c r="F495" s="5">
        <v>0</v>
      </c>
      <c r="G495" s="6" t="e">
        <f t="shared" si="8"/>
        <v>#DIV/0!</v>
      </c>
      <c r="H495" s="5"/>
      <c r="I495" s="6">
        <f>D495/(VLOOKUP(B495,'[1]2022 Team'!$B$2:$G$33,3,FALSE))</f>
        <v>0</v>
      </c>
    </row>
    <row r="496" spans="1:9" x14ac:dyDescent="0.25">
      <c r="A496" s="5" t="s">
        <v>2499</v>
      </c>
      <c r="B496" s="5" t="s">
        <v>12</v>
      </c>
      <c r="C496" s="5" t="s">
        <v>163</v>
      </c>
      <c r="D496" s="5">
        <v>0</v>
      </c>
      <c r="E496" s="5">
        <v>0</v>
      </c>
      <c r="F496" s="5">
        <v>0</v>
      </c>
      <c r="G496" s="6" t="e">
        <f t="shared" si="8"/>
        <v>#DIV/0!</v>
      </c>
      <c r="H496" s="5"/>
      <c r="I496" s="6">
        <f>D496/(VLOOKUP(B496,'[1]2022 Team'!$B$2:$G$33,3,FALSE))</f>
        <v>0</v>
      </c>
    </row>
    <row r="497" spans="1:9" x14ac:dyDescent="0.25">
      <c r="A497" s="5" t="s">
        <v>1031</v>
      </c>
      <c r="B497" s="5" t="s">
        <v>44</v>
      </c>
      <c r="C497" s="5" t="s">
        <v>163</v>
      </c>
      <c r="D497" s="5">
        <v>0</v>
      </c>
      <c r="E497" s="5">
        <v>0</v>
      </c>
      <c r="F497" s="5">
        <v>0</v>
      </c>
      <c r="G497" s="6" t="e">
        <f t="shared" si="8"/>
        <v>#DIV/0!</v>
      </c>
      <c r="H497" s="5"/>
      <c r="I497" s="6">
        <f>D497/(VLOOKUP(B497,'[1]2022 Team'!$B$2:$G$33,3,FALSE))</f>
        <v>0</v>
      </c>
    </row>
    <row r="498" spans="1:9" x14ac:dyDescent="0.25">
      <c r="A498" s="5" t="s">
        <v>1017</v>
      </c>
      <c r="B498" s="5" t="s">
        <v>62</v>
      </c>
      <c r="C498" s="5" t="s">
        <v>163</v>
      </c>
      <c r="D498" s="5">
        <v>0</v>
      </c>
      <c r="E498" s="5">
        <v>0</v>
      </c>
      <c r="F498" s="5">
        <v>0</v>
      </c>
      <c r="G498" s="6" t="e">
        <f t="shared" si="8"/>
        <v>#DIV/0!</v>
      </c>
      <c r="H498" s="5"/>
      <c r="I498" s="6">
        <f>D498/(VLOOKUP(B498,'[1]2022 Team'!$B$2:$G$33,3,FALSE))</f>
        <v>0</v>
      </c>
    </row>
    <row r="499" spans="1:9" x14ac:dyDescent="0.25">
      <c r="A499" s="5" t="s">
        <v>1810</v>
      </c>
      <c r="B499" s="5" t="s">
        <v>26</v>
      </c>
      <c r="C499" s="5" t="s">
        <v>163</v>
      </c>
      <c r="D499" s="5">
        <v>0</v>
      </c>
      <c r="E499" s="5">
        <v>0</v>
      </c>
      <c r="F499" s="5">
        <v>0</v>
      </c>
      <c r="G499" s="6" t="e">
        <f t="shared" si="8"/>
        <v>#DIV/0!</v>
      </c>
      <c r="H499" s="5"/>
      <c r="I499" s="6">
        <f>D499/(VLOOKUP(B499,'[1]2022 Team'!$B$2:$G$33,3,FALSE))</f>
        <v>0</v>
      </c>
    </row>
    <row r="500" spans="1:9" x14ac:dyDescent="0.25">
      <c r="A500" s="5" t="s">
        <v>2500</v>
      </c>
      <c r="B500" s="5" t="s">
        <v>64</v>
      </c>
      <c r="C500" s="5" t="s">
        <v>163</v>
      </c>
      <c r="D500" s="5">
        <v>0</v>
      </c>
      <c r="E500" s="5">
        <v>0</v>
      </c>
      <c r="F500" s="5">
        <v>0</v>
      </c>
      <c r="G500" s="6" t="e">
        <f t="shared" si="8"/>
        <v>#DIV/0!</v>
      </c>
      <c r="H500" s="5"/>
      <c r="I500" s="6">
        <f>D500/(VLOOKUP(B500,'[1]2022 Team'!$B$2:$G$33,3,FALSE))</f>
        <v>0</v>
      </c>
    </row>
    <row r="501" spans="1:9" x14ac:dyDescent="0.25">
      <c r="A501" s="5" t="s">
        <v>1813</v>
      </c>
      <c r="B501" s="5" t="s">
        <v>40</v>
      </c>
      <c r="C501" s="5" t="s">
        <v>613</v>
      </c>
      <c r="D501" s="5">
        <v>0</v>
      </c>
      <c r="E501" s="5">
        <v>0</v>
      </c>
      <c r="F501" s="5">
        <v>0</v>
      </c>
      <c r="G501" s="6" t="e">
        <f t="shared" si="8"/>
        <v>#DIV/0!</v>
      </c>
      <c r="H501" s="5"/>
      <c r="I501" s="6">
        <f>D501/(VLOOKUP(B501,'[1]2022 Team'!$B$2:$G$33,3,FALSE))</f>
        <v>0</v>
      </c>
    </row>
    <row r="502" spans="1:9" x14ac:dyDescent="0.25">
      <c r="A502" s="5" t="s">
        <v>956</v>
      </c>
      <c r="B502" s="5" t="s">
        <v>52</v>
      </c>
      <c r="C502" s="5" t="s">
        <v>153</v>
      </c>
      <c r="D502" s="5">
        <v>0</v>
      </c>
      <c r="E502" s="5">
        <v>0</v>
      </c>
      <c r="F502" s="5">
        <v>0</v>
      </c>
      <c r="G502" s="6" t="e">
        <f t="shared" si="8"/>
        <v>#DIV/0!</v>
      </c>
      <c r="H502" s="5"/>
      <c r="I502" s="6">
        <f>D502/(VLOOKUP(B502,'[1]2022 Team'!$B$2:$G$33,3,FALSE))</f>
        <v>0</v>
      </c>
    </row>
    <row r="503" spans="1:9" x14ac:dyDescent="0.25">
      <c r="A503" s="5" t="s">
        <v>2501</v>
      </c>
      <c r="B503" s="5" t="s">
        <v>54</v>
      </c>
      <c r="C503" s="5" t="s">
        <v>163</v>
      </c>
      <c r="D503" s="5">
        <v>0</v>
      </c>
      <c r="E503" s="5">
        <v>0</v>
      </c>
      <c r="F503" s="5">
        <v>0</v>
      </c>
      <c r="G503" s="6" t="e">
        <f t="shared" si="8"/>
        <v>#DIV/0!</v>
      </c>
      <c r="H503" s="5"/>
      <c r="I503" s="6">
        <f>D503/(VLOOKUP(B503,'[1]2022 Team'!$B$2:$G$33,3,FALSE))</f>
        <v>0</v>
      </c>
    </row>
    <row r="504" spans="1:9" x14ac:dyDescent="0.25">
      <c r="A504" s="5" t="s">
        <v>2502</v>
      </c>
      <c r="B504" s="5" t="s">
        <v>32</v>
      </c>
      <c r="C504" s="5" t="s">
        <v>163</v>
      </c>
      <c r="D504" s="5">
        <v>0</v>
      </c>
      <c r="E504" s="5">
        <v>0</v>
      </c>
      <c r="F504" s="5">
        <v>0</v>
      </c>
      <c r="G504" s="6" t="e">
        <f t="shared" si="8"/>
        <v>#DIV/0!</v>
      </c>
      <c r="H504" s="5"/>
      <c r="I504" s="6">
        <f>D504/(VLOOKUP(B504,'[1]2022 Team'!$B$2:$G$33,3,FALSE))</f>
        <v>0</v>
      </c>
    </row>
    <row r="505" spans="1:9" x14ac:dyDescent="0.25">
      <c r="A505" s="5" t="s">
        <v>2163</v>
      </c>
      <c r="B505" s="5" t="s">
        <v>50</v>
      </c>
      <c r="C505" s="5" t="s">
        <v>980</v>
      </c>
      <c r="D505" s="5">
        <v>0</v>
      </c>
      <c r="E505" s="5">
        <v>0</v>
      </c>
      <c r="F505" s="5">
        <v>0</v>
      </c>
      <c r="G505" s="6" t="e">
        <f t="shared" si="8"/>
        <v>#DIV/0!</v>
      </c>
      <c r="H505" s="5"/>
      <c r="I505" s="6">
        <f>D505/(VLOOKUP(B505,'[1]2022 Team'!$B$2:$G$33,3,FALSE))</f>
        <v>0</v>
      </c>
    </row>
    <row r="506" spans="1:9" x14ac:dyDescent="0.25">
      <c r="A506" s="5" t="s">
        <v>1815</v>
      </c>
      <c r="B506" s="5" t="s">
        <v>36</v>
      </c>
      <c r="C506" s="5" t="s">
        <v>163</v>
      </c>
      <c r="D506" s="5">
        <v>0</v>
      </c>
      <c r="E506" s="5">
        <v>0</v>
      </c>
      <c r="F506" s="5">
        <v>0</v>
      </c>
      <c r="G506" s="6" t="e">
        <f t="shared" si="8"/>
        <v>#DIV/0!</v>
      </c>
      <c r="H506" s="5"/>
      <c r="I506" s="6">
        <f>D506/(VLOOKUP(B506,'[1]2022 Team'!$B$2:$G$33,3,FALSE))</f>
        <v>0</v>
      </c>
    </row>
    <row r="507" spans="1:9" x14ac:dyDescent="0.25">
      <c r="A507" s="5" t="s">
        <v>900</v>
      </c>
      <c r="B507" s="5" t="s">
        <v>36</v>
      </c>
      <c r="C507" s="5" t="s">
        <v>163</v>
      </c>
      <c r="D507" s="5">
        <v>0</v>
      </c>
      <c r="E507" s="5">
        <v>0</v>
      </c>
      <c r="F507" s="5">
        <v>0</v>
      </c>
      <c r="G507" s="6" t="e">
        <f t="shared" si="8"/>
        <v>#DIV/0!</v>
      </c>
      <c r="H507" s="5"/>
      <c r="I507" s="6">
        <f>D507/(VLOOKUP(B507,'[1]2022 Team'!$B$2:$G$33,3,FALSE))</f>
        <v>0</v>
      </c>
    </row>
    <row r="508" spans="1:9" x14ac:dyDescent="0.25">
      <c r="A508" s="5" t="s">
        <v>1816</v>
      </c>
      <c r="B508" s="5" t="s">
        <v>32</v>
      </c>
      <c r="C508" s="5" t="s">
        <v>153</v>
      </c>
      <c r="D508" s="5">
        <v>0</v>
      </c>
      <c r="E508" s="5">
        <v>0</v>
      </c>
      <c r="F508" s="5">
        <v>0</v>
      </c>
      <c r="G508" s="6" t="e">
        <f t="shared" si="8"/>
        <v>#DIV/0!</v>
      </c>
      <c r="H508" s="5"/>
      <c r="I508" s="6">
        <f>D508/(VLOOKUP(B508,'[1]2022 Team'!$B$2:$G$33,3,FALSE))</f>
        <v>0</v>
      </c>
    </row>
    <row r="509" spans="1:9" x14ac:dyDescent="0.25">
      <c r="A509" s="5" t="s">
        <v>872</v>
      </c>
      <c r="B509" s="5" t="s">
        <v>28</v>
      </c>
      <c r="C509" s="5" t="s">
        <v>163</v>
      </c>
      <c r="D509" s="5">
        <v>0</v>
      </c>
      <c r="E509" s="5">
        <v>0</v>
      </c>
      <c r="F509" s="5">
        <v>0</v>
      </c>
      <c r="G509" s="6" t="e">
        <f t="shared" si="8"/>
        <v>#DIV/0!</v>
      </c>
      <c r="H509" s="5"/>
      <c r="I509" s="6">
        <f>D509/(VLOOKUP(B509,'[1]2022 Team'!$B$2:$G$33,3,FALSE))</f>
        <v>0</v>
      </c>
    </row>
    <row r="510" spans="1:9" x14ac:dyDescent="0.25">
      <c r="A510" s="5" t="s">
        <v>1817</v>
      </c>
      <c r="B510" s="5" t="s">
        <v>66</v>
      </c>
      <c r="C510" s="5" t="s">
        <v>153</v>
      </c>
      <c r="D510" s="5">
        <v>0</v>
      </c>
      <c r="E510" s="5">
        <v>0</v>
      </c>
      <c r="F510" s="5">
        <v>0</v>
      </c>
      <c r="G510" s="6" t="e">
        <f t="shared" si="8"/>
        <v>#DIV/0!</v>
      </c>
      <c r="H510" s="5"/>
      <c r="I510" s="6">
        <f>D510/(VLOOKUP(B510,'[1]2022 Team'!$B$2:$G$33,3,FALSE))</f>
        <v>0</v>
      </c>
    </row>
    <row r="511" spans="1:9" x14ac:dyDescent="0.25">
      <c r="A511" s="5" t="s">
        <v>1032</v>
      </c>
      <c r="B511" s="5" t="s">
        <v>68</v>
      </c>
      <c r="C511" s="5" t="s">
        <v>163</v>
      </c>
      <c r="D511" s="5">
        <v>0</v>
      </c>
      <c r="E511" s="5">
        <v>0</v>
      </c>
      <c r="F511" s="5">
        <v>0</v>
      </c>
      <c r="G511" s="6" t="e">
        <f t="shared" si="8"/>
        <v>#DIV/0!</v>
      </c>
      <c r="H511" s="5"/>
      <c r="I511" s="6">
        <f>D511/(VLOOKUP(B511,'[1]2022 Team'!$B$2:$G$33,3,FALSE))</f>
        <v>0</v>
      </c>
    </row>
    <row r="512" spans="1:9" x14ac:dyDescent="0.25">
      <c r="A512" s="5" t="s">
        <v>1818</v>
      </c>
      <c r="B512" s="5" t="s">
        <v>52</v>
      </c>
      <c r="C512" s="5" t="s">
        <v>163</v>
      </c>
      <c r="D512" s="5">
        <v>0</v>
      </c>
      <c r="E512" s="5">
        <v>0</v>
      </c>
      <c r="F512" s="5">
        <v>0</v>
      </c>
      <c r="G512" s="6" t="e">
        <f t="shared" si="8"/>
        <v>#DIV/0!</v>
      </c>
      <c r="H512" s="5"/>
      <c r="I512" s="6">
        <f>D512/(VLOOKUP(B512,'[1]2022 Team'!$B$2:$G$33,3,FALSE))</f>
        <v>0</v>
      </c>
    </row>
    <row r="513" spans="1:9" x14ac:dyDescent="0.25">
      <c r="A513" s="5" t="s">
        <v>770</v>
      </c>
      <c r="B513" s="5" t="s">
        <v>62</v>
      </c>
      <c r="C513" s="5" t="s">
        <v>153</v>
      </c>
      <c r="D513" s="5">
        <v>0</v>
      </c>
      <c r="E513" s="5">
        <v>0</v>
      </c>
      <c r="F513" s="5">
        <v>0</v>
      </c>
      <c r="G513" s="6" t="e">
        <f t="shared" si="8"/>
        <v>#DIV/0!</v>
      </c>
      <c r="H513" s="5"/>
      <c r="I513" s="6">
        <f>D513/(VLOOKUP(B513,'[1]2022 Team'!$B$2:$G$33,3,FALSE))</f>
        <v>0</v>
      </c>
    </row>
    <row r="514" spans="1:9" x14ac:dyDescent="0.25">
      <c r="A514" s="5" t="s">
        <v>825</v>
      </c>
      <c r="B514" s="5" t="s">
        <v>14</v>
      </c>
      <c r="C514" s="5" t="s">
        <v>153</v>
      </c>
      <c r="D514" s="5">
        <v>0</v>
      </c>
      <c r="E514" s="5">
        <v>0</v>
      </c>
      <c r="F514" s="5">
        <v>0</v>
      </c>
      <c r="G514" s="6" t="e">
        <f t="shared" si="8"/>
        <v>#DIV/0!</v>
      </c>
      <c r="H514" s="5"/>
      <c r="I514" s="6">
        <f>D514/(VLOOKUP(B514,'[1]2022 Team'!$B$2:$G$33,3,FALSE))</f>
        <v>0</v>
      </c>
    </row>
    <row r="515" spans="1:9" x14ac:dyDescent="0.25">
      <c r="A515" s="5" t="s">
        <v>814</v>
      </c>
      <c r="B515" s="5" t="s">
        <v>12</v>
      </c>
      <c r="C515" s="5" t="s">
        <v>153</v>
      </c>
      <c r="D515" s="5">
        <v>0</v>
      </c>
      <c r="E515" s="5">
        <v>0</v>
      </c>
      <c r="F515" s="5">
        <v>0</v>
      </c>
      <c r="G515" s="6" t="e">
        <f t="shared" si="8"/>
        <v>#DIV/0!</v>
      </c>
      <c r="H515" s="5"/>
      <c r="I515" s="6">
        <f>D515/(VLOOKUP(B515,'[1]2022 Team'!$B$2:$G$33,3,FALSE))</f>
        <v>0</v>
      </c>
    </row>
    <row r="516" spans="1:9" x14ac:dyDescent="0.25">
      <c r="A516" s="5" t="s">
        <v>2503</v>
      </c>
      <c r="B516" s="5" t="s">
        <v>62</v>
      </c>
      <c r="C516" s="5" t="s">
        <v>153</v>
      </c>
      <c r="D516" s="5">
        <v>0</v>
      </c>
      <c r="E516" s="5">
        <v>0</v>
      </c>
      <c r="F516" s="5">
        <v>0</v>
      </c>
      <c r="G516" s="6" t="e">
        <f t="shared" si="8"/>
        <v>#DIV/0!</v>
      </c>
      <c r="H516" s="5"/>
      <c r="I516" s="6">
        <f>D516/(VLOOKUP(B516,'[1]2022 Team'!$B$2:$G$33,3,FALSE))</f>
        <v>0</v>
      </c>
    </row>
    <row r="517" spans="1:9" x14ac:dyDescent="0.25">
      <c r="A517" s="5" t="s">
        <v>2504</v>
      </c>
      <c r="B517" s="5" t="s">
        <v>14</v>
      </c>
      <c r="C517" s="5" t="s">
        <v>163</v>
      </c>
      <c r="D517" s="5">
        <v>0</v>
      </c>
      <c r="E517" s="5">
        <v>0</v>
      </c>
      <c r="F517" s="5">
        <v>0</v>
      </c>
      <c r="G517" s="6" t="e">
        <f t="shared" si="8"/>
        <v>#DIV/0!</v>
      </c>
      <c r="H517" s="5"/>
      <c r="I517" s="6">
        <f>D517/(VLOOKUP(B517,'[1]2022 Team'!$B$2:$G$33,3,FALSE))</f>
        <v>0</v>
      </c>
    </row>
    <row r="518" spans="1:9" x14ac:dyDescent="0.25">
      <c r="A518" s="5" t="s">
        <v>2403</v>
      </c>
      <c r="B518" s="5" t="s">
        <v>52</v>
      </c>
      <c r="C518" s="5" t="s">
        <v>163</v>
      </c>
      <c r="D518" s="5">
        <v>0</v>
      </c>
      <c r="E518" s="5">
        <v>0</v>
      </c>
      <c r="F518" s="5">
        <v>0</v>
      </c>
      <c r="G518" s="6" t="e">
        <f t="shared" si="8"/>
        <v>#DIV/0!</v>
      </c>
      <c r="H518" s="5"/>
      <c r="I518" s="6">
        <f>D518/(VLOOKUP(B518,'[1]2022 Team'!$B$2:$G$33,3,FALSE))</f>
        <v>0</v>
      </c>
    </row>
    <row r="519" spans="1:9" x14ac:dyDescent="0.25">
      <c r="A519" s="5" t="s">
        <v>1820</v>
      </c>
      <c r="B519" s="5" t="s">
        <v>30</v>
      </c>
      <c r="C519" s="5" t="s">
        <v>153</v>
      </c>
      <c r="D519" s="5">
        <v>0</v>
      </c>
      <c r="E519" s="5">
        <v>0</v>
      </c>
      <c r="F519" s="5">
        <v>0</v>
      </c>
      <c r="G519" s="6" t="e">
        <f t="shared" si="8"/>
        <v>#DIV/0!</v>
      </c>
      <c r="H519" s="5"/>
      <c r="I519" s="6">
        <f>D519/(VLOOKUP(B519,'[1]2022 Team'!$B$2:$G$33,3,FALSE))</f>
        <v>0</v>
      </c>
    </row>
    <row r="520" spans="1:9" x14ac:dyDescent="0.25">
      <c r="A520" s="5" t="s">
        <v>815</v>
      </c>
      <c r="B520" s="5" t="s">
        <v>12</v>
      </c>
      <c r="C520" s="5" t="s">
        <v>153</v>
      </c>
      <c r="D520" s="5">
        <v>0</v>
      </c>
      <c r="E520" s="5">
        <v>0</v>
      </c>
      <c r="F520" s="5">
        <v>0</v>
      </c>
      <c r="G520" s="6" t="e">
        <f t="shared" si="8"/>
        <v>#DIV/0!</v>
      </c>
      <c r="H520" s="5"/>
      <c r="I520" s="6">
        <f>D520/(VLOOKUP(B520,'[1]2022 Team'!$B$2:$G$33,3,FALSE))</f>
        <v>0</v>
      </c>
    </row>
    <row r="521" spans="1:9" x14ac:dyDescent="0.25">
      <c r="A521" s="5" t="s">
        <v>935</v>
      </c>
      <c r="B521" s="5" t="s">
        <v>64</v>
      </c>
      <c r="C521" s="5" t="s">
        <v>163</v>
      </c>
      <c r="D521" s="5">
        <v>0</v>
      </c>
      <c r="E521" s="5">
        <v>0</v>
      </c>
      <c r="F521" s="5">
        <v>0</v>
      </c>
      <c r="G521" s="6" t="e">
        <f t="shared" si="8"/>
        <v>#DIV/0!</v>
      </c>
      <c r="H521" s="5"/>
      <c r="I521" s="6">
        <f>D521/(VLOOKUP(B521,'[1]2022 Team'!$B$2:$G$33,3,FALSE))</f>
        <v>0</v>
      </c>
    </row>
    <row r="522" spans="1:9" x14ac:dyDescent="0.25">
      <c r="A522" s="5" t="s">
        <v>803</v>
      </c>
      <c r="B522" s="5" t="s">
        <v>10</v>
      </c>
      <c r="C522" s="5" t="s">
        <v>163</v>
      </c>
      <c r="D522" s="5">
        <v>0</v>
      </c>
      <c r="E522" s="5">
        <v>0</v>
      </c>
      <c r="F522" s="5">
        <v>0</v>
      </c>
      <c r="G522" s="6" t="e">
        <f t="shared" si="8"/>
        <v>#DIV/0!</v>
      </c>
      <c r="H522" s="5"/>
      <c r="I522" s="6">
        <f>D522/(VLOOKUP(B522,'[1]2022 Team'!$B$2:$G$33,3,FALSE))</f>
        <v>0</v>
      </c>
    </row>
    <row r="523" spans="1:9" x14ac:dyDescent="0.25">
      <c r="A523" s="5" t="s">
        <v>2505</v>
      </c>
      <c r="B523" s="5" t="s">
        <v>64</v>
      </c>
      <c r="C523" s="5" t="s">
        <v>153</v>
      </c>
      <c r="D523" s="5">
        <v>0</v>
      </c>
      <c r="E523" s="5">
        <v>0</v>
      </c>
      <c r="F523" s="5">
        <v>0</v>
      </c>
      <c r="G523" s="6" t="e">
        <f t="shared" si="8"/>
        <v>#DIV/0!</v>
      </c>
      <c r="H523" s="5"/>
      <c r="I523" s="6">
        <f>D523/(VLOOKUP(B523,'[1]2022 Team'!$B$2:$G$33,3,FALSE))</f>
        <v>0</v>
      </c>
    </row>
    <row r="524" spans="1:9" x14ac:dyDescent="0.25">
      <c r="A524" s="5" t="s">
        <v>974</v>
      </c>
      <c r="B524" s="5" t="s">
        <v>36</v>
      </c>
      <c r="C524" s="5" t="s">
        <v>153</v>
      </c>
      <c r="D524" s="5">
        <v>0</v>
      </c>
      <c r="E524" s="5">
        <v>0</v>
      </c>
      <c r="F524" s="5">
        <v>0</v>
      </c>
      <c r="G524" s="6" t="e">
        <f t="shared" si="8"/>
        <v>#DIV/0!</v>
      </c>
      <c r="H524" s="5"/>
      <c r="I524" s="6">
        <f>D524/(VLOOKUP(B524,'[1]2022 Team'!$B$2:$G$33,3,FALSE))</f>
        <v>0</v>
      </c>
    </row>
    <row r="525" spans="1:9" x14ac:dyDescent="0.25">
      <c r="A525" s="5" t="s">
        <v>1821</v>
      </c>
      <c r="B525" s="5" t="s">
        <v>16</v>
      </c>
      <c r="C525" s="5" t="s">
        <v>163</v>
      </c>
      <c r="D525" s="5">
        <v>0</v>
      </c>
      <c r="E525" s="5">
        <v>0</v>
      </c>
      <c r="F525" s="5">
        <v>0</v>
      </c>
      <c r="G525" s="6" t="e">
        <f t="shared" si="8"/>
        <v>#DIV/0!</v>
      </c>
      <c r="H525" s="5"/>
      <c r="I525" s="6">
        <f>D525/(VLOOKUP(B525,'[1]2022 Team'!$B$2:$G$33,3,FALSE))</f>
        <v>0</v>
      </c>
    </row>
    <row r="526" spans="1:9" x14ac:dyDescent="0.25">
      <c r="A526" s="5" t="s">
        <v>795</v>
      </c>
      <c r="B526" s="5" t="s">
        <v>8</v>
      </c>
      <c r="C526" s="5" t="s">
        <v>153</v>
      </c>
      <c r="D526" s="5">
        <v>0</v>
      </c>
      <c r="E526" s="5">
        <v>0</v>
      </c>
      <c r="F526" s="5">
        <v>0</v>
      </c>
      <c r="G526" s="6" t="e">
        <f t="shared" si="8"/>
        <v>#DIV/0!</v>
      </c>
      <c r="H526" s="5"/>
      <c r="I526" s="6">
        <f>D526/(VLOOKUP(B526,'[1]2022 Team'!$B$2:$G$33,3,FALSE))</f>
        <v>0</v>
      </c>
    </row>
    <row r="527" spans="1:9" x14ac:dyDescent="0.25">
      <c r="A527" s="5" t="s">
        <v>2506</v>
      </c>
      <c r="B527" s="5" t="s">
        <v>44</v>
      </c>
      <c r="C527" s="5" t="s">
        <v>163</v>
      </c>
      <c r="D527" s="5">
        <v>0</v>
      </c>
      <c r="E527" s="5">
        <v>0</v>
      </c>
      <c r="F527" s="5">
        <v>0</v>
      </c>
      <c r="G527" s="6" t="e">
        <f t="shared" si="8"/>
        <v>#DIV/0!</v>
      </c>
      <c r="H527" s="5"/>
      <c r="I527" s="6">
        <f>D527/(VLOOKUP(B527,'[1]2022 Team'!$B$2:$G$33,3,FALSE))</f>
        <v>0</v>
      </c>
    </row>
    <row r="528" spans="1:9" x14ac:dyDescent="0.25">
      <c r="A528" s="5" t="s">
        <v>1823</v>
      </c>
      <c r="B528" s="5" t="s">
        <v>24</v>
      </c>
      <c r="C528" s="5" t="s">
        <v>153</v>
      </c>
      <c r="D528" s="5">
        <v>0</v>
      </c>
      <c r="E528" s="5">
        <v>0</v>
      </c>
      <c r="F528" s="5">
        <v>0</v>
      </c>
      <c r="G528" s="6" t="e">
        <f t="shared" si="8"/>
        <v>#DIV/0!</v>
      </c>
      <c r="H528" s="5"/>
      <c r="I528" s="6">
        <f>D528/(VLOOKUP(B528,'[1]2022 Team'!$B$2:$G$33,3,FALSE))</f>
        <v>0</v>
      </c>
    </row>
    <row r="529" spans="1:9" x14ac:dyDescent="0.25">
      <c r="A529" s="5" t="s">
        <v>2507</v>
      </c>
      <c r="B529" s="5" t="s">
        <v>42</v>
      </c>
      <c r="C529" s="5" t="s">
        <v>153</v>
      </c>
      <c r="D529" s="5">
        <v>0</v>
      </c>
      <c r="E529" s="5">
        <v>0</v>
      </c>
      <c r="F529" s="5">
        <v>0</v>
      </c>
      <c r="G529" s="6" t="e">
        <f t="shared" si="8"/>
        <v>#DIV/0!</v>
      </c>
      <c r="H529" s="5"/>
      <c r="I529" s="6">
        <f>D529/(VLOOKUP(B529,'[1]2022 Team'!$B$2:$G$33,3,FALSE))</f>
        <v>0</v>
      </c>
    </row>
    <row r="530" spans="1:9" x14ac:dyDescent="0.25">
      <c r="A530" s="5" t="s">
        <v>707</v>
      </c>
      <c r="B530" s="5" t="s">
        <v>64</v>
      </c>
      <c r="C530" s="5" t="s">
        <v>163</v>
      </c>
      <c r="D530" s="5">
        <v>0</v>
      </c>
      <c r="E530" s="5">
        <v>0</v>
      </c>
      <c r="F530" s="5">
        <v>0</v>
      </c>
      <c r="G530" s="6" t="e">
        <f t="shared" si="8"/>
        <v>#DIV/0!</v>
      </c>
      <c r="H530" s="5"/>
      <c r="I530" s="6">
        <f>D530/(VLOOKUP(B530,'[1]2022 Team'!$B$2:$G$33,3,FALSE))</f>
        <v>0</v>
      </c>
    </row>
    <row r="531" spans="1:9" x14ac:dyDescent="0.25">
      <c r="A531" s="5" t="s">
        <v>2508</v>
      </c>
      <c r="B531" s="5" t="s">
        <v>70</v>
      </c>
      <c r="C531" s="5" t="s">
        <v>163</v>
      </c>
      <c r="D531" s="5">
        <v>0</v>
      </c>
      <c r="E531" s="5">
        <v>0</v>
      </c>
      <c r="F531" s="5">
        <v>0</v>
      </c>
      <c r="G531" s="6" t="e">
        <f t="shared" si="8"/>
        <v>#DIV/0!</v>
      </c>
      <c r="H531" s="5"/>
      <c r="I531" s="6">
        <f>D531/(VLOOKUP(B531,'[1]2022 Team'!$B$2:$G$33,3,FALSE))</f>
        <v>0</v>
      </c>
    </row>
    <row r="532" spans="1:9" x14ac:dyDescent="0.25">
      <c r="A532" s="5" t="s">
        <v>2509</v>
      </c>
      <c r="B532" s="5" t="s">
        <v>56</v>
      </c>
      <c r="C532" s="5" t="s">
        <v>163</v>
      </c>
      <c r="D532" s="5">
        <v>0</v>
      </c>
      <c r="E532" s="5">
        <v>0</v>
      </c>
      <c r="F532" s="5">
        <v>0</v>
      </c>
      <c r="G532" s="6" t="e">
        <f t="shared" si="8"/>
        <v>#DIV/0!</v>
      </c>
      <c r="H532" s="5"/>
      <c r="I532" s="6">
        <f>D532/(VLOOKUP(B532,'[1]2022 Team'!$B$2:$G$33,3,FALSE))</f>
        <v>0</v>
      </c>
    </row>
    <row r="533" spans="1:9" x14ac:dyDescent="0.25">
      <c r="A533" s="5" t="s">
        <v>832</v>
      </c>
      <c r="B533" s="5" t="s">
        <v>28</v>
      </c>
      <c r="C533" s="5" t="s">
        <v>153</v>
      </c>
      <c r="D533" s="5">
        <v>0</v>
      </c>
      <c r="E533" s="5">
        <v>0</v>
      </c>
      <c r="F533" s="5">
        <v>0</v>
      </c>
      <c r="G533" s="6" t="e">
        <f t="shared" si="8"/>
        <v>#DIV/0!</v>
      </c>
      <c r="H533" s="5"/>
      <c r="I533" s="6">
        <f>D533/(VLOOKUP(B533,'[1]2022 Team'!$B$2:$G$33,3,FALSE))</f>
        <v>0</v>
      </c>
    </row>
    <row r="534" spans="1:9" x14ac:dyDescent="0.25">
      <c r="A534" s="5" t="s">
        <v>2510</v>
      </c>
      <c r="B534" s="5" t="s">
        <v>42</v>
      </c>
      <c r="C534" s="5" t="s">
        <v>163</v>
      </c>
      <c r="D534" s="5">
        <v>0</v>
      </c>
      <c r="E534" s="5">
        <v>0</v>
      </c>
      <c r="F534" s="5">
        <v>0</v>
      </c>
      <c r="G534" s="6" t="e">
        <f t="shared" si="8"/>
        <v>#DIV/0!</v>
      </c>
      <c r="H534" s="5"/>
      <c r="I534" s="6">
        <f>D534/(VLOOKUP(B534,'[1]2022 Team'!$B$2:$G$33,3,FALSE))</f>
        <v>0</v>
      </c>
    </row>
    <row r="535" spans="1:9" x14ac:dyDescent="0.25">
      <c r="A535" s="5" t="s">
        <v>958</v>
      </c>
      <c r="B535" s="5" t="s">
        <v>40</v>
      </c>
      <c r="C535" s="5" t="s">
        <v>153</v>
      </c>
      <c r="D535" s="5">
        <v>0</v>
      </c>
      <c r="E535" s="5">
        <v>2</v>
      </c>
      <c r="F535" s="5">
        <v>0</v>
      </c>
      <c r="G535" s="6" t="e">
        <f t="shared" si="8"/>
        <v>#DIV/0!</v>
      </c>
      <c r="H535" s="5"/>
      <c r="I535" s="6">
        <f>D535/(VLOOKUP(B535,'[1]2022 Team'!$B$2:$G$33,3,FALSE))</f>
        <v>0</v>
      </c>
    </row>
    <row r="536" spans="1:9" x14ac:dyDescent="0.25">
      <c r="A536" s="5" t="s">
        <v>2511</v>
      </c>
      <c r="B536" s="5" t="s">
        <v>20</v>
      </c>
      <c r="C536" s="5" t="s">
        <v>163</v>
      </c>
      <c r="D536" s="5">
        <v>0</v>
      </c>
      <c r="E536" s="5">
        <v>0</v>
      </c>
      <c r="F536" s="5">
        <v>0</v>
      </c>
      <c r="G536" s="6" t="e">
        <f t="shared" si="8"/>
        <v>#DIV/0!</v>
      </c>
      <c r="H536" s="5"/>
      <c r="I536" s="6">
        <f>D536/(VLOOKUP(B536,'[1]2022 Team'!$B$2:$G$33,3,FALSE))</f>
        <v>0</v>
      </c>
    </row>
    <row r="537" spans="1:9" x14ac:dyDescent="0.25">
      <c r="A537" s="5" t="s">
        <v>902</v>
      </c>
      <c r="B537" s="5" t="s">
        <v>14</v>
      </c>
      <c r="C537" s="5" t="s">
        <v>153</v>
      </c>
      <c r="D537" s="5">
        <v>0</v>
      </c>
      <c r="E537" s="5">
        <v>0</v>
      </c>
      <c r="F537" s="5">
        <v>0</v>
      </c>
      <c r="G537" s="6" t="e">
        <f t="shared" si="8"/>
        <v>#DIV/0!</v>
      </c>
      <c r="H537" s="5"/>
      <c r="I537" s="6">
        <f>D537/(VLOOKUP(B537,'[1]2022 Team'!$B$2:$G$33,3,FALSE))</f>
        <v>0</v>
      </c>
    </row>
    <row r="538" spans="1:9" x14ac:dyDescent="0.25">
      <c r="A538" s="5" t="s">
        <v>903</v>
      </c>
      <c r="B538" s="5" t="s">
        <v>48</v>
      </c>
      <c r="C538" s="5" t="s">
        <v>153</v>
      </c>
      <c r="D538" s="5">
        <v>0</v>
      </c>
      <c r="E538" s="5">
        <v>0</v>
      </c>
      <c r="F538" s="5">
        <v>0</v>
      </c>
      <c r="G538" s="6" t="e">
        <f t="shared" si="8"/>
        <v>#DIV/0!</v>
      </c>
      <c r="H538" s="5"/>
      <c r="I538" s="6">
        <f>D538/(VLOOKUP(B538,'[1]2022 Team'!$B$2:$G$33,3,FALSE))</f>
        <v>0</v>
      </c>
    </row>
    <row r="539" spans="1:9" x14ac:dyDescent="0.25">
      <c r="A539" s="5" t="s">
        <v>2512</v>
      </c>
      <c r="B539" s="5" t="s">
        <v>54</v>
      </c>
      <c r="C539" s="5" t="s">
        <v>613</v>
      </c>
      <c r="D539" s="5">
        <v>0</v>
      </c>
      <c r="E539" s="5">
        <v>0</v>
      </c>
      <c r="F539" s="5">
        <v>0</v>
      </c>
      <c r="G539" s="6" t="e">
        <f t="shared" si="8"/>
        <v>#DIV/0!</v>
      </c>
      <c r="H539" s="5"/>
      <c r="I539" s="6">
        <f>D539/(VLOOKUP(B539,'[1]2022 Team'!$B$2:$G$33,3,FALSE))</f>
        <v>0</v>
      </c>
    </row>
    <row r="540" spans="1:9" x14ac:dyDescent="0.25">
      <c r="A540" s="5" t="s">
        <v>701</v>
      </c>
      <c r="B540" s="5" t="s">
        <v>48</v>
      </c>
      <c r="C540" s="5" t="s">
        <v>163</v>
      </c>
      <c r="D540" s="5">
        <v>0</v>
      </c>
      <c r="E540" s="5">
        <v>0</v>
      </c>
      <c r="F540" s="5">
        <v>0</v>
      </c>
      <c r="G540" s="6" t="e">
        <f t="shared" si="8"/>
        <v>#DIV/0!</v>
      </c>
      <c r="H540" s="5"/>
      <c r="I540" s="6">
        <f>D540/(VLOOKUP(B540,'[1]2022 Team'!$B$2:$G$33,3,FALSE))</f>
        <v>0</v>
      </c>
    </row>
    <row r="541" spans="1:9" x14ac:dyDescent="0.25">
      <c r="A541" s="5" t="s">
        <v>937</v>
      </c>
      <c r="B541" s="5" t="s">
        <v>26</v>
      </c>
      <c r="C541" s="5" t="s">
        <v>153</v>
      </c>
      <c r="D541" s="5">
        <v>0</v>
      </c>
      <c r="E541" s="5">
        <v>0</v>
      </c>
      <c r="F541" s="5">
        <v>0</v>
      </c>
      <c r="G541" s="6" t="e">
        <f t="shared" si="8"/>
        <v>#DIV/0!</v>
      </c>
      <c r="H541" s="5"/>
      <c r="I541" s="6">
        <f>D541/(VLOOKUP(B541,'[1]2022 Team'!$B$2:$G$33,3,FALSE))</f>
        <v>0</v>
      </c>
    </row>
    <row r="542" spans="1:9" x14ac:dyDescent="0.25">
      <c r="A542" s="5" t="s">
        <v>177</v>
      </c>
      <c r="B542" s="5" t="s">
        <v>52</v>
      </c>
      <c r="C542" s="5" t="s">
        <v>163</v>
      </c>
      <c r="D542" s="5">
        <v>0</v>
      </c>
      <c r="E542" s="5">
        <v>0</v>
      </c>
      <c r="F542" s="5">
        <v>0</v>
      </c>
      <c r="G542" s="6" t="e">
        <f t="shared" si="8"/>
        <v>#DIV/0!</v>
      </c>
      <c r="H542" s="5"/>
      <c r="I542" s="6">
        <f>D542/(VLOOKUP(B542,'[1]2022 Team'!$B$2:$G$33,3,FALSE))</f>
        <v>0</v>
      </c>
    </row>
    <row r="543" spans="1:9" x14ac:dyDescent="0.25">
      <c r="A543" s="5" t="s">
        <v>950</v>
      </c>
      <c r="B543" s="5" t="s">
        <v>12</v>
      </c>
      <c r="C543" s="5" t="s">
        <v>153</v>
      </c>
      <c r="D543" s="5">
        <v>0</v>
      </c>
      <c r="E543" s="5">
        <v>0</v>
      </c>
      <c r="F543" s="5">
        <v>0</v>
      </c>
      <c r="G543" s="6" t="e">
        <f t="shared" si="8"/>
        <v>#DIV/0!</v>
      </c>
      <c r="H543" s="5"/>
      <c r="I543" s="6">
        <f>D543/(VLOOKUP(B543,'[1]2022 Team'!$B$2:$G$33,3,FALSE))</f>
        <v>0</v>
      </c>
    </row>
    <row r="544" spans="1:9" x14ac:dyDescent="0.25">
      <c r="A544" s="5" t="s">
        <v>1027</v>
      </c>
      <c r="B544" s="5" t="s">
        <v>66</v>
      </c>
      <c r="C544" s="5" t="s">
        <v>153</v>
      </c>
      <c r="D544" s="5">
        <v>0</v>
      </c>
      <c r="E544" s="5">
        <v>0</v>
      </c>
      <c r="F544" s="5">
        <v>0</v>
      </c>
      <c r="G544" s="6" t="e">
        <f t="shared" si="8"/>
        <v>#DIV/0!</v>
      </c>
      <c r="H544" s="5"/>
      <c r="I544" s="6">
        <f>D544/(VLOOKUP(B544,'[1]2022 Team'!$B$2:$G$33,3,FALSE))</f>
        <v>0</v>
      </c>
    </row>
    <row r="545" spans="1:9" x14ac:dyDescent="0.25">
      <c r="A545" s="5" t="s">
        <v>1828</v>
      </c>
      <c r="B545" s="5" t="s">
        <v>42</v>
      </c>
      <c r="C545" s="5" t="s">
        <v>153</v>
      </c>
      <c r="D545" s="5">
        <v>0</v>
      </c>
      <c r="E545" s="5">
        <v>0</v>
      </c>
      <c r="F545" s="5">
        <v>0</v>
      </c>
      <c r="G545" s="6" t="e">
        <f t="shared" si="8"/>
        <v>#DIV/0!</v>
      </c>
      <c r="H545" s="5"/>
      <c r="I545" s="6">
        <f>D545/(VLOOKUP(B545,'[1]2022 Team'!$B$2:$G$33,3,FALSE))</f>
        <v>0</v>
      </c>
    </row>
    <row r="546" spans="1:9" x14ac:dyDescent="0.25">
      <c r="A546" s="5" t="s">
        <v>1829</v>
      </c>
      <c r="B546" s="5" t="s">
        <v>50</v>
      </c>
      <c r="C546" s="5" t="s">
        <v>163</v>
      </c>
      <c r="D546" s="5">
        <v>0</v>
      </c>
      <c r="E546" s="5">
        <v>0</v>
      </c>
      <c r="F546" s="5">
        <v>0</v>
      </c>
      <c r="G546" s="6" t="e">
        <f t="shared" si="8"/>
        <v>#DIV/0!</v>
      </c>
      <c r="H546" s="5"/>
      <c r="I546" s="6">
        <f>D546/(VLOOKUP(B546,'[1]2022 Team'!$B$2:$G$33,3,FALSE))</f>
        <v>0</v>
      </c>
    </row>
    <row r="547" spans="1:9" x14ac:dyDescent="0.25">
      <c r="A547" s="5" t="s">
        <v>929</v>
      </c>
      <c r="B547" s="5" t="s">
        <v>64</v>
      </c>
      <c r="C547" s="5" t="s">
        <v>153</v>
      </c>
      <c r="D547" s="5">
        <v>0</v>
      </c>
      <c r="E547" s="5">
        <v>0</v>
      </c>
      <c r="F547" s="5">
        <v>0</v>
      </c>
      <c r="G547" s="6" t="e">
        <f t="shared" si="8"/>
        <v>#DIV/0!</v>
      </c>
      <c r="H547" s="5"/>
      <c r="I547" s="6">
        <f>D547/(VLOOKUP(B547,'[1]2022 Team'!$B$2:$G$33,3,FALSE))</f>
        <v>0</v>
      </c>
    </row>
    <row r="548" spans="1:9" x14ac:dyDescent="0.25">
      <c r="A548" s="5" t="s">
        <v>2513</v>
      </c>
      <c r="B548" s="5" t="s">
        <v>34</v>
      </c>
      <c r="C548" s="5" t="s">
        <v>163</v>
      </c>
      <c r="D548" s="5">
        <v>0</v>
      </c>
      <c r="E548" s="5">
        <v>0</v>
      </c>
      <c r="F548" s="5">
        <v>0</v>
      </c>
      <c r="G548" s="6" t="e">
        <f t="shared" si="8"/>
        <v>#DIV/0!</v>
      </c>
      <c r="H548" s="5"/>
      <c r="I548" s="6">
        <f>D548/(VLOOKUP(B548,'[1]2022 Team'!$B$2:$G$33,3,FALSE))</f>
        <v>0</v>
      </c>
    </row>
    <row r="549" spans="1:9" x14ac:dyDescent="0.25">
      <c r="A549" s="5" t="s">
        <v>1833</v>
      </c>
      <c r="B549" s="5" t="s">
        <v>68</v>
      </c>
      <c r="C549" s="5" t="s">
        <v>163</v>
      </c>
      <c r="D549" s="5">
        <v>0</v>
      </c>
      <c r="E549" s="5">
        <v>0</v>
      </c>
      <c r="F549" s="5">
        <v>0</v>
      </c>
      <c r="G549" s="6" t="e">
        <f t="shared" si="8"/>
        <v>#DIV/0!</v>
      </c>
      <c r="H549" s="5"/>
      <c r="I549" s="6">
        <f>D549/(VLOOKUP(B549,'[1]2022 Team'!$B$2:$G$33,3,FALSE))</f>
        <v>0</v>
      </c>
    </row>
    <row r="550" spans="1:9" x14ac:dyDescent="0.25">
      <c r="A550" s="5" t="s">
        <v>897</v>
      </c>
      <c r="B550" s="5" t="s">
        <v>34</v>
      </c>
      <c r="C550" s="5" t="s">
        <v>163</v>
      </c>
      <c r="D550" s="5">
        <v>0</v>
      </c>
      <c r="E550" s="5">
        <v>0</v>
      </c>
      <c r="F550" s="5">
        <v>0</v>
      </c>
      <c r="G550" s="6" t="e">
        <f t="shared" si="8"/>
        <v>#DIV/0!</v>
      </c>
      <c r="H550" s="5"/>
      <c r="I550" s="6">
        <f>D550/(VLOOKUP(B550,'[1]2022 Team'!$B$2:$G$33,3,FALSE))</f>
        <v>0</v>
      </c>
    </row>
    <row r="551" spans="1:9" x14ac:dyDescent="0.25">
      <c r="A551" s="5" t="s">
        <v>808</v>
      </c>
      <c r="B551" s="5" t="s">
        <v>10</v>
      </c>
      <c r="C551" s="5" t="s">
        <v>153</v>
      </c>
      <c r="D551" s="5">
        <v>0</v>
      </c>
      <c r="E551" s="5">
        <v>0</v>
      </c>
      <c r="F551" s="5">
        <v>0</v>
      </c>
      <c r="G551" s="6" t="e">
        <f t="shared" si="8"/>
        <v>#DIV/0!</v>
      </c>
      <c r="H551" s="5"/>
      <c r="I551" s="6">
        <f>D551/(VLOOKUP(B551,'[1]2022 Team'!$B$2:$G$33,3,FALSE))</f>
        <v>0</v>
      </c>
    </row>
    <row r="552" spans="1:9" x14ac:dyDescent="0.25">
      <c r="A552" s="5" t="s">
        <v>1834</v>
      </c>
      <c r="B552" s="5" t="s">
        <v>18</v>
      </c>
      <c r="C552" s="5" t="s">
        <v>163</v>
      </c>
      <c r="D552" s="5">
        <v>0</v>
      </c>
      <c r="E552" s="5">
        <v>0</v>
      </c>
      <c r="F552" s="5">
        <v>0</v>
      </c>
      <c r="G552" s="6" t="e">
        <f t="shared" si="8"/>
        <v>#DIV/0!</v>
      </c>
      <c r="H552" s="5"/>
      <c r="I552" s="6">
        <f>D552/(VLOOKUP(B552,'[1]2022 Team'!$B$2:$G$33,3,FALSE))</f>
        <v>0</v>
      </c>
    </row>
    <row r="553" spans="1:9" x14ac:dyDescent="0.25">
      <c r="A553" s="5" t="s">
        <v>1036</v>
      </c>
      <c r="B553" s="5" t="s">
        <v>12</v>
      </c>
      <c r="C553" s="5" t="s">
        <v>163</v>
      </c>
      <c r="D553" s="5">
        <v>0</v>
      </c>
      <c r="E553" s="5">
        <v>0</v>
      </c>
      <c r="F553" s="5">
        <v>0</v>
      </c>
      <c r="G553" s="6" t="e">
        <f t="shared" si="8"/>
        <v>#DIV/0!</v>
      </c>
      <c r="H553" s="5"/>
      <c r="I553" s="6">
        <f>D553/(VLOOKUP(B553,'[1]2022 Team'!$B$2:$G$33,3,FALSE))</f>
        <v>0</v>
      </c>
    </row>
    <row r="554" spans="1:9" x14ac:dyDescent="0.25">
      <c r="A554" s="5" t="s">
        <v>1835</v>
      </c>
      <c r="B554" s="5" t="s">
        <v>10</v>
      </c>
      <c r="C554" s="5" t="s">
        <v>153</v>
      </c>
      <c r="D554" s="5">
        <v>0</v>
      </c>
      <c r="E554" s="5">
        <v>0</v>
      </c>
      <c r="F554" s="5">
        <v>0</v>
      </c>
      <c r="G554" s="6" t="e">
        <f t="shared" si="8"/>
        <v>#DIV/0!</v>
      </c>
      <c r="H554" s="5"/>
      <c r="I554" s="6">
        <f>D554/(VLOOKUP(B554,'[1]2022 Team'!$B$2:$G$33,3,FALSE))</f>
        <v>0</v>
      </c>
    </row>
    <row r="555" spans="1:9" x14ac:dyDescent="0.25">
      <c r="A555" s="5" t="s">
        <v>1836</v>
      </c>
      <c r="B555" s="5" t="s">
        <v>32</v>
      </c>
      <c r="C555" s="5" t="s">
        <v>153</v>
      </c>
      <c r="D555" s="5">
        <v>0</v>
      </c>
      <c r="E555" s="5">
        <v>0</v>
      </c>
      <c r="F555" s="5">
        <v>0</v>
      </c>
      <c r="G555" s="6" t="e">
        <f t="shared" si="8"/>
        <v>#DIV/0!</v>
      </c>
      <c r="H555" s="5"/>
      <c r="I555" s="6">
        <f>D555/(VLOOKUP(B555,'[1]2022 Team'!$B$2:$G$33,3,FALSE))</f>
        <v>0</v>
      </c>
    </row>
    <row r="556" spans="1:9" x14ac:dyDescent="0.25">
      <c r="A556" s="5" t="s">
        <v>833</v>
      </c>
      <c r="B556" s="5" t="s">
        <v>40</v>
      </c>
      <c r="C556" s="5" t="s">
        <v>163</v>
      </c>
      <c r="D556" s="5">
        <v>0</v>
      </c>
      <c r="E556" s="5">
        <v>0</v>
      </c>
      <c r="F556" s="5">
        <v>0</v>
      </c>
      <c r="G556" s="6" t="e">
        <f t="shared" si="8"/>
        <v>#DIV/0!</v>
      </c>
      <c r="H556" s="5"/>
      <c r="I556" s="6">
        <f>D556/(VLOOKUP(B556,'[1]2022 Team'!$B$2:$G$33,3,FALSE))</f>
        <v>0</v>
      </c>
    </row>
    <row r="557" spans="1:9" x14ac:dyDescent="0.25">
      <c r="A557" s="5" t="s">
        <v>981</v>
      </c>
      <c r="B557" s="5" t="s">
        <v>28</v>
      </c>
      <c r="C557" s="5" t="s">
        <v>163</v>
      </c>
      <c r="D557" s="5">
        <v>0</v>
      </c>
      <c r="E557" s="5">
        <v>0</v>
      </c>
      <c r="F557" s="5">
        <v>0</v>
      </c>
      <c r="G557" s="6" t="e">
        <f t="shared" ref="G557:G618" si="9">F557/D557</f>
        <v>#DIV/0!</v>
      </c>
      <c r="H557" s="5"/>
      <c r="I557" s="6">
        <f>D557/(VLOOKUP(B557,'[1]2022 Team'!$B$2:$G$33,3,FALSE))</f>
        <v>0</v>
      </c>
    </row>
    <row r="558" spans="1:9" x14ac:dyDescent="0.25">
      <c r="A558" s="5" t="s">
        <v>874</v>
      </c>
      <c r="B558" s="5" t="s">
        <v>16</v>
      </c>
      <c r="C558" s="5" t="s">
        <v>153</v>
      </c>
      <c r="D558" s="5">
        <v>0</v>
      </c>
      <c r="E558" s="5">
        <v>0</v>
      </c>
      <c r="F558" s="5">
        <v>0</v>
      </c>
      <c r="G558" s="6" t="e">
        <f t="shared" si="9"/>
        <v>#DIV/0!</v>
      </c>
      <c r="H558" s="5"/>
      <c r="I558" s="6">
        <f>D558/(VLOOKUP(B558,'[1]2022 Team'!$B$2:$G$33,3,FALSE))</f>
        <v>0</v>
      </c>
    </row>
    <row r="559" spans="1:9" x14ac:dyDescent="0.25">
      <c r="A559" s="5" t="s">
        <v>1838</v>
      </c>
      <c r="B559" s="5" t="s">
        <v>44</v>
      </c>
      <c r="C559" s="5" t="s">
        <v>163</v>
      </c>
      <c r="D559" s="5">
        <v>0</v>
      </c>
      <c r="E559" s="5">
        <v>0</v>
      </c>
      <c r="F559" s="5">
        <v>0</v>
      </c>
      <c r="G559" s="6" t="e">
        <f t="shared" si="9"/>
        <v>#DIV/0!</v>
      </c>
      <c r="H559" s="5"/>
      <c r="I559" s="6">
        <f>D559/(VLOOKUP(B559,'[1]2022 Team'!$B$2:$G$33,3,FALSE))</f>
        <v>0</v>
      </c>
    </row>
    <row r="560" spans="1:9" x14ac:dyDescent="0.25">
      <c r="A560" s="5" t="s">
        <v>773</v>
      </c>
      <c r="B560" s="5" t="s">
        <v>12</v>
      </c>
      <c r="C560" s="5" t="s">
        <v>163</v>
      </c>
      <c r="D560" s="5">
        <v>0</v>
      </c>
      <c r="E560" s="5">
        <v>0</v>
      </c>
      <c r="F560" s="5">
        <v>0</v>
      </c>
      <c r="G560" s="6" t="e">
        <f t="shared" si="9"/>
        <v>#DIV/0!</v>
      </c>
      <c r="H560" s="5"/>
      <c r="I560" s="6">
        <f>D560/(VLOOKUP(B560,'[1]2022 Team'!$B$2:$G$33,3,FALSE))</f>
        <v>0</v>
      </c>
    </row>
    <row r="561" spans="1:9" x14ac:dyDescent="0.25">
      <c r="A561" s="5" t="s">
        <v>2514</v>
      </c>
      <c r="B561" s="5" t="s">
        <v>42</v>
      </c>
      <c r="C561" s="5" t="s">
        <v>153</v>
      </c>
      <c r="D561" s="5">
        <v>0</v>
      </c>
      <c r="E561" s="5">
        <v>0</v>
      </c>
      <c r="F561" s="5">
        <v>0</v>
      </c>
      <c r="G561" s="6" t="e">
        <f t="shared" si="9"/>
        <v>#DIV/0!</v>
      </c>
      <c r="H561" s="5"/>
      <c r="I561" s="6">
        <f>D561/(VLOOKUP(B561,'[1]2022 Team'!$B$2:$G$33,3,FALSE))</f>
        <v>0</v>
      </c>
    </row>
    <row r="562" spans="1:9" x14ac:dyDescent="0.25">
      <c r="A562" s="5" t="s">
        <v>982</v>
      </c>
      <c r="B562" s="5" t="s">
        <v>56</v>
      </c>
      <c r="C562" s="5" t="s">
        <v>153</v>
      </c>
      <c r="D562" s="5">
        <v>0</v>
      </c>
      <c r="E562" s="5">
        <v>0</v>
      </c>
      <c r="F562" s="5">
        <v>0</v>
      </c>
      <c r="G562" s="6" t="e">
        <f t="shared" si="9"/>
        <v>#DIV/0!</v>
      </c>
      <c r="H562" s="5"/>
      <c r="I562" s="6">
        <f>D562/(VLOOKUP(B562,'[1]2022 Team'!$B$2:$G$33,3,FALSE))</f>
        <v>0</v>
      </c>
    </row>
    <row r="563" spans="1:9" x14ac:dyDescent="0.25">
      <c r="A563" s="5" t="s">
        <v>2515</v>
      </c>
      <c r="B563" s="5" t="s">
        <v>66</v>
      </c>
      <c r="C563" s="5" t="s">
        <v>153</v>
      </c>
      <c r="D563" s="5">
        <v>0</v>
      </c>
      <c r="E563" s="5">
        <v>0</v>
      </c>
      <c r="F563" s="5">
        <v>0</v>
      </c>
      <c r="G563" s="6" t="e">
        <f t="shared" si="9"/>
        <v>#DIV/0!</v>
      </c>
      <c r="H563" s="5"/>
      <c r="I563" s="6">
        <f>D563/(VLOOKUP(B563,'[1]2022 Team'!$B$2:$G$33,3,FALSE))</f>
        <v>0</v>
      </c>
    </row>
    <row r="564" spans="1:9" x14ac:dyDescent="0.25">
      <c r="A564" s="5" t="s">
        <v>786</v>
      </c>
      <c r="B564" s="5" t="s">
        <v>20</v>
      </c>
      <c r="C564" s="5" t="s">
        <v>153</v>
      </c>
      <c r="D564" s="5">
        <v>0</v>
      </c>
      <c r="E564" s="5">
        <v>0</v>
      </c>
      <c r="F564" s="5">
        <v>0</v>
      </c>
      <c r="G564" s="6" t="e">
        <f t="shared" si="9"/>
        <v>#DIV/0!</v>
      </c>
      <c r="H564" s="5"/>
      <c r="I564" s="6">
        <f>D564/(VLOOKUP(B564,'[1]2022 Team'!$B$2:$G$33,3,FALSE))</f>
        <v>0</v>
      </c>
    </row>
    <row r="565" spans="1:9" x14ac:dyDescent="0.25">
      <c r="A565" s="5" t="s">
        <v>2516</v>
      </c>
      <c r="B565" s="5" t="s">
        <v>46</v>
      </c>
      <c r="C565" s="5" t="s">
        <v>163</v>
      </c>
      <c r="D565" s="5">
        <v>0</v>
      </c>
      <c r="E565" s="5">
        <v>0</v>
      </c>
      <c r="F565" s="5">
        <v>0</v>
      </c>
      <c r="G565" s="6" t="e">
        <f t="shared" si="9"/>
        <v>#DIV/0!</v>
      </c>
      <c r="H565" s="5"/>
      <c r="I565" s="6">
        <f>D565/(VLOOKUP(B565,'[1]2022 Team'!$B$2:$G$33,3,FALSE))</f>
        <v>0</v>
      </c>
    </row>
    <row r="566" spans="1:9" x14ac:dyDescent="0.25">
      <c r="A566" s="5" t="s">
        <v>1011</v>
      </c>
      <c r="B566" s="5" t="s">
        <v>26</v>
      </c>
      <c r="C566" s="5" t="s">
        <v>153</v>
      </c>
      <c r="D566" s="5">
        <v>0</v>
      </c>
      <c r="E566" s="5">
        <v>0</v>
      </c>
      <c r="F566" s="5">
        <v>0</v>
      </c>
      <c r="G566" s="6" t="e">
        <f t="shared" si="9"/>
        <v>#DIV/0!</v>
      </c>
      <c r="H566" s="5"/>
      <c r="I566" s="6">
        <f>D566/(VLOOKUP(B566,'[1]2022 Team'!$B$2:$G$33,3,FALSE))</f>
        <v>0</v>
      </c>
    </row>
    <row r="567" spans="1:9" x14ac:dyDescent="0.25">
      <c r="A567" s="5" t="s">
        <v>2517</v>
      </c>
      <c r="B567" s="5" t="s">
        <v>32</v>
      </c>
      <c r="C567" s="5" t="s">
        <v>153</v>
      </c>
      <c r="D567" s="5">
        <v>0</v>
      </c>
      <c r="E567" s="5">
        <v>0</v>
      </c>
      <c r="F567" s="5">
        <v>0</v>
      </c>
      <c r="G567" s="6" t="e">
        <f t="shared" si="9"/>
        <v>#DIV/0!</v>
      </c>
      <c r="H567" s="5"/>
      <c r="I567" s="6">
        <f>D567/(VLOOKUP(B567,'[1]2022 Team'!$B$2:$G$33,3,FALSE))</f>
        <v>0</v>
      </c>
    </row>
    <row r="568" spans="1:9" x14ac:dyDescent="0.25">
      <c r="A568" s="5" t="s">
        <v>889</v>
      </c>
      <c r="B568" s="5" t="s">
        <v>24</v>
      </c>
      <c r="C568" s="5" t="s">
        <v>153</v>
      </c>
      <c r="D568" s="5">
        <v>0</v>
      </c>
      <c r="E568" s="5">
        <v>0</v>
      </c>
      <c r="F568" s="5">
        <v>0</v>
      </c>
      <c r="G568" s="6" t="e">
        <f t="shared" si="9"/>
        <v>#DIV/0!</v>
      </c>
      <c r="H568" s="5"/>
      <c r="I568" s="6">
        <f>D568/(VLOOKUP(B568,'[1]2022 Team'!$B$2:$G$33,3,FALSE))</f>
        <v>0</v>
      </c>
    </row>
    <row r="569" spans="1:9" x14ac:dyDescent="0.25">
      <c r="A569" s="5" t="s">
        <v>2086</v>
      </c>
      <c r="B569" s="5" t="s">
        <v>28</v>
      </c>
      <c r="C569" s="5" t="s">
        <v>2087</v>
      </c>
      <c r="D569" s="5">
        <v>0</v>
      </c>
      <c r="E569" s="5">
        <v>0</v>
      </c>
      <c r="F569" s="5">
        <v>0</v>
      </c>
      <c r="G569" s="6" t="e">
        <f t="shared" si="9"/>
        <v>#DIV/0!</v>
      </c>
      <c r="H569" s="5"/>
      <c r="I569" s="6">
        <f>D569/(VLOOKUP(B569,'[1]2022 Team'!$B$2:$G$33,3,FALSE))</f>
        <v>0</v>
      </c>
    </row>
    <row r="570" spans="1:9" x14ac:dyDescent="0.25">
      <c r="A570" s="5" t="s">
        <v>744</v>
      </c>
      <c r="B570" s="5" t="s">
        <v>14</v>
      </c>
      <c r="C570" s="5" t="s">
        <v>163</v>
      </c>
      <c r="D570" s="5">
        <v>0</v>
      </c>
      <c r="E570" s="5">
        <v>0</v>
      </c>
      <c r="F570" s="5">
        <v>0</v>
      </c>
      <c r="G570" s="6" t="e">
        <f t="shared" si="9"/>
        <v>#DIV/0!</v>
      </c>
      <c r="H570" s="5"/>
      <c r="I570" s="6">
        <f>D570/(VLOOKUP(B570,'[1]2022 Team'!$B$2:$G$33,3,FALSE))</f>
        <v>0</v>
      </c>
    </row>
    <row r="571" spans="1:9" x14ac:dyDescent="0.25">
      <c r="A571" s="5" t="s">
        <v>665</v>
      </c>
      <c r="B571" s="5" t="s">
        <v>54</v>
      </c>
      <c r="C571" s="5" t="s">
        <v>163</v>
      </c>
      <c r="D571" s="5">
        <v>0</v>
      </c>
      <c r="E571" s="5">
        <v>0</v>
      </c>
      <c r="F571" s="5">
        <v>0</v>
      </c>
      <c r="G571" s="6" t="e">
        <f t="shared" si="9"/>
        <v>#DIV/0!</v>
      </c>
      <c r="H571" s="5"/>
      <c r="I571" s="6">
        <f>D571/(VLOOKUP(B571,'[1]2022 Team'!$B$2:$G$33,3,FALSE))</f>
        <v>0</v>
      </c>
    </row>
    <row r="572" spans="1:9" x14ac:dyDescent="0.25">
      <c r="A572" s="5" t="s">
        <v>797</v>
      </c>
      <c r="B572" s="5" t="s">
        <v>46</v>
      </c>
      <c r="C572" s="5" t="s">
        <v>163</v>
      </c>
      <c r="D572" s="5">
        <v>0</v>
      </c>
      <c r="E572" s="5">
        <v>0</v>
      </c>
      <c r="F572" s="5">
        <v>0</v>
      </c>
      <c r="G572" s="6" t="e">
        <f t="shared" si="9"/>
        <v>#DIV/0!</v>
      </c>
      <c r="H572" s="5"/>
      <c r="I572" s="6">
        <f>D572/(VLOOKUP(B572,'[1]2022 Team'!$B$2:$G$33,3,FALSE))</f>
        <v>0</v>
      </c>
    </row>
    <row r="573" spans="1:9" x14ac:dyDescent="0.25">
      <c r="A573" s="5" t="s">
        <v>809</v>
      </c>
      <c r="B573" s="5" t="s">
        <v>54</v>
      </c>
      <c r="C573" s="5" t="s">
        <v>163</v>
      </c>
      <c r="D573" s="5">
        <v>0</v>
      </c>
      <c r="E573" s="5">
        <v>0</v>
      </c>
      <c r="F573" s="5">
        <v>0</v>
      </c>
      <c r="G573" s="6" t="e">
        <f t="shared" si="9"/>
        <v>#DIV/0!</v>
      </c>
      <c r="H573" s="5"/>
      <c r="I573" s="6">
        <f>D573/(VLOOKUP(B573,'[1]2022 Team'!$B$2:$G$33,3,FALSE))</f>
        <v>0</v>
      </c>
    </row>
    <row r="574" spans="1:9" x14ac:dyDescent="0.25">
      <c r="A574" s="5" t="s">
        <v>2518</v>
      </c>
      <c r="B574" s="5" t="s">
        <v>70</v>
      </c>
      <c r="C574" s="5" t="s">
        <v>163</v>
      </c>
      <c r="D574" s="5">
        <v>0</v>
      </c>
      <c r="E574" s="5">
        <v>0</v>
      </c>
      <c r="F574" s="5">
        <v>0</v>
      </c>
      <c r="G574" s="6" t="e">
        <f t="shared" si="9"/>
        <v>#DIV/0!</v>
      </c>
      <c r="H574" s="5"/>
      <c r="I574" s="6">
        <f>D574/(VLOOKUP(B574,'[1]2022 Team'!$B$2:$G$33,3,FALSE))</f>
        <v>0</v>
      </c>
    </row>
    <row r="575" spans="1:9" x14ac:dyDescent="0.25">
      <c r="A575" s="5" t="s">
        <v>976</v>
      </c>
      <c r="B575" s="5" t="s">
        <v>54</v>
      </c>
      <c r="C575" s="5" t="s">
        <v>163</v>
      </c>
      <c r="D575" s="5">
        <v>0</v>
      </c>
      <c r="E575" s="5">
        <v>0</v>
      </c>
      <c r="F575" s="5">
        <v>0</v>
      </c>
      <c r="G575" s="6" t="e">
        <f t="shared" si="9"/>
        <v>#DIV/0!</v>
      </c>
      <c r="H575" s="5"/>
      <c r="I575" s="6">
        <f>D575/(VLOOKUP(B575,'[1]2022 Team'!$B$2:$G$33,3,FALSE))</f>
        <v>0</v>
      </c>
    </row>
    <row r="576" spans="1:9" x14ac:dyDescent="0.25">
      <c r="A576" s="5" t="s">
        <v>984</v>
      </c>
      <c r="B576" s="5" t="s">
        <v>42</v>
      </c>
      <c r="C576" s="5" t="s">
        <v>153</v>
      </c>
      <c r="D576" s="5">
        <v>0</v>
      </c>
      <c r="E576" s="5">
        <v>0</v>
      </c>
      <c r="F576" s="5">
        <v>0</v>
      </c>
      <c r="G576" s="6" t="e">
        <f t="shared" si="9"/>
        <v>#DIV/0!</v>
      </c>
      <c r="H576" s="5"/>
      <c r="I576" s="6">
        <f>D576/(VLOOKUP(B576,'[1]2022 Team'!$B$2:$G$33,3,FALSE))</f>
        <v>0</v>
      </c>
    </row>
    <row r="577" spans="1:9" x14ac:dyDescent="0.25">
      <c r="A577" s="5" t="s">
        <v>996</v>
      </c>
      <c r="B577" s="5" t="s">
        <v>58</v>
      </c>
      <c r="C577" s="5" t="s">
        <v>163</v>
      </c>
      <c r="D577" s="5">
        <v>0</v>
      </c>
      <c r="E577" s="5">
        <v>0</v>
      </c>
      <c r="F577" s="5">
        <v>0</v>
      </c>
      <c r="G577" s="6" t="e">
        <f t="shared" si="9"/>
        <v>#DIV/0!</v>
      </c>
      <c r="H577" s="5"/>
      <c r="I577" s="6">
        <f>D577/(VLOOKUP(B577,'[1]2022 Team'!$B$2:$G$33,3,FALSE))</f>
        <v>0</v>
      </c>
    </row>
    <row r="578" spans="1:9" x14ac:dyDescent="0.25">
      <c r="A578" s="5" t="s">
        <v>1844</v>
      </c>
      <c r="B578" s="5" t="s">
        <v>48</v>
      </c>
      <c r="C578" s="5" t="s">
        <v>153</v>
      </c>
      <c r="D578" s="5">
        <v>0</v>
      </c>
      <c r="E578" s="5">
        <v>0</v>
      </c>
      <c r="F578" s="5">
        <v>0</v>
      </c>
      <c r="G578" s="6" t="e">
        <f t="shared" si="9"/>
        <v>#DIV/0!</v>
      </c>
      <c r="H578" s="5"/>
      <c r="I578" s="6">
        <f>D578/(VLOOKUP(B578,'[1]2022 Team'!$B$2:$G$33,3,FALSE))</f>
        <v>0</v>
      </c>
    </row>
    <row r="579" spans="1:9" x14ac:dyDescent="0.25">
      <c r="A579" s="5" t="s">
        <v>2519</v>
      </c>
      <c r="B579" s="5" t="s">
        <v>56</v>
      </c>
      <c r="C579" s="5" t="s">
        <v>163</v>
      </c>
      <c r="D579" s="5">
        <v>0</v>
      </c>
      <c r="E579" s="5">
        <v>0</v>
      </c>
      <c r="F579" s="5">
        <v>0</v>
      </c>
      <c r="G579" s="6" t="e">
        <f t="shared" si="9"/>
        <v>#DIV/0!</v>
      </c>
      <c r="H579" s="5"/>
      <c r="I579" s="6">
        <f>D579/(VLOOKUP(B579,'[1]2022 Team'!$B$2:$G$33,3,FALSE))</f>
        <v>0</v>
      </c>
    </row>
    <row r="580" spans="1:9" x14ac:dyDescent="0.25">
      <c r="A580" s="5" t="s">
        <v>2520</v>
      </c>
      <c r="B580" s="5" t="s">
        <v>16</v>
      </c>
      <c r="C580" s="5" t="s">
        <v>163</v>
      </c>
      <c r="D580" s="5">
        <v>0</v>
      </c>
      <c r="E580" s="5">
        <v>0</v>
      </c>
      <c r="F580" s="5">
        <v>0</v>
      </c>
      <c r="G580" s="6" t="e">
        <f t="shared" si="9"/>
        <v>#DIV/0!</v>
      </c>
      <c r="H580" s="5"/>
      <c r="I580" s="6">
        <f>D580/(VLOOKUP(B580,'[1]2022 Team'!$B$2:$G$33,3,FALSE))</f>
        <v>0</v>
      </c>
    </row>
    <row r="581" spans="1:9" x14ac:dyDescent="0.25">
      <c r="A581" s="5" t="s">
        <v>2521</v>
      </c>
      <c r="B581" s="5" t="s">
        <v>52</v>
      </c>
      <c r="C581" s="5" t="s">
        <v>163</v>
      </c>
      <c r="D581" s="5">
        <v>0</v>
      </c>
      <c r="E581" s="5">
        <v>0</v>
      </c>
      <c r="F581" s="5">
        <v>0</v>
      </c>
      <c r="G581" s="6" t="e">
        <f t="shared" si="9"/>
        <v>#DIV/0!</v>
      </c>
      <c r="H581" s="5"/>
      <c r="I581" s="6">
        <f>D581/(VLOOKUP(B581,'[1]2022 Team'!$B$2:$G$33,3,FALSE))</f>
        <v>0</v>
      </c>
    </row>
    <row r="582" spans="1:9" x14ac:dyDescent="0.25">
      <c r="A582" s="5" t="s">
        <v>912</v>
      </c>
      <c r="B582" s="5" t="s">
        <v>38</v>
      </c>
      <c r="C582" s="5" t="s">
        <v>163</v>
      </c>
      <c r="D582" s="5">
        <v>0</v>
      </c>
      <c r="E582" s="5">
        <v>0</v>
      </c>
      <c r="F582" s="5">
        <v>0</v>
      </c>
      <c r="G582" s="6" t="e">
        <f t="shared" si="9"/>
        <v>#DIV/0!</v>
      </c>
      <c r="H582" s="5"/>
      <c r="I582" s="6">
        <f>D582/(VLOOKUP(B582,'[1]2022 Team'!$B$2:$G$33,3,FALSE))</f>
        <v>0</v>
      </c>
    </row>
    <row r="583" spans="1:9" x14ac:dyDescent="0.25">
      <c r="A583" s="5" t="s">
        <v>960</v>
      </c>
      <c r="B583" s="5" t="s">
        <v>58</v>
      </c>
      <c r="C583" s="5" t="s">
        <v>153</v>
      </c>
      <c r="D583" s="5">
        <v>0</v>
      </c>
      <c r="E583" s="5">
        <v>0</v>
      </c>
      <c r="F583" s="5">
        <v>0</v>
      </c>
      <c r="G583" s="6" t="e">
        <f t="shared" si="9"/>
        <v>#DIV/0!</v>
      </c>
      <c r="H583" s="5"/>
      <c r="I583" s="6">
        <f>D583/(VLOOKUP(B583,'[1]2022 Team'!$B$2:$G$33,3,FALSE))</f>
        <v>0</v>
      </c>
    </row>
    <row r="584" spans="1:9" x14ac:dyDescent="0.25">
      <c r="A584" s="5" t="s">
        <v>1848</v>
      </c>
      <c r="B584" s="5" t="s">
        <v>34</v>
      </c>
      <c r="C584" s="5" t="s">
        <v>163</v>
      </c>
      <c r="D584" s="5">
        <v>0</v>
      </c>
      <c r="E584" s="5">
        <v>0</v>
      </c>
      <c r="F584" s="5">
        <v>0</v>
      </c>
      <c r="G584" s="6" t="e">
        <f t="shared" si="9"/>
        <v>#DIV/0!</v>
      </c>
      <c r="H584" s="5"/>
      <c r="I584" s="6">
        <f>D584/(VLOOKUP(B584,'[1]2022 Team'!$B$2:$G$33,3,FALSE))</f>
        <v>0</v>
      </c>
    </row>
    <row r="585" spans="1:9" x14ac:dyDescent="0.25">
      <c r="A585" s="5" t="s">
        <v>1850</v>
      </c>
      <c r="B585" s="5" t="s">
        <v>16</v>
      </c>
      <c r="C585" s="5" t="s">
        <v>153</v>
      </c>
      <c r="D585" s="5">
        <v>0</v>
      </c>
      <c r="E585" s="5">
        <v>0</v>
      </c>
      <c r="F585" s="5">
        <v>0</v>
      </c>
      <c r="G585" s="6" t="e">
        <f t="shared" si="9"/>
        <v>#DIV/0!</v>
      </c>
      <c r="H585" s="5"/>
      <c r="I585" s="6">
        <f>D585/(VLOOKUP(B585,'[1]2022 Team'!$B$2:$G$33,3,FALSE))</f>
        <v>0</v>
      </c>
    </row>
    <row r="586" spans="1:9" x14ac:dyDescent="0.25">
      <c r="A586" s="5" t="s">
        <v>1851</v>
      </c>
      <c r="B586" s="5" t="s">
        <v>68</v>
      </c>
      <c r="C586" s="5" t="s">
        <v>153</v>
      </c>
      <c r="D586" s="5">
        <v>0</v>
      </c>
      <c r="E586" s="5">
        <v>0</v>
      </c>
      <c r="F586" s="5">
        <v>0</v>
      </c>
      <c r="G586" s="6" t="e">
        <f t="shared" si="9"/>
        <v>#DIV/0!</v>
      </c>
      <c r="H586" s="5"/>
      <c r="I586" s="6">
        <f>D586/(VLOOKUP(B586,'[1]2022 Team'!$B$2:$G$33,3,FALSE))</f>
        <v>0</v>
      </c>
    </row>
    <row r="587" spans="1:9" x14ac:dyDescent="0.25">
      <c r="A587" s="5" t="s">
        <v>2522</v>
      </c>
      <c r="B587" s="5" t="s">
        <v>26</v>
      </c>
      <c r="C587" s="5" t="s">
        <v>163</v>
      </c>
      <c r="D587" s="5">
        <v>0</v>
      </c>
      <c r="E587" s="5">
        <v>0</v>
      </c>
      <c r="F587" s="5">
        <v>0</v>
      </c>
      <c r="G587" s="6" t="e">
        <f t="shared" si="9"/>
        <v>#DIV/0!</v>
      </c>
      <c r="H587" s="5"/>
      <c r="I587" s="6">
        <f>D587/(VLOOKUP(B587,'[1]2022 Team'!$B$2:$G$33,3,FALSE))</f>
        <v>0</v>
      </c>
    </row>
    <row r="588" spans="1:9" x14ac:dyDescent="0.25">
      <c r="A588" s="5" t="s">
        <v>2523</v>
      </c>
      <c r="B588" s="5" t="s">
        <v>14</v>
      </c>
      <c r="C588" s="5" t="s">
        <v>153</v>
      </c>
      <c r="D588" s="5">
        <v>0</v>
      </c>
      <c r="E588" s="5">
        <v>0</v>
      </c>
      <c r="F588" s="5">
        <v>0</v>
      </c>
      <c r="G588" s="6" t="e">
        <f t="shared" si="9"/>
        <v>#DIV/0!</v>
      </c>
      <c r="H588" s="5"/>
      <c r="I588" s="6">
        <f>D588/(VLOOKUP(B588,'[1]2022 Team'!$B$2:$G$33,3,FALSE))</f>
        <v>0</v>
      </c>
    </row>
    <row r="589" spans="1:9" x14ac:dyDescent="0.25">
      <c r="A589" s="5" t="s">
        <v>939</v>
      </c>
      <c r="B589" s="5" t="s">
        <v>16</v>
      </c>
      <c r="C589" s="5" t="s">
        <v>153</v>
      </c>
      <c r="D589" s="5">
        <v>0</v>
      </c>
      <c r="E589" s="5">
        <v>0</v>
      </c>
      <c r="F589" s="5">
        <v>0</v>
      </c>
      <c r="G589" s="6" t="e">
        <f t="shared" si="9"/>
        <v>#DIV/0!</v>
      </c>
      <c r="H589" s="5"/>
      <c r="I589" s="6">
        <f>D589/(VLOOKUP(B589,'[1]2022 Team'!$B$2:$G$33,3,FALSE))</f>
        <v>0</v>
      </c>
    </row>
    <row r="590" spans="1:9" x14ac:dyDescent="0.25">
      <c r="A590" s="5" t="s">
        <v>1763</v>
      </c>
      <c r="B590" s="5" t="s">
        <v>70</v>
      </c>
      <c r="C590" s="5" t="s">
        <v>153</v>
      </c>
      <c r="D590" s="5">
        <v>0</v>
      </c>
      <c r="E590" s="5">
        <v>0</v>
      </c>
      <c r="F590" s="5">
        <v>0</v>
      </c>
      <c r="G590" s="6" t="e">
        <f t="shared" si="9"/>
        <v>#DIV/0!</v>
      </c>
      <c r="H590" s="5"/>
      <c r="I590" s="6">
        <f>D590/(VLOOKUP(B590,'[1]2022 Team'!$B$2:$G$33,3,FALSE))</f>
        <v>0</v>
      </c>
    </row>
    <row r="591" spans="1:9" x14ac:dyDescent="0.25">
      <c r="A591" s="5" t="s">
        <v>1853</v>
      </c>
      <c r="B591" s="5" t="s">
        <v>52</v>
      </c>
      <c r="C591" s="5" t="s">
        <v>163</v>
      </c>
      <c r="D591" s="5">
        <v>0</v>
      </c>
      <c r="E591" s="5">
        <v>0</v>
      </c>
      <c r="F591" s="5">
        <v>0</v>
      </c>
      <c r="G591" s="6" t="e">
        <f t="shared" si="9"/>
        <v>#DIV/0!</v>
      </c>
      <c r="H591" s="5"/>
      <c r="I591" s="6">
        <f>D591/(VLOOKUP(B591,'[1]2022 Team'!$B$2:$G$33,3,FALSE))</f>
        <v>0</v>
      </c>
    </row>
    <row r="592" spans="1:9" x14ac:dyDescent="0.25">
      <c r="A592" s="5" t="s">
        <v>2524</v>
      </c>
      <c r="B592" s="5" t="s">
        <v>20</v>
      </c>
      <c r="C592" s="5" t="s">
        <v>163</v>
      </c>
      <c r="D592" s="5">
        <v>0</v>
      </c>
      <c r="E592" s="5">
        <v>0</v>
      </c>
      <c r="F592" s="5">
        <v>0</v>
      </c>
      <c r="G592" s="6" t="e">
        <f t="shared" si="9"/>
        <v>#DIV/0!</v>
      </c>
      <c r="H592" s="5"/>
      <c r="I592" s="6">
        <f>D592/(VLOOKUP(B592,'[1]2022 Team'!$B$2:$G$33,3,FALSE))</f>
        <v>0</v>
      </c>
    </row>
    <row r="593" spans="1:9" x14ac:dyDescent="0.25">
      <c r="A593" s="5" t="s">
        <v>2525</v>
      </c>
      <c r="B593" s="5" t="s">
        <v>58</v>
      </c>
      <c r="C593" s="5" t="s">
        <v>153</v>
      </c>
      <c r="D593" s="5">
        <v>0</v>
      </c>
      <c r="E593" s="5">
        <v>0</v>
      </c>
      <c r="F593" s="5">
        <v>0</v>
      </c>
      <c r="G593" s="6" t="e">
        <f t="shared" si="9"/>
        <v>#DIV/0!</v>
      </c>
      <c r="H593" s="5"/>
      <c r="I593" s="6">
        <f>D593/(VLOOKUP(B593,'[1]2022 Team'!$B$2:$G$33,3,FALSE))</f>
        <v>0</v>
      </c>
    </row>
    <row r="594" spans="1:9" x14ac:dyDescent="0.25">
      <c r="A594" s="5" t="s">
        <v>862</v>
      </c>
      <c r="B594" s="5" t="s">
        <v>24</v>
      </c>
      <c r="C594" s="5" t="s">
        <v>163</v>
      </c>
      <c r="D594" s="5">
        <v>0</v>
      </c>
      <c r="E594" s="5">
        <v>0</v>
      </c>
      <c r="F594" s="5">
        <v>0</v>
      </c>
      <c r="G594" s="6" t="e">
        <f t="shared" si="9"/>
        <v>#DIV/0!</v>
      </c>
      <c r="H594" s="5"/>
      <c r="I594" s="6">
        <f>D594/(VLOOKUP(B594,'[1]2022 Team'!$B$2:$G$33,3,FALSE))</f>
        <v>0</v>
      </c>
    </row>
    <row r="595" spans="1:9" x14ac:dyDescent="0.25">
      <c r="A595" s="5" t="s">
        <v>2212</v>
      </c>
      <c r="B595" s="5" t="s">
        <v>26</v>
      </c>
      <c r="C595" s="5" t="s">
        <v>153</v>
      </c>
      <c r="D595" s="5">
        <v>0</v>
      </c>
      <c r="E595" s="5">
        <v>0</v>
      </c>
      <c r="F595" s="5">
        <v>0</v>
      </c>
      <c r="G595" s="6" t="e">
        <f t="shared" si="9"/>
        <v>#DIV/0!</v>
      </c>
      <c r="H595" s="5"/>
      <c r="I595" s="6">
        <f>D595/(VLOOKUP(B595,'[1]2022 Team'!$B$2:$G$33,3,FALSE))</f>
        <v>0</v>
      </c>
    </row>
    <row r="596" spans="1:9" x14ac:dyDescent="0.25">
      <c r="A596" s="5" t="s">
        <v>1018</v>
      </c>
      <c r="B596" s="5" t="s">
        <v>18</v>
      </c>
      <c r="C596" s="5" t="s">
        <v>153</v>
      </c>
      <c r="D596" s="5">
        <v>0</v>
      </c>
      <c r="E596" s="5">
        <v>0</v>
      </c>
      <c r="F596" s="5">
        <v>0</v>
      </c>
      <c r="G596" s="6" t="e">
        <f t="shared" si="9"/>
        <v>#DIV/0!</v>
      </c>
      <c r="H596" s="5"/>
      <c r="I596" s="6">
        <f>D596/(VLOOKUP(B596,'[1]2022 Team'!$B$2:$G$33,3,FALSE))</f>
        <v>0</v>
      </c>
    </row>
    <row r="597" spans="1:9" x14ac:dyDescent="0.25">
      <c r="A597" s="5" t="s">
        <v>914</v>
      </c>
      <c r="B597" s="5" t="s">
        <v>30</v>
      </c>
      <c r="C597" s="5" t="s">
        <v>153</v>
      </c>
      <c r="D597" s="5">
        <v>0</v>
      </c>
      <c r="E597" s="5">
        <v>0</v>
      </c>
      <c r="F597" s="5">
        <v>0</v>
      </c>
      <c r="G597" s="6" t="e">
        <f t="shared" si="9"/>
        <v>#DIV/0!</v>
      </c>
      <c r="H597" s="5"/>
      <c r="I597" s="6">
        <f>D597/(VLOOKUP(B597,'[1]2022 Team'!$B$2:$G$33,3,FALSE))</f>
        <v>0</v>
      </c>
    </row>
    <row r="598" spans="1:9" x14ac:dyDescent="0.25">
      <c r="A598" s="5" t="s">
        <v>961</v>
      </c>
      <c r="B598" s="5" t="s">
        <v>30</v>
      </c>
      <c r="C598" s="5" t="s">
        <v>163</v>
      </c>
      <c r="D598" s="5">
        <v>0</v>
      </c>
      <c r="E598" s="5">
        <v>0</v>
      </c>
      <c r="F598" s="5">
        <v>0</v>
      </c>
      <c r="G598" s="6" t="e">
        <f t="shared" si="9"/>
        <v>#DIV/0!</v>
      </c>
      <c r="H598" s="5"/>
      <c r="I598" s="6">
        <f>D598/(VLOOKUP(B598,'[1]2022 Team'!$B$2:$G$33,3,FALSE))</f>
        <v>0</v>
      </c>
    </row>
    <row r="599" spans="1:9" x14ac:dyDescent="0.25">
      <c r="A599" s="5" t="s">
        <v>906</v>
      </c>
      <c r="B599" s="5" t="s">
        <v>44</v>
      </c>
      <c r="C599" s="5" t="s">
        <v>163</v>
      </c>
      <c r="D599" s="5">
        <v>0</v>
      </c>
      <c r="E599" s="5">
        <v>0</v>
      </c>
      <c r="F599" s="5">
        <v>0</v>
      </c>
      <c r="G599" s="6" t="e">
        <f t="shared" si="9"/>
        <v>#DIV/0!</v>
      </c>
      <c r="H599" s="5"/>
      <c r="I599" s="6">
        <f>D599/(VLOOKUP(B599,'[1]2022 Team'!$B$2:$G$33,3,FALSE))</f>
        <v>0</v>
      </c>
    </row>
    <row r="600" spans="1:9" x14ac:dyDescent="0.25">
      <c r="A600" s="5" t="s">
        <v>869</v>
      </c>
      <c r="B600" s="5" t="s">
        <v>52</v>
      </c>
      <c r="C600" s="5" t="s">
        <v>153</v>
      </c>
      <c r="D600" s="5">
        <v>0</v>
      </c>
      <c r="E600" s="5">
        <v>0</v>
      </c>
      <c r="F600" s="5">
        <v>0</v>
      </c>
      <c r="G600" s="6" t="e">
        <f t="shared" si="9"/>
        <v>#DIV/0!</v>
      </c>
      <c r="H600" s="5"/>
      <c r="I600" s="6">
        <f>D600/(VLOOKUP(B600,'[1]2022 Team'!$B$2:$G$33,3,FALSE))</f>
        <v>0</v>
      </c>
    </row>
    <row r="601" spans="1:9" x14ac:dyDescent="0.25">
      <c r="A601" s="5" t="s">
        <v>1855</v>
      </c>
      <c r="B601" s="5" t="s">
        <v>64</v>
      </c>
      <c r="C601" s="5" t="s">
        <v>163</v>
      </c>
      <c r="D601" s="5">
        <v>0</v>
      </c>
      <c r="E601" s="5">
        <v>0</v>
      </c>
      <c r="F601" s="5">
        <v>0</v>
      </c>
      <c r="G601" s="6" t="e">
        <f t="shared" si="9"/>
        <v>#DIV/0!</v>
      </c>
      <c r="H601" s="5"/>
      <c r="I601" s="6">
        <f>D601/(VLOOKUP(B601,'[1]2022 Team'!$B$2:$G$33,3,FALSE))</f>
        <v>0</v>
      </c>
    </row>
    <row r="602" spans="1:9" x14ac:dyDescent="0.25">
      <c r="A602" s="5" t="s">
        <v>836</v>
      </c>
      <c r="B602" s="5" t="s">
        <v>16</v>
      </c>
      <c r="C602" s="5" t="s">
        <v>153</v>
      </c>
      <c r="D602" s="5">
        <v>0</v>
      </c>
      <c r="E602" s="5">
        <v>0</v>
      </c>
      <c r="F602" s="5">
        <v>0</v>
      </c>
      <c r="G602" s="6" t="e">
        <f t="shared" si="9"/>
        <v>#DIV/0!</v>
      </c>
      <c r="H602" s="5"/>
      <c r="I602" s="6">
        <f>D602/(VLOOKUP(B602,'[1]2022 Team'!$B$2:$G$33,3,FALSE))</f>
        <v>0</v>
      </c>
    </row>
    <row r="603" spans="1:9" x14ac:dyDescent="0.25">
      <c r="A603" s="5" t="s">
        <v>1856</v>
      </c>
      <c r="B603" s="5" t="s">
        <v>70</v>
      </c>
      <c r="C603" s="5" t="s">
        <v>153</v>
      </c>
      <c r="D603" s="5">
        <v>0</v>
      </c>
      <c r="E603" s="5">
        <v>0</v>
      </c>
      <c r="F603" s="5">
        <v>0</v>
      </c>
      <c r="G603" s="6" t="e">
        <f t="shared" si="9"/>
        <v>#DIV/0!</v>
      </c>
      <c r="H603" s="5"/>
      <c r="I603" s="6">
        <f>D603/(VLOOKUP(B603,'[1]2022 Team'!$B$2:$G$33,3,FALSE))</f>
        <v>0</v>
      </c>
    </row>
    <row r="604" spans="1:9" x14ac:dyDescent="0.25">
      <c r="A604" s="5" t="s">
        <v>1857</v>
      </c>
      <c r="B604" s="5" t="s">
        <v>56</v>
      </c>
      <c r="C604" s="5" t="s">
        <v>153</v>
      </c>
      <c r="D604" s="5">
        <v>0</v>
      </c>
      <c r="E604" s="5">
        <v>0</v>
      </c>
      <c r="F604" s="5">
        <v>0</v>
      </c>
      <c r="G604" s="6" t="e">
        <f t="shared" si="9"/>
        <v>#DIV/0!</v>
      </c>
      <c r="H604" s="5"/>
      <c r="I604" s="6">
        <f>D604/(VLOOKUP(B604,'[1]2022 Team'!$B$2:$G$33,3,FALSE))</f>
        <v>0</v>
      </c>
    </row>
    <row r="605" spans="1:9" x14ac:dyDescent="0.25">
      <c r="A605" s="5" t="s">
        <v>1859</v>
      </c>
      <c r="B605" s="5" t="s">
        <v>52</v>
      </c>
      <c r="C605" s="5" t="s">
        <v>153</v>
      </c>
      <c r="D605" s="5">
        <v>0</v>
      </c>
      <c r="E605" s="5">
        <v>0</v>
      </c>
      <c r="F605" s="5">
        <v>0</v>
      </c>
      <c r="G605" s="6" t="e">
        <f t="shared" si="9"/>
        <v>#DIV/0!</v>
      </c>
      <c r="H605" s="5"/>
      <c r="I605" s="6">
        <f>D605/(VLOOKUP(B605,'[1]2022 Team'!$B$2:$G$33,3,FALSE))</f>
        <v>0</v>
      </c>
    </row>
    <row r="606" spans="1:9" x14ac:dyDescent="0.25">
      <c r="A606" s="5" t="s">
        <v>1859</v>
      </c>
      <c r="B606" s="5" t="s">
        <v>54</v>
      </c>
      <c r="C606" s="5" t="s">
        <v>153</v>
      </c>
      <c r="D606" s="5">
        <v>0</v>
      </c>
      <c r="E606" s="5">
        <v>0</v>
      </c>
      <c r="F606" s="5">
        <v>0</v>
      </c>
      <c r="G606" s="6" t="e">
        <f t="shared" si="9"/>
        <v>#DIV/0!</v>
      </c>
      <c r="H606" s="5"/>
      <c r="I606" s="6">
        <f>D606/(VLOOKUP(B606,'[1]2022 Team'!$B$2:$G$33,3,FALSE))</f>
        <v>0</v>
      </c>
    </row>
    <row r="607" spans="1:9" x14ac:dyDescent="0.25">
      <c r="A607" s="5" t="s">
        <v>2526</v>
      </c>
      <c r="B607" s="5" t="s">
        <v>26</v>
      </c>
      <c r="C607" s="5" t="s">
        <v>163</v>
      </c>
      <c r="D607" s="5">
        <v>0</v>
      </c>
      <c r="E607" s="5">
        <v>0</v>
      </c>
      <c r="F607" s="5">
        <v>0</v>
      </c>
      <c r="G607" s="6" t="e">
        <f t="shared" si="9"/>
        <v>#DIV/0!</v>
      </c>
      <c r="H607" s="5"/>
      <c r="I607" s="6">
        <f>D607/(VLOOKUP(B607,'[1]2022 Team'!$B$2:$G$33,3,FALSE))</f>
        <v>0</v>
      </c>
    </row>
    <row r="608" spans="1:9" x14ac:dyDescent="0.25">
      <c r="A608" s="5" t="s">
        <v>818</v>
      </c>
      <c r="B608" s="5" t="s">
        <v>12</v>
      </c>
      <c r="C608" s="5" t="s">
        <v>163</v>
      </c>
      <c r="D608" s="5">
        <v>0</v>
      </c>
      <c r="E608" s="5">
        <v>0</v>
      </c>
      <c r="F608" s="5">
        <v>0</v>
      </c>
      <c r="G608" s="6" t="e">
        <f t="shared" si="9"/>
        <v>#DIV/0!</v>
      </c>
      <c r="H608" s="5"/>
      <c r="I608" s="6">
        <f>D608/(VLOOKUP(B608,'[1]2022 Team'!$B$2:$G$33,3,FALSE))</f>
        <v>0</v>
      </c>
    </row>
    <row r="609" spans="1:9" x14ac:dyDescent="0.25">
      <c r="A609" s="5" t="s">
        <v>736</v>
      </c>
      <c r="B609" s="5" t="s">
        <v>40</v>
      </c>
      <c r="C609" s="5" t="s">
        <v>153</v>
      </c>
      <c r="D609" s="5">
        <v>0</v>
      </c>
      <c r="E609" s="5">
        <v>0</v>
      </c>
      <c r="F609" s="5">
        <v>0</v>
      </c>
      <c r="G609" s="6" t="e">
        <f t="shared" si="9"/>
        <v>#DIV/0!</v>
      </c>
      <c r="H609" s="5"/>
      <c r="I609" s="6">
        <f>D609/(VLOOKUP(B609,'[1]2022 Team'!$B$2:$G$33,3,FALSE))</f>
        <v>0</v>
      </c>
    </row>
    <row r="610" spans="1:9" x14ac:dyDescent="0.25">
      <c r="A610" s="5" t="s">
        <v>2527</v>
      </c>
      <c r="B610" s="5" t="s">
        <v>24</v>
      </c>
      <c r="C610" s="5" t="s">
        <v>163</v>
      </c>
      <c r="D610" s="5">
        <v>0</v>
      </c>
      <c r="E610" s="5">
        <v>0</v>
      </c>
      <c r="F610" s="5">
        <v>0</v>
      </c>
      <c r="G610" s="6" t="e">
        <f t="shared" si="9"/>
        <v>#DIV/0!</v>
      </c>
      <c r="H610" s="5"/>
      <c r="I610" s="6">
        <f>D610/(VLOOKUP(B610,'[1]2022 Team'!$B$2:$G$33,3,FALSE))</f>
        <v>0</v>
      </c>
    </row>
    <row r="611" spans="1:9" x14ac:dyDescent="0.25">
      <c r="A611" s="5" t="s">
        <v>2528</v>
      </c>
      <c r="B611" s="5" t="s">
        <v>30</v>
      </c>
      <c r="C611" s="5" t="s">
        <v>163</v>
      </c>
      <c r="D611" s="5">
        <v>0</v>
      </c>
      <c r="E611" s="5">
        <v>0</v>
      </c>
      <c r="F611" s="5">
        <v>0</v>
      </c>
      <c r="G611" s="6" t="e">
        <f t="shared" si="9"/>
        <v>#DIV/0!</v>
      </c>
      <c r="H611" s="5"/>
      <c r="I611" s="6">
        <f>D611/(VLOOKUP(B611,'[1]2022 Team'!$B$2:$G$33,3,FALSE))</f>
        <v>0</v>
      </c>
    </row>
    <row r="612" spans="1:9" x14ac:dyDescent="0.25">
      <c r="A612" s="5" t="s">
        <v>2528</v>
      </c>
      <c r="B612" s="5" t="s">
        <v>12</v>
      </c>
      <c r="C612" s="5" t="s">
        <v>163</v>
      </c>
      <c r="D612" s="5">
        <v>0</v>
      </c>
      <c r="E612" s="5">
        <v>0</v>
      </c>
      <c r="F612" s="5">
        <v>0</v>
      </c>
      <c r="G612" s="6" t="e">
        <f t="shared" si="9"/>
        <v>#DIV/0!</v>
      </c>
      <c r="H612" s="5"/>
      <c r="I612" s="6">
        <f>D612/(VLOOKUP(B612,'[1]2022 Team'!$B$2:$G$33,3,FALSE))</f>
        <v>0</v>
      </c>
    </row>
    <row r="613" spans="1:9" x14ac:dyDescent="0.25">
      <c r="A613" s="5" t="s">
        <v>890</v>
      </c>
      <c r="B613" s="5" t="s">
        <v>38</v>
      </c>
      <c r="C613" s="5" t="s">
        <v>163</v>
      </c>
      <c r="D613" s="5">
        <v>0</v>
      </c>
      <c r="E613" s="5">
        <v>0</v>
      </c>
      <c r="F613" s="5">
        <v>0</v>
      </c>
      <c r="G613" s="6" t="e">
        <f t="shared" si="9"/>
        <v>#DIV/0!</v>
      </c>
      <c r="H613" s="5"/>
      <c r="I613" s="6">
        <f>D613/(VLOOKUP(B613,'[1]2022 Team'!$B$2:$G$33,3,FALSE))</f>
        <v>0</v>
      </c>
    </row>
    <row r="614" spans="1:9" x14ac:dyDescent="0.25">
      <c r="A614" s="5" t="s">
        <v>2529</v>
      </c>
      <c r="B614" s="5" t="s">
        <v>18</v>
      </c>
      <c r="C614" s="5" t="s">
        <v>163</v>
      </c>
      <c r="D614" s="5">
        <v>0</v>
      </c>
      <c r="E614" s="5">
        <v>0</v>
      </c>
      <c r="F614" s="5">
        <v>0</v>
      </c>
      <c r="G614" s="6" t="e">
        <f t="shared" si="9"/>
        <v>#DIV/0!</v>
      </c>
      <c r="H614" s="5"/>
      <c r="I614" s="6">
        <f>D614/(VLOOKUP(B614,'[1]2022 Team'!$B$2:$G$33,3,FALSE))</f>
        <v>0</v>
      </c>
    </row>
    <row r="615" spans="1:9" x14ac:dyDescent="0.25">
      <c r="A615" s="5" t="s">
        <v>1862</v>
      </c>
      <c r="B615" s="5" t="s">
        <v>18</v>
      </c>
      <c r="C615" s="5" t="s">
        <v>153</v>
      </c>
      <c r="D615" s="5">
        <v>0</v>
      </c>
      <c r="E615" s="5">
        <v>0</v>
      </c>
      <c r="F615" s="5">
        <v>0</v>
      </c>
      <c r="G615" s="6" t="e">
        <f t="shared" si="9"/>
        <v>#DIV/0!</v>
      </c>
      <c r="H615" s="5"/>
      <c r="I615" s="6">
        <f>D615/(VLOOKUP(B615,'[1]2022 Team'!$B$2:$G$33,3,FALSE))</f>
        <v>0</v>
      </c>
    </row>
    <row r="616" spans="1:9" x14ac:dyDescent="0.25">
      <c r="A616" s="5" t="s">
        <v>947</v>
      </c>
      <c r="B616" s="5" t="s">
        <v>68</v>
      </c>
      <c r="C616" s="5" t="s">
        <v>163</v>
      </c>
      <c r="D616" s="5">
        <v>0</v>
      </c>
      <c r="E616" s="5">
        <v>0</v>
      </c>
      <c r="F616" s="5">
        <v>0</v>
      </c>
      <c r="G616" s="6" t="e">
        <f t="shared" si="9"/>
        <v>#DIV/0!</v>
      </c>
      <c r="H616" s="5"/>
      <c r="I616" s="6">
        <f>D616/(VLOOKUP(B616,'[1]2022 Team'!$B$2:$G$33,3,FALSE))</f>
        <v>0</v>
      </c>
    </row>
    <row r="617" spans="1:9" x14ac:dyDescent="0.25">
      <c r="A617" s="5" t="s">
        <v>1012</v>
      </c>
      <c r="B617" s="5" t="s">
        <v>60</v>
      </c>
      <c r="C617" s="5" t="s">
        <v>163</v>
      </c>
      <c r="D617" s="5">
        <v>0</v>
      </c>
      <c r="E617" s="5">
        <v>0</v>
      </c>
      <c r="F617" s="5">
        <v>0</v>
      </c>
      <c r="G617" s="6" t="e">
        <f t="shared" si="9"/>
        <v>#DIV/0!</v>
      </c>
      <c r="H617" s="5"/>
      <c r="I617" s="6">
        <f>D617/(VLOOKUP(B617,'[1]2022 Team'!$B$2:$G$33,3,FALSE))</f>
        <v>0</v>
      </c>
    </row>
    <row r="618" spans="1:9" x14ac:dyDescent="0.25">
      <c r="A618" s="5" t="s">
        <v>2530</v>
      </c>
      <c r="B618" s="5" t="s">
        <v>52</v>
      </c>
      <c r="C618" s="5" t="s">
        <v>163</v>
      </c>
      <c r="D618" s="5">
        <v>0</v>
      </c>
      <c r="E618" s="5">
        <v>0</v>
      </c>
      <c r="F618" s="5">
        <v>0</v>
      </c>
      <c r="G618" s="6" t="e">
        <f t="shared" si="9"/>
        <v>#DIV/0!</v>
      </c>
      <c r="H618" s="5"/>
      <c r="I618" s="6">
        <f>D618/(VLOOKUP(B618,'[1]2022 Team'!$B$2:$G$33,3,FALSE))</f>
        <v>0</v>
      </c>
    </row>
    <row r="619" spans="1:9" x14ac:dyDescent="0.25">
      <c r="A619" s="5" t="s">
        <v>1863</v>
      </c>
      <c r="B619" s="5" t="s">
        <v>20</v>
      </c>
      <c r="C619" s="5" t="s">
        <v>153</v>
      </c>
      <c r="D619" s="5">
        <v>0</v>
      </c>
      <c r="E619" s="5">
        <v>0</v>
      </c>
      <c r="F619" s="5">
        <v>0</v>
      </c>
      <c r="G619" s="6" t="e">
        <f t="shared" ref="G619:G629" si="10">F619/D619</f>
        <v>#DIV/0!</v>
      </c>
      <c r="H619" s="5"/>
      <c r="I619" s="6">
        <f>D619/(VLOOKUP(B619,'[1]2022 Team'!$B$2:$G$33,3,FALSE))</f>
        <v>0</v>
      </c>
    </row>
    <row r="620" spans="1:9" x14ac:dyDescent="0.25">
      <c r="A620" s="5" t="s">
        <v>2531</v>
      </c>
      <c r="B620" s="5" t="s">
        <v>8</v>
      </c>
      <c r="C620" s="5" t="s">
        <v>153</v>
      </c>
      <c r="D620" s="5">
        <v>0</v>
      </c>
      <c r="E620" s="5">
        <v>0</v>
      </c>
      <c r="F620" s="5">
        <v>0</v>
      </c>
      <c r="G620" s="6" t="e">
        <f t="shared" si="10"/>
        <v>#DIV/0!</v>
      </c>
      <c r="H620" s="5"/>
      <c r="I620" s="6">
        <f>D620/(VLOOKUP(B620,'[1]2022 Team'!$B$2:$G$33,3,FALSE))</f>
        <v>0</v>
      </c>
    </row>
    <row r="621" spans="1:9" x14ac:dyDescent="0.25">
      <c r="A621" s="5" t="s">
        <v>1767</v>
      </c>
      <c r="B621" s="5" t="s">
        <v>42</v>
      </c>
      <c r="C621" s="5" t="s">
        <v>163</v>
      </c>
      <c r="D621" s="5">
        <v>0</v>
      </c>
      <c r="E621" s="5">
        <v>0</v>
      </c>
      <c r="F621" s="5">
        <v>0</v>
      </c>
      <c r="G621" s="6" t="e">
        <f t="shared" si="10"/>
        <v>#DIV/0!</v>
      </c>
      <c r="H621" s="5"/>
      <c r="I621" s="6">
        <f>D621/(VLOOKUP(B621,'[1]2022 Team'!$B$2:$G$33,3,FALSE))</f>
        <v>0</v>
      </c>
    </row>
    <row r="622" spans="1:9" x14ac:dyDescent="0.25">
      <c r="A622" s="5" t="s">
        <v>2532</v>
      </c>
      <c r="B622" s="5" t="s">
        <v>8</v>
      </c>
      <c r="C622" s="5" t="s">
        <v>159</v>
      </c>
      <c r="D622" s="5">
        <v>0</v>
      </c>
      <c r="E622" s="5">
        <v>0</v>
      </c>
      <c r="F622" s="5">
        <v>0</v>
      </c>
      <c r="G622" s="6" t="e">
        <f t="shared" si="10"/>
        <v>#DIV/0!</v>
      </c>
      <c r="H622" s="5"/>
      <c r="I622" s="6">
        <f>D622/(VLOOKUP(B622,'[1]2022 Team'!$B$2:$G$33,3,FALSE))</f>
        <v>0</v>
      </c>
    </row>
    <row r="623" spans="1:9" x14ac:dyDescent="0.25">
      <c r="A623" s="5" t="s">
        <v>1865</v>
      </c>
      <c r="B623" s="5" t="s">
        <v>30</v>
      </c>
      <c r="C623" s="5" t="s">
        <v>163</v>
      </c>
      <c r="D623" s="5">
        <v>0</v>
      </c>
      <c r="E623" s="5">
        <v>0</v>
      </c>
      <c r="F623" s="5">
        <v>0</v>
      </c>
      <c r="G623" s="6" t="e">
        <f t="shared" si="10"/>
        <v>#DIV/0!</v>
      </c>
      <c r="H623" s="5"/>
      <c r="I623" s="6">
        <f>D623/(VLOOKUP(B623,'[1]2022 Team'!$B$2:$G$33,3,FALSE))</f>
        <v>0</v>
      </c>
    </row>
    <row r="624" spans="1:9" x14ac:dyDescent="0.25">
      <c r="A624" s="5" t="s">
        <v>811</v>
      </c>
      <c r="B624" s="5" t="s">
        <v>62</v>
      </c>
      <c r="C624" s="5" t="s">
        <v>153</v>
      </c>
      <c r="D624" s="5">
        <v>0</v>
      </c>
      <c r="E624" s="5">
        <v>0</v>
      </c>
      <c r="F624" s="5">
        <v>0</v>
      </c>
      <c r="G624" s="6" t="e">
        <f t="shared" si="10"/>
        <v>#DIV/0!</v>
      </c>
      <c r="H624" s="5"/>
      <c r="I624" s="6">
        <f>D624/(VLOOKUP(B624,'[1]2022 Team'!$B$2:$G$33,3,FALSE))</f>
        <v>0</v>
      </c>
    </row>
    <row r="625" spans="1:9" x14ac:dyDescent="0.25">
      <c r="A625" s="5" t="s">
        <v>987</v>
      </c>
      <c r="B625" s="5" t="s">
        <v>34</v>
      </c>
      <c r="C625" s="5" t="s">
        <v>153</v>
      </c>
      <c r="D625" s="5">
        <v>0</v>
      </c>
      <c r="E625" s="5">
        <v>0</v>
      </c>
      <c r="F625" s="5">
        <v>0</v>
      </c>
      <c r="G625" s="6" t="e">
        <f t="shared" si="10"/>
        <v>#DIV/0!</v>
      </c>
      <c r="H625" s="5"/>
      <c r="I625" s="6">
        <f>D625/(VLOOKUP(B625,'[1]2022 Team'!$B$2:$G$33,3,FALSE))</f>
        <v>0</v>
      </c>
    </row>
    <row r="626" spans="1:9" x14ac:dyDescent="0.25">
      <c r="A626" s="5" t="s">
        <v>1768</v>
      </c>
      <c r="B626" s="5" t="s">
        <v>68</v>
      </c>
      <c r="C626" s="5" t="s">
        <v>163</v>
      </c>
      <c r="D626" s="5">
        <v>0</v>
      </c>
      <c r="E626" s="5">
        <v>0</v>
      </c>
      <c r="F626" s="5">
        <v>0</v>
      </c>
      <c r="G626" s="6" t="e">
        <f t="shared" si="10"/>
        <v>#DIV/0!</v>
      </c>
      <c r="H626" s="5"/>
      <c r="I626" s="6">
        <f>D626/(VLOOKUP(B626,'[1]2022 Team'!$B$2:$G$33,3,FALSE))</f>
        <v>0</v>
      </c>
    </row>
    <row r="627" spans="1:9" x14ac:dyDescent="0.25">
      <c r="A627" s="5" t="s">
        <v>876</v>
      </c>
      <c r="B627" s="5" t="s">
        <v>28</v>
      </c>
      <c r="C627" s="5" t="s">
        <v>153</v>
      </c>
      <c r="D627" s="5">
        <v>0</v>
      </c>
      <c r="E627" s="5">
        <v>0</v>
      </c>
      <c r="F627" s="5">
        <v>0</v>
      </c>
      <c r="G627" s="6" t="e">
        <f t="shared" si="10"/>
        <v>#DIV/0!</v>
      </c>
      <c r="H627" s="5"/>
      <c r="I627" s="6">
        <f>D627/(VLOOKUP(B627,'[1]2022 Team'!$B$2:$G$33,3,FALSE))</f>
        <v>0</v>
      </c>
    </row>
    <row r="628" spans="1:9" x14ac:dyDescent="0.25">
      <c r="A628" s="5" t="s">
        <v>1013</v>
      </c>
      <c r="B628" s="5" t="s">
        <v>64</v>
      </c>
      <c r="C628" s="5" t="s">
        <v>163</v>
      </c>
      <c r="D628" s="5">
        <v>0</v>
      </c>
      <c r="E628" s="5">
        <v>0</v>
      </c>
      <c r="F628" s="5">
        <v>0</v>
      </c>
      <c r="G628" s="6" t="e">
        <f t="shared" si="10"/>
        <v>#DIV/0!</v>
      </c>
      <c r="H628" s="5"/>
      <c r="I628" s="6">
        <f>D628/(VLOOKUP(B628,'[1]2022 Team'!$B$2:$G$33,3,FALSE))</f>
        <v>0</v>
      </c>
    </row>
    <row r="629" spans="1:9" x14ac:dyDescent="0.25">
      <c r="A629" s="5" t="s">
        <v>877</v>
      </c>
      <c r="B629" s="5" t="s">
        <v>28</v>
      </c>
      <c r="C629" s="5" t="s">
        <v>153</v>
      </c>
      <c r="D629" s="5">
        <v>0</v>
      </c>
      <c r="E629" s="5">
        <v>0</v>
      </c>
      <c r="F629" s="5">
        <v>0</v>
      </c>
      <c r="G629" s="6" t="e">
        <f t="shared" si="10"/>
        <v>#DIV/0!</v>
      </c>
      <c r="H629" s="5"/>
      <c r="I629" s="6">
        <f>D629/(VLOOKUP(B629,'[1]2022 Team'!$B$2:$G$33,3,FALSE))</f>
        <v>0</v>
      </c>
    </row>
  </sheetData>
  <autoFilter ref="A1:I629" xr:uid="{1FD2531D-F091-4C01-BA44-21D56627CCC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45FE-3B5F-46EE-96C3-CE9B57FF2F57}">
  <dimension ref="A1:I655"/>
  <sheetViews>
    <sheetView workbookViewId="0">
      <selection activeCell="A2" sqref="A2"/>
    </sheetView>
  </sheetViews>
  <sheetFormatPr defaultRowHeight="15" x14ac:dyDescent="0.25"/>
  <sheetData>
    <row r="1" spans="1:9" x14ac:dyDescent="0.25">
      <c r="A1" t="s">
        <v>71</v>
      </c>
      <c r="B1" t="s">
        <v>0</v>
      </c>
      <c r="C1" t="s">
        <v>72</v>
      </c>
      <c r="D1" t="s">
        <v>74</v>
      </c>
      <c r="E1" t="s">
        <v>76</v>
      </c>
      <c r="F1" t="s">
        <v>188</v>
      </c>
      <c r="G1" s="2" t="s">
        <v>189</v>
      </c>
      <c r="H1" t="s">
        <v>79</v>
      </c>
      <c r="I1" s="3" t="s">
        <v>190</v>
      </c>
    </row>
    <row r="2" spans="1:9" x14ac:dyDescent="0.25">
      <c r="A2" s="5" t="s">
        <v>199</v>
      </c>
      <c r="B2" s="5" t="s">
        <v>34</v>
      </c>
      <c r="C2" s="5" t="s">
        <v>159</v>
      </c>
      <c r="D2" s="5">
        <v>332</v>
      </c>
      <c r="E2" s="5">
        <v>1811</v>
      </c>
      <c r="F2" s="5">
        <v>18</v>
      </c>
      <c r="G2" s="6">
        <f t="shared" ref="G2:G63" si="0">F2/D2</f>
        <v>5.4216867469879519E-2</v>
      </c>
      <c r="H2" s="5">
        <v>5.5</v>
      </c>
      <c r="I2" s="6">
        <f>D2/(VLOOKUP(B2,'[1]2021 Team'!$B$2:$G$33,3,FALSE))</f>
        <v>0.66533066132264529</v>
      </c>
    </row>
    <row r="3" spans="1:9" x14ac:dyDescent="0.25">
      <c r="A3" s="5" t="s">
        <v>560</v>
      </c>
      <c r="B3" s="5" t="s">
        <v>60</v>
      </c>
      <c r="C3" s="5" t="s">
        <v>159</v>
      </c>
      <c r="D3" s="5">
        <v>307</v>
      </c>
      <c r="E3" s="5">
        <v>1200</v>
      </c>
      <c r="F3" s="5">
        <v>7</v>
      </c>
      <c r="G3" s="6">
        <f t="shared" si="0"/>
        <v>2.2801302931596091E-2</v>
      </c>
      <c r="H3" s="5">
        <v>3.9</v>
      </c>
      <c r="I3" s="6">
        <f>D3/(VLOOKUP(B3,'[1]2021 Team'!$B$2:$G$33,3,FALSE))</f>
        <v>0.74695863746958635</v>
      </c>
    </row>
    <row r="4" spans="1:9" x14ac:dyDescent="0.25">
      <c r="A4" s="5" t="s">
        <v>1593</v>
      </c>
      <c r="B4" s="5" t="s">
        <v>20</v>
      </c>
      <c r="C4" s="5" t="s">
        <v>159</v>
      </c>
      <c r="D4" s="5">
        <v>292</v>
      </c>
      <c r="E4" s="5">
        <v>1205</v>
      </c>
      <c r="F4" s="5">
        <v>13</v>
      </c>
      <c r="G4" s="6">
        <f t="shared" si="0"/>
        <v>4.4520547945205477E-2</v>
      </c>
      <c r="H4" s="5">
        <v>4.0999999999999996</v>
      </c>
      <c r="I4" s="6">
        <f>D4/(VLOOKUP(B4,'[1]2021 Team'!$B$2:$G$33,3,FALSE))</f>
        <v>0.66972477064220182</v>
      </c>
    </row>
    <row r="5" spans="1:9" x14ac:dyDescent="0.25">
      <c r="A5" s="5" t="s">
        <v>499</v>
      </c>
      <c r="B5" s="5" t="s">
        <v>70</v>
      </c>
      <c r="C5" s="5" t="s">
        <v>159</v>
      </c>
      <c r="D5" s="5">
        <v>258</v>
      </c>
      <c r="E5" s="5">
        <v>1037</v>
      </c>
      <c r="F5" s="5">
        <v>7</v>
      </c>
      <c r="G5" s="6">
        <f t="shared" si="0"/>
        <v>2.7131782945736434E-2</v>
      </c>
      <c r="H5" s="5">
        <v>4</v>
      </c>
      <c r="I5" s="6">
        <f>D5/(VLOOKUP(B5,'[1]2021 Team'!$B$2:$G$33,3,FALSE))</f>
        <v>0.54088050314465408</v>
      </c>
    </row>
    <row r="6" spans="1:9" x14ac:dyDescent="0.25">
      <c r="A6" s="5" t="s">
        <v>1669</v>
      </c>
      <c r="B6" s="5" t="s">
        <v>48</v>
      </c>
      <c r="C6" s="5" t="s">
        <v>159</v>
      </c>
      <c r="D6" s="5">
        <v>249</v>
      </c>
      <c r="E6" s="5">
        <v>1159</v>
      </c>
      <c r="F6" s="5">
        <v>6</v>
      </c>
      <c r="G6" s="6">
        <f t="shared" si="0"/>
        <v>2.4096385542168676E-2</v>
      </c>
      <c r="H6" s="5">
        <v>4.7</v>
      </c>
      <c r="I6" s="6">
        <f>D6/(VLOOKUP(B6,'[1]2021 Team'!$B$2:$G$33,3,FALSE))</f>
        <v>0.55456570155902007</v>
      </c>
    </row>
    <row r="7" spans="1:9" x14ac:dyDescent="0.25">
      <c r="A7" s="5" t="s">
        <v>348</v>
      </c>
      <c r="B7" s="5" t="s">
        <v>52</v>
      </c>
      <c r="C7" s="5" t="s">
        <v>159</v>
      </c>
      <c r="D7" s="5">
        <v>240</v>
      </c>
      <c r="E7" s="5">
        <v>898</v>
      </c>
      <c r="F7" s="5">
        <v>4</v>
      </c>
      <c r="G7" s="6">
        <f t="shared" si="0"/>
        <v>1.6666666666666666E-2</v>
      </c>
      <c r="H7" s="5">
        <v>3.7</v>
      </c>
      <c r="I7" s="6">
        <f>D7/(VLOOKUP(B7,'[1]2021 Team'!$B$2:$G$33,3,FALSE))</f>
        <v>0.47058823529411764</v>
      </c>
    </row>
    <row r="8" spans="1:9" x14ac:dyDescent="0.25">
      <c r="A8" s="5" t="s">
        <v>1627</v>
      </c>
      <c r="B8" s="5" t="s">
        <v>24</v>
      </c>
      <c r="C8" s="5" t="s">
        <v>159</v>
      </c>
      <c r="D8" s="5">
        <v>237</v>
      </c>
      <c r="E8" s="5">
        <v>1002</v>
      </c>
      <c r="F8" s="5">
        <v>10</v>
      </c>
      <c r="G8" s="6">
        <f t="shared" si="0"/>
        <v>4.2194092827004218E-2</v>
      </c>
      <c r="H8" s="5">
        <v>4.2</v>
      </c>
      <c r="I8" s="6">
        <f>D8/(VLOOKUP(B8,'[1]2021 Team'!$B$2:$G$33,3,FALSE))</f>
        <v>0.5010570824524313</v>
      </c>
    </row>
    <row r="9" spans="1:9" x14ac:dyDescent="0.25">
      <c r="A9" s="5" t="s">
        <v>356</v>
      </c>
      <c r="B9" s="5" t="s">
        <v>22</v>
      </c>
      <c r="C9" s="5" t="s">
        <v>159</v>
      </c>
      <c r="D9" s="5">
        <v>228</v>
      </c>
      <c r="E9" s="5">
        <v>1259</v>
      </c>
      <c r="F9" s="5">
        <v>8</v>
      </c>
      <c r="G9" s="6">
        <f t="shared" si="0"/>
        <v>3.5087719298245612E-2</v>
      </c>
      <c r="H9" s="5">
        <v>5.5</v>
      </c>
      <c r="I9" s="6">
        <f>D9/(VLOOKUP(B9,'[1]2021 Team'!$B$2:$G$33,3,FALSE))</f>
        <v>0.47010309278350515</v>
      </c>
    </row>
    <row r="10" spans="1:9" x14ac:dyDescent="0.25">
      <c r="A10" s="5" t="s">
        <v>158</v>
      </c>
      <c r="B10" s="5" t="s">
        <v>18</v>
      </c>
      <c r="C10" s="5" t="s">
        <v>159</v>
      </c>
      <c r="D10" s="5">
        <v>225</v>
      </c>
      <c r="E10" s="5">
        <v>849</v>
      </c>
      <c r="F10" s="5">
        <v>7</v>
      </c>
      <c r="G10" s="6">
        <f t="shared" si="0"/>
        <v>3.111111111111111E-2</v>
      </c>
      <c r="H10" s="5">
        <v>3.8</v>
      </c>
      <c r="I10" s="6">
        <f>D10/(VLOOKUP(B10,'[1]2021 Team'!$B$2:$G$33,3,FALSE))</f>
        <v>0.47368421052631576</v>
      </c>
    </row>
    <row r="11" spans="1:9" x14ac:dyDescent="0.25">
      <c r="A11" s="5" t="s">
        <v>166</v>
      </c>
      <c r="B11" s="5" t="s">
        <v>68</v>
      </c>
      <c r="C11" s="5" t="s">
        <v>159</v>
      </c>
      <c r="D11" s="5">
        <v>219</v>
      </c>
      <c r="E11" s="5">
        <v>937</v>
      </c>
      <c r="F11" s="5">
        <v>10</v>
      </c>
      <c r="G11" s="6">
        <f t="shared" si="0"/>
        <v>4.5662100456621002E-2</v>
      </c>
      <c r="H11" s="5">
        <v>4.3</v>
      </c>
      <c r="I11" s="6">
        <f>D11/(VLOOKUP(B11,'[1]2021 Team'!$B$2:$G$33,3,FALSE))</f>
        <v>0.39745916515426499</v>
      </c>
    </row>
    <row r="12" spans="1:9" x14ac:dyDescent="0.25">
      <c r="A12" s="5" t="s">
        <v>231</v>
      </c>
      <c r="B12" s="5" t="s">
        <v>40</v>
      </c>
      <c r="C12" s="5" t="s">
        <v>159</v>
      </c>
      <c r="D12" s="5">
        <v>217</v>
      </c>
      <c r="E12" s="5">
        <v>872</v>
      </c>
      <c r="F12" s="5">
        <v>9</v>
      </c>
      <c r="G12" s="6">
        <f t="shared" si="0"/>
        <v>4.1474654377880185E-2</v>
      </c>
      <c r="H12" s="5">
        <v>4</v>
      </c>
      <c r="I12" s="6">
        <f>D12/(VLOOKUP(B12,'[1]2021 Team'!$B$2:$G$33,3,FALSE))</f>
        <v>0.52415458937198067</v>
      </c>
    </row>
    <row r="13" spans="1:9" x14ac:dyDescent="0.25">
      <c r="A13" s="5" t="s">
        <v>2411</v>
      </c>
      <c r="B13" s="5" t="s">
        <v>44</v>
      </c>
      <c r="C13" s="5" t="s">
        <v>159</v>
      </c>
      <c r="D13" s="5">
        <v>208</v>
      </c>
      <c r="E13" s="5">
        <v>845</v>
      </c>
      <c r="F13" s="5">
        <v>4</v>
      </c>
      <c r="G13" s="6">
        <f t="shared" si="0"/>
        <v>1.9230769230769232E-2</v>
      </c>
      <c r="H13" s="5">
        <v>4.0999999999999996</v>
      </c>
      <c r="I13" s="6">
        <f>D13/(VLOOKUP(B13,'[1]2021 Team'!$B$2:$G$33,3,FALSE))</f>
        <v>0.49523809523809526</v>
      </c>
    </row>
    <row r="14" spans="1:9" x14ac:dyDescent="0.25">
      <c r="A14" s="5" t="s">
        <v>910</v>
      </c>
      <c r="B14" s="5" t="s">
        <v>62</v>
      </c>
      <c r="C14" s="5" t="s">
        <v>159</v>
      </c>
      <c r="D14" s="5">
        <v>207</v>
      </c>
      <c r="E14" s="5">
        <v>963</v>
      </c>
      <c r="F14" s="5">
        <v>5</v>
      </c>
      <c r="G14" s="6">
        <f t="shared" si="0"/>
        <v>2.4154589371980676E-2</v>
      </c>
      <c r="H14" s="5">
        <v>4.7</v>
      </c>
      <c r="I14" s="6">
        <f>D14/(VLOOKUP(B14,'[1]2021 Team'!$B$2:$G$33,3,FALSE))</f>
        <v>0.4148296593186373</v>
      </c>
    </row>
    <row r="15" spans="1:9" x14ac:dyDescent="0.25">
      <c r="A15" s="5" t="s">
        <v>549</v>
      </c>
      <c r="B15" s="5" t="s">
        <v>42</v>
      </c>
      <c r="C15" s="5" t="s">
        <v>159</v>
      </c>
      <c r="D15" s="5">
        <v>206</v>
      </c>
      <c r="E15" s="5">
        <v>911</v>
      </c>
      <c r="F15" s="5">
        <v>12</v>
      </c>
      <c r="G15" s="6">
        <f t="shared" si="0"/>
        <v>5.8252427184466021E-2</v>
      </c>
      <c r="H15" s="5">
        <v>4.4000000000000004</v>
      </c>
      <c r="I15" s="6">
        <f>D15/(VLOOKUP(B15,'[1]2021 Team'!$B$2:$G$33,3,FALSE))</f>
        <v>0.48699763593380613</v>
      </c>
    </row>
    <row r="16" spans="1:9" x14ac:dyDescent="0.25">
      <c r="A16" s="5" t="s">
        <v>1688</v>
      </c>
      <c r="B16" s="5" t="s">
        <v>26</v>
      </c>
      <c r="C16" s="5" t="s">
        <v>159</v>
      </c>
      <c r="D16" s="5">
        <v>203</v>
      </c>
      <c r="E16" s="5">
        <v>918</v>
      </c>
      <c r="F16" s="5">
        <v>8</v>
      </c>
      <c r="G16" s="6">
        <f t="shared" si="0"/>
        <v>3.9408866995073892E-2</v>
      </c>
      <c r="H16" s="5">
        <v>4.5</v>
      </c>
      <c r="I16" s="6">
        <f>D16/(VLOOKUP(B16,'[1]2021 Team'!$B$2:$G$33,3,FALSE))</f>
        <v>0.44615384615384618</v>
      </c>
    </row>
    <row r="17" spans="1:9" x14ac:dyDescent="0.25">
      <c r="A17" s="5" t="s">
        <v>263</v>
      </c>
      <c r="B17" s="5" t="s">
        <v>26</v>
      </c>
      <c r="C17" s="5" t="s">
        <v>159</v>
      </c>
      <c r="D17" s="5">
        <v>203</v>
      </c>
      <c r="E17" s="5">
        <v>903</v>
      </c>
      <c r="F17" s="5">
        <v>4</v>
      </c>
      <c r="G17" s="6">
        <f t="shared" si="0"/>
        <v>1.9704433497536946E-2</v>
      </c>
      <c r="H17" s="5">
        <v>4.4000000000000004</v>
      </c>
      <c r="I17" s="6">
        <f>D17/(VLOOKUP(B17,'[1]2021 Team'!$B$2:$G$33,3,FALSE))</f>
        <v>0.44615384615384618</v>
      </c>
    </row>
    <row r="18" spans="1:9" x14ac:dyDescent="0.25">
      <c r="A18" s="5" t="s">
        <v>501</v>
      </c>
      <c r="B18" s="5" t="s">
        <v>8</v>
      </c>
      <c r="C18" s="5" t="s">
        <v>159</v>
      </c>
      <c r="D18" s="5">
        <v>202</v>
      </c>
      <c r="E18" s="5">
        <v>752</v>
      </c>
      <c r="F18" s="5">
        <v>15</v>
      </c>
      <c r="G18" s="6">
        <f t="shared" si="0"/>
        <v>7.4257425742574254E-2</v>
      </c>
      <c r="H18" s="5">
        <v>3.7</v>
      </c>
      <c r="I18" s="6">
        <f>D18/(VLOOKUP(B18,'[1]2021 Team'!$B$2:$G$33,3,FALSE))</f>
        <v>0.40725806451612906</v>
      </c>
    </row>
    <row r="19" spans="1:9" x14ac:dyDescent="0.25">
      <c r="A19" s="5" t="s">
        <v>1692</v>
      </c>
      <c r="B19" s="5" t="s">
        <v>50</v>
      </c>
      <c r="C19" s="5" t="s">
        <v>159</v>
      </c>
      <c r="D19" s="5">
        <v>202</v>
      </c>
      <c r="E19" s="5">
        <v>929</v>
      </c>
      <c r="F19" s="5">
        <v>15</v>
      </c>
      <c r="G19" s="6">
        <f t="shared" si="0"/>
        <v>7.4257425742574254E-2</v>
      </c>
      <c r="H19" s="5">
        <v>4.5999999999999996</v>
      </c>
      <c r="I19" s="6">
        <f>D19/(VLOOKUP(B19,'[1]2021 Team'!$B$2:$G$33,3,FALSE))</f>
        <v>0.41308793456032722</v>
      </c>
    </row>
    <row r="20" spans="1:9" x14ac:dyDescent="0.25">
      <c r="A20" s="5" t="s">
        <v>345</v>
      </c>
      <c r="B20" s="5" t="s">
        <v>14</v>
      </c>
      <c r="C20" s="5" t="s">
        <v>159</v>
      </c>
      <c r="D20" s="5">
        <v>188</v>
      </c>
      <c r="E20" s="5">
        <v>870</v>
      </c>
      <c r="F20" s="5">
        <v>7</v>
      </c>
      <c r="G20" s="6">
        <f t="shared" si="0"/>
        <v>3.7234042553191488E-2</v>
      </c>
      <c r="H20" s="5">
        <v>4.5999999999999996</v>
      </c>
      <c r="I20" s="6">
        <f>D20/(VLOOKUP(B20,'[1]2021 Team'!$B$2:$G$33,3,FALSE))</f>
        <v>0.40780911062906722</v>
      </c>
    </row>
    <row r="21" spans="1:9" x14ac:dyDescent="0.25">
      <c r="A21" s="5" t="s">
        <v>570</v>
      </c>
      <c r="B21" s="5" t="s">
        <v>30</v>
      </c>
      <c r="C21" s="5" t="s">
        <v>159</v>
      </c>
      <c r="D21" s="5">
        <v>187</v>
      </c>
      <c r="E21" s="5">
        <v>803</v>
      </c>
      <c r="F21" s="5">
        <v>5</v>
      </c>
      <c r="G21" s="6">
        <f t="shared" si="0"/>
        <v>2.6737967914438502E-2</v>
      </c>
      <c r="H21" s="5">
        <v>4.3</v>
      </c>
      <c r="I21" s="6">
        <f>D21/(VLOOKUP(B21,'[1]2021 Team'!$B$2:$G$33,3,FALSE))</f>
        <v>0.41928251121076232</v>
      </c>
    </row>
    <row r="22" spans="1:9" x14ac:dyDescent="0.25">
      <c r="A22" s="5" t="s">
        <v>1704</v>
      </c>
      <c r="B22" s="5" t="s">
        <v>66</v>
      </c>
      <c r="C22" s="5" t="s">
        <v>159</v>
      </c>
      <c r="D22" s="5">
        <v>180</v>
      </c>
      <c r="E22" s="5">
        <v>812</v>
      </c>
      <c r="F22" s="5">
        <v>8</v>
      </c>
      <c r="G22" s="6">
        <f t="shared" si="0"/>
        <v>4.4444444444444446E-2</v>
      </c>
      <c r="H22" s="5">
        <v>4.5</v>
      </c>
      <c r="I22" s="6">
        <f>D22/(VLOOKUP(B22,'[1]2021 Team'!$B$2:$G$33,3,FALSE))</f>
        <v>0.46753246753246752</v>
      </c>
    </row>
    <row r="23" spans="1:9" x14ac:dyDescent="0.25">
      <c r="A23" s="5" t="s">
        <v>672</v>
      </c>
      <c r="B23" s="5" t="s">
        <v>46</v>
      </c>
      <c r="C23" s="5" t="s">
        <v>159</v>
      </c>
      <c r="D23" s="5">
        <v>173</v>
      </c>
      <c r="E23" s="5">
        <v>612</v>
      </c>
      <c r="F23" s="5">
        <v>3</v>
      </c>
      <c r="G23" s="6">
        <f t="shared" si="0"/>
        <v>1.7341040462427744E-2</v>
      </c>
      <c r="H23" s="5">
        <v>3.5</v>
      </c>
      <c r="I23" s="6">
        <f>D23/(VLOOKUP(B23,'[1]2021 Team'!$B$2:$G$33,3,FALSE))</f>
        <v>0.39140271493212669</v>
      </c>
    </row>
    <row r="24" spans="1:9" x14ac:dyDescent="0.25">
      <c r="A24" s="5" t="s">
        <v>320</v>
      </c>
      <c r="B24" s="5" t="s">
        <v>16</v>
      </c>
      <c r="C24" s="5" t="s">
        <v>159</v>
      </c>
      <c r="D24" s="5">
        <v>172</v>
      </c>
      <c r="E24" s="5">
        <v>612</v>
      </c>
      <c r="F24" s="5">
        <v>5</v>
      </c>
      <c r="G24" s="6">
        <f t="shared" si="0"/>
        <v>2.9069767441860465E-2</v>
      </c>
      <c r="H24" s="5">
        <v>3.6</v>
      </c>
      <c r="I24" s="6">
        <f>D24/(VLOOKUP(B24,'[1]2021 Team'!$B$2:$G$33,3,FALSE))</f>
        <v>0.37802197802197801</v>
      </c>
    </row>
    <row r="25" spans="1:9" x14ac:dyDescent="0.25">
      <c r="A25" s="5" t="s">
        <v>308</v>
      </c>
      <c r="B25" s="5" t="s">
        <v>30</v>
      </c>
      <c r="C25" s="5" t="s">
        <v>159</v>
      </c>
      <c r="D25" s="5">
        <v>171</v>
      </c>
      <c r="E25" s="5">
        <v>799</v>
      </c>
      <c r="F25" s="5">
        <v>4</v>
      </c>
      <c r="G25" s="6">
        <f t="shared" si="0"/>
        <v>2.3391812865497075E-2</v>
      </c>
      <c r="H25" s="5">
        <v>4.7</v>
      </c>
      <c r="I25" s="6">
        <f>D25/(VLOOKUP(B25,'[1]2021 Team'!$B$2:$G$33,3,FALSE))</f>
        <v>0.38340807174887892</v>
      </c>
    </row>
    <row r="26" spans="1:9" x14ac:dyDescent="0.25">
      <c r="A26" s="5" t="s">
        <v>1760</v>
      </c>
      <c r="B26" s="5" t="s">
        <v>36</v>
      </c>
      <c r="C26" s="5" t="s">
        <v>159</v>
      </c>
      <c r="D26" s="5">
        <v>164</v>
      </c>
      <c r="E26" s="5">
        <v>767</v>
      </c>
      <c r="F26" s="5">
        <v>8</v>
      </c>
      <c r="G26" s="6">
        <f t="shared" si="0"/>
        <v>4.878048780487805E-2</v>
      </c>
      <c r="H26" s="5">
        <v>4.7</v>
      </c>
      <c r="I26" s="6">
        <f>D26/(VLOOKUP(B26,'[1]2021 Team'!$B$2:$G$33,3,FALSE))</f>
        <v>0.41836734693877553</v>
      </c>
    </row>
    <row r="27" spans="1:9" x14ac:dyDescent="0.25">
      <c r="A27" s="5" t="s">
        <v>204</v>
      </c>
      <c r="B27" s="5" t="s">
        <v>54</v>
      </c>
      <c r="C27" s="5" t="s">
        <v>159</v>
      </c>
      <c r="D27" s="5">
        <v>162</v>
      </c>
      <c r="E27" s="5">
        <v>593</v>
      </c>
      <c r="F27" s="5">
        <v>2</v>
      </c>
      <c r="G27" s="6">
        <f t="shared" si="0"/>
        <v>1.2345679012345678E-2</v>
      </c>
      <c r="H27" s="5">
        <v>3.7</v>
      </c>
      <c r="I27" s="6">
        <f>D27/(VLOOKUP(B27,'[1]2021 Team'!$B$2:$G$33,3,FALSE))</f>
        <v>0.38663484486873506</v>
      </c>
    </row>
    <row r="28" spans="1:9" x14ac:dyDescent="0.25">
      <c r="A28" s="5" t="s">
        <v>2409</v>
      </c>
      <c r="B28" s="5" t="s">
        <v>32</v>
      </c>
      <c r="C28" s="5" t="s">
        <v>159</v>
      </c>
      <c r="D28" s="5">
        <v>92</v>
      </c>
      <c r="E28" s="5">
        <v>294</v>
      </c>
      <c r="F28" s="5">
        <v>1</v>
      </c>
      <c r="G28" s="6">
        <f t="shared" si="0"/>
        <v>1.0869565217391304E-2</v>
      </c>
      <c r="H28" s="5">
        <v>3.2</v>
      </c>
      <c r="I28" s="6">
        <f>D28/(VLOOKUP(B28,'[1]2021 Team'!$B$2:$G$33,3,FALSE))</f>
        <v>0.21904761904761905</v>
      </c>
    </row>
    <row r="29" spans="1:9" x14ac:dyDescent="0.25">
      <c r="A29" s="5" t="s">
        <v>2409</v>
      </c>
      <c r="B29" s="5" t="s">
        <v>52</v>
      </c>
      <c r="C29" s="5" t="s">
        <v>159</v>
      </c>
      <c r="D29" s="5">
        <v>68</v>
      </c>
      <c r="E29" s="5">
        <v>260</v>
      </c>
      <c r="F29" s="5">
        <v>1</v>
      </c>
      <c r="G29" s="6">
        <f t="shared" si="0"/>
        <v>1.4705882352941176E-2</v>
      </c>
      <c r="H29" s="5">
        <v>3.8</v>
      </c>
      <c r="I29" s="6">
        <f>D29/(VLOOKUP(B29,'[1]2021 Team'!$B$2:$G$33,3,FALSE))</f>
        <v>0.13333333333333333</v>
      </c>
    </row>
    <row r="30" spans="1:9" x14ac:dyDescent="0.25">
      <c r="A30" s="5" t="s">
        <v>1674</v>
      </c>
      <c r="B30" s="5" t="s">
        <v>10</v>
      </c>
      <c r="C30" s="5" t="s">
        <v>159</v>
      </c>
      <c r="D30" s="5">
        <v>153</v>
      </c>
      <c r="E30" s="5">
        <v>618</v>
      </c>
      <c r="F30" s="5">
        <v>6</v>
      </c>
      <c r="G30" s="6">
        <f t="shared" si="0"/>
        <v>3.9215686274509803E-2</v>
      </c>
      <c r="H30" s="5">
        <v>4</v>
      </c>
      <c r="I30" s="6">
        <f>D30/(VLOOKUP(B30,'[1]2021 Team'!$B$2:$G$33,3,FALSE))</f>
        <v>0.38931297709923662</v>
      </c>
    </row>
    <row r="31" spans="1:9" x14ac:dyDescent="0.25">
      <c r="A31" s="5" t="s">
        <v>1655</v>
      </c>
      <c r="B31" s="5" t="s">
        <v>28</v>
      </c>
      <c r="C31" s="5" t="s">
        <v>159</v>
      </c>
      <c r="D31" s="5">
        <v>153</v>
      </c>
      <c r="E31" s="5">
        <v>601</v>
      </c>
      <c r="F31" s="5">
        <v>3</v>
      </c>
      <c r="G31" s="6">
        <f t="shared" si="0"/>
        <v>1.9607843137254902E-2</v>
      </c>
      <c r="H31" s="5">
        <v>3.9</v>
      </c>
      <c r="I31" s="6">
        <f>D31/(VLOOKUP(B31,'[1]2021 Team'!$B$2:$G$33,3,FALSE))</f>
        <v>0.35831381733021078</v>
      </c>
    </row>
    <row r="32" spans="1:9" x14ac:dyDescent="0.25">
      <c r="A32" s="5" t="s">
        <v>267</v>
      </c>
      <c r="B32" s="5" t="s">
        <v>28</v>
      </c>
      <c r="C32" s="5" t="s">
        <v>159</v>
      </c>
      <c r="D32" s="5">
        <v>151</v>
      </c>
      <c r="E32" s="5">
        <v>617</v>
      </c>
      <c r="F32" s="5">
        <v>5</v>
      </c>
      <c r="G32" s="6">
        <f t="shared" si="0"/>
        <v>3.3112582781456956E-2</v>
      </c>
      <c r="H32" s="5">
        <v>4.0999999999999996</v>
      </c>
      <c r="I32" s="6">
        <f>D32/(VLOOKUP(B32,'[1]2021 Team'!$B$2:$G$33,3,FALSE))</f>
        <v>0.35362997658079626</v>
      </c>
    </row>
    <row r="33" spans="1:9" x14ac:dyDescent="0.25">
      <c r="A33" s="5" t="s">
        <v>1676</v>
      </c>
      <c r="B33" s="5" t="s">
        <v>44</v>
      </c>
      <c r="C33" s="5" t="s">
        <v>159</v>
      </c>
      <c r="D33" s="5">
        <v>149</v>
      </c>
      <c r="E33" s="5">
        <v>688</v>
      </c>
      <c r="F33" s="5">
        <v>5</v>
      </c>
      <c r="G33" s="6">
        <f t="shared" si="0"/>
        <v>3.3557046979865772E-2</v>
      </c>
      <c r="H33" s="5">
        <v>4.5999999999999996</v>
      </c>
      <c r="I33" s="6">
        <f>D33/(VLOOKUP(B33,'[1]2021 Team'!$B$2:$G$33,3,FALSE))</f>
        <v>0.35476190476190478</v>
      </c>
    </row>
    <row r="34" spans="1:9" x14ac:dyDescent="0.25">
      <c r="A34" s="5" t="s">
        <v>395</v>
      </c>
      <c r="B34" s="5" t="s">
        <v>56</v>
      </c>
      <c r="C34" s="5" t="s">
        <v>159</v>
      </c>
      <c r="D34" s="5">
        <v>147</v>
      </c>
      <c r="E34" s="5">
        <v>639</v>
      </c>
      <c r="F34" s="5">
        <v>4</v>
      </c>
      <c r="G34" s="6">
        <f t="shared" si="0"/>
        <v>2.7210884353741496E-2</v>
      </c>
      <c r="H34" s="5">
        <v>4.3</v>
      </c>
      <c r="I34" s="6">
        <f>D34/(VLOOKUP(B34,'[1]2021 Team'!$B$2:$G$33,3,FALSE))</f>
        <v>0.38684210526315788</v>
      </c>
    </row>
    <row r="35" spans="1:9" x14ac:dyDescent="0.25">
      <c r="A35" s="5" t="s">
        <v>2533</v>
      </c>
      <c r="B35" s="5" t="s">
        <v>54</v>
      </c>
      <c r="C35" s="5" t="s">
        <v>159</v>
      </c>
      <c r="D35" s="5">
        <v>145</v>
      </c>
      <c r="E35" s="5">
        <v>593</v>
      </c>
      <c r="F35" s="5">
        <v>2</v>
      </c>
      <c r="G35" s="6">
        <f t="shared" si="0"/>
        <v>1.3793103448275862E-2</v>
      </c>
      <c r="H35" s="5">
        <v>4.0999999999999996</v>
      </c>
      <c r="I35" s="6">
        <f>D35/(VLOOKUP(B35,'[1]2021 Team'!$B$2:$G$33,3,FALSE))</f>
        <v>0.34606205250596661</v>
      </c>
    </row>
    <row r="36" spans="1:9" x14ac:dyDescent="0.25">
      <c r="A36" s="5" t="s">
        <v>2416</v>
      </c>
      <c r="B36" s="5" t="s">
        <v>38</v>
      </c>
      <c r="C36" s="5" t="s">
        <v>159</v>
      </c>
      <c r="D36" s="5">
        <v>144</v>
      </c>
      <c r="E36" s="5">
        <v>558</v>
      </c>
      <c r="F36" s="5">
        <v>6</v>
      </c>
      <c r="G36" s="6">
        <f t="shared" si="0"/>
        <v>4.1666666666666664E-2</v>
      </c>
      <c r="H36" s="5">
        <v>3.9</v>
      </c>
      <c r="I36" s="6">
        <f>D36/(VLOOKUP(B36,'[1]2021 Team'!$B$2:$G$33,3,FALSE))</f>
        <v>0.33410672853828305</v>
      </c>
    </row>
    <row r="37" spans="1:9" x14ac:dyDescent="0.25">
      <c r="A37" s="5" t="s">
        <v>98</v>
      </c>
      <c r="B37" s="5" t="s">
        <v>58</v>
      </c>
      <c r="C37" s="5" t="s">
        <v>82</v>
      </c>
      <c r="D37" s="5">
        <v>139</v>
      </c>
      <c r="E37" s="5">
        <v>784</v>
      </c>
      <c r="F37" s="5">
        <v>10</v>
      </c>
      <c r="G37" s="6">
        <f t="shared" si="0"/>
        <v>7.1942446043165464E-2</v>
      </c>
      <c r="H37" s="5">
        <v>5.6</v>
      </c>
      <c r="I37" s="6">
        <f>D37/(VLOOKUP(B37,'[1]2021 Team'!$B$2:$G$33,3,FALSE))</f>
        <v>0.25272727272727274</v>
      </c>
    </row>
    <row r="38" spans="1:9" x14ac:dyDescent="0.25">
      <c r="A38" s="5" t="s">
        <v>2432</v>
      </c>
      <c r="B38" s="5" t="s">
        <v>10</v>
      </c>
      <c r="C38" s="5" t="s">
        <v>159</v>
      </c>
      <c r="D38" s="5">
        <v>138</v>
      </c>
      <c r="E38" s="5">
        <v>503</v>
      </c>
      <c r="F38" s="5">
        <v>3</v>
      </c>
      <c r="G38" s="6">
        <f t="shared" si="0"/>
        <v>2.1739130434782608E-2</v>
      </c>
      <c r="H38" s="5">
        <v>3.6</v>
      </c>
      <c r="I38" s="6">
        <f>D38/(VLOOKUP(B38,'[1]2021 Team'!$B$2:$G$33,3,FALSE))</f>
        <v>0.35114503816793891</v>
      </c>
    </row>
    <row r="39" spans="1:9" x14ac:dyDescent="0.25">
      <c r="A39" s="5" t="s">
        <v>545</v>
      </c>
      <c r="B39" s="5" t="s">
        <v>58</v>
      </c>
      <c r="C39" s="5" t="s">
        <v>159</v>
      </c>
      <c r="D39" s="5">
        <v>137</v>
      </c>
      <c r="E39" s="5">
        <v>754</v>
      </c>
      <c r="F39" s="5">
        <v>0</v>
      </c>
      <c r="G39" s="6">
        <f t="shared" si="0"/>
        <v>0</v>
      </c>
      <c r="H39" s="5">
        <v>5.5</v>
      </c>
      <c r="I39" s="6">
        <f>D39/(VLOOKUP(B39,'[1]2021 Team'!$B$2:$G$33,3,FALSE))</f>
        <v>0.24909090909090909</v>
      </c>
    </row>
    <row r="40" spans="1:9" x14ac:dyDescent="0.25">
      <c r="A40" s="5" t="s">
        <v>1634</v>
      </c>
      <c r="B40" s="5" t="s">
        <v>48</v>
      </c>
      <c r="C40" s="5" t="s">
        <v>159</v>
      </c>
      <c r="D40" s="5">
        <v>134</v>
      </c>
      <c r="E40" s="5">
        <v>491</v>
      </c>
      <c r="F40" s="5">
        <v>3</v>
      </c>
      <c r="G40" s="6">
        <f t="shared" si="0"/>
        <v>2.2388059701492536E-2</v>
      </c>
      <c r="H40" s="5">
        <v>3.7</v>
      </c>
      <c r="I40" s="6">
        <f>D40/(VLOOKUP(B40,'[1]2021 Team'!$B$2:$G$33,3,FALSE))</f>
        <v>0.2984409799554566</v>
      </c>
    </row>
    <row r="41" spans="1:9" x14ac:dyDescent="0.25">
      <c r="A41" s="5" t="s">
        <v>1651</v>
      </c>
      <c r="B41" s="5" t="s">
        <v>68</v>
      </c>
      <c r="C41" s="5" t="s">
        <v>159</v>
      </c>
      <c r="D41" s="5">
        <v>133</v>
      </c>
      <c r="E41" s="5">
        <v>566</v>
      </c>
      <c r="F41" s="5">
        <v>3</v>
      </c>
      <c r="G41" s="6">
        <f t="shared" si="0"/>
        <v>2.2556390977443608E-2</v>
      </c>
      <c r="H41" s="5">
        <v>4.3</v>
      </c>
      <c r="I41" s="6">
        <f>D41/(VLOOKUP(B41,'[1]2021 Team'!$B$2:$G$33,3,FALSE))</f>
        <v>0.2413793103448276</v>
      </c>
    </row>
    <row r="42" spans="1:9" x14ac:dyDescent="0.25">
      <c r="A42" s="5" t="s">
        <v>2534</v>
      </c>
      <c r="B42" s="5" t="s">
        <v>12</v>
      </c>
      <c r="C42" s="5" t="s">
        <v>159</v>
      </c>
      <c r="D42" s="5">
        <v>133</v>
      </c>
      <c r="E42" s="5">
        <v>576</v>
      </c>
      <c r="F42" s="5">
        <v>5</v>
      </c>
      <c r="G42" s="6">
        <f t="shared" si="0"/>
        <v>3.7593984962406013E-2</v>
      </c>
      <c r="H42" s="5">
        <v>4.3</v>
      </c>
      <c r="I42" s="6">
        <f>D42/(VLOOKUP(B42,'[1]2021 Team'!$B$2:$G$33,3,FALSE))</f>
        <v>0.2572533849129594</v>
      </c>
    </row>
    <row r="43" spans="1:9" x14ac:dyDescent="0.25">
      <c r="A43" s="5" t="s">
        <v>106</v>
      </c>
      <c r="B43" s="5" t="s">
        <v>12</v>
      </c>
      <c r="C43" s="5" t="s">
        <v>82</v>
      </c>
      <c r="D43" s="5">
        <v>133</v>
      </c>
      <c r="E43" s="5">
        <v>767</v>
      </c>
      <c r="F43" s="5">
        <v>2</v>
      </c>
      <c r="G43" s="6">
        <f t="shared" si="0"/>
        <v>1.5037593984962405E-2</v>
      </c>
      <c r="H43" s="5">
        <v>5.8</v>
      </c>
      <c r="I43" s="6">
        <f>D43/(VLOOKUP(B43,'[1]2021 Team'!$B$2:$G$33,3,FALSE))</f>
        <v>0.2572533849129594</v>
      </c>
    </row>
    <row r="44" spans="1:9" x14ac:dyDescent="0.25">
      <c r="A44" s="5" t="s">
        <v>324</v>
      </c>
      <c r="B44" s="5" t="s">
        <v>50</v>
      </c>
      <c r="C44" s="5" t="s">
        <v>159</v>
      </c>
      <c r="D44" s="5">
        <v>133</v>
      </c>
      <c r="E44" s="5">
        <v>606</v>
      </c>
      <c r="F44" s="5">
        <v>5</v>
      </c>
      <c r="G44" s="6">
        <f t="shared" si="0"/>
        <v>3.7593984962406013E-2</v>
      </c>
      <c r="H44" s="5">
        <v>4.5999999999999996</v>
      </c>
      <c r="I44" s="6">
        <f>D44/(VLOOKUP(B44,'[1]2021 Team'!$B$2:$G$33,3,FALSE))</f>
        <v>0.27198364008179959</v>
      </c>
    </row>
    <row r="45" spans="1:9" x14ac:dyDescent="0.25">
      <c r="A45" s="5" t="s">
        <v>252</v>
      </c>
      <c r="B45" s="5" t="s">
        <v>24</v>
      </c>
      <c r="C45" s="5" t="s">
        <v>159</v>
      </c>
      <c r="D45" s="5">
        <v>130</v>
      </c>
      <c r="E45" s="5">
        <v>719</v>
      </c>
      <c r="F45" s="5">
        <v>2</v>
      </c>
      <c r="G45" s="6">
        <f t="shared" si="0"/>
        <v>1.5384615384615385E-2</v>
      </c>
      <c r="H45" s="5">
        <v>5.5</v>
      </c>
      <c r="I45" s="6">
        <f>D45/(VLOOKUP(B45,'[1]2021 Team'!$B$2:$G$33,3,FALSE))</f>
        <v>0.27484143763213531</v>
      </c>
    </row>
    <row r="46" spans="1:9" x14ac:dyDescent="0.25">
      <c r="A46" s="5" t="s">
        <v>97</v>
      </c>
      <c r="B46" s="5" t="s">
        <v>14</v>
      </c>
      <c r="C46" s="5" t="s">
        <v>82</v>
      </c>
      <c r="D46" s="5">
        <v>122</v>
      </c>
      <c r="E46" s="5">
        <v>763</v>
      </c>
      <c r="F46" s="5">
        <v>6</v>
      </c>
      <c r="G46" s="6">
        <f t="shared" si="0"/>
        <v>4.9180327868852458E-2</v>
      </c>
      <c r="H46" s="5">
        <v>6.3</v>
      </c>
      <c r="I46" s="6">
        <f>D46/(VLOOKUP(B46,'[1]2021 Team'!$B$2:$G$33,3,FALSE))</f>
        <v>0.2646420824295011</v>
      </c>
    </row>
    <row r="47" spans="1:9" x14ac:dyDescent="0.25">
      <c r="A47" s="5" t="s">
        <v>2380</v>
      </c>
      <c r="B47" s="5" t="s">
        <v>32</v>
      </c>
      <c r="C47" s="5" t="s">
        <v>159</v>
      </c>
      <c r="D47" s="5">
        <v>122</v>
      </c>
      <c r="E47" s="5">
        <v>427</v>
      </c>
      <c r="F47" s="5">
        <v>3</v>
      </c>
      <c r="G47" s="6">
        <f t="shared" si="0"/>
        <v>2.4590163934426229E-2</v>
      </c>
      <c r="H47" s="5">
        <v>3.5</v>
      </c>
      <c r="I47" s="6">
        <f>D47/(VLOOKUP(B47,'[1]2021 Team'!$B$2:$G$33,3,FALSE))</f>
        <v>0.2904761904761905</v>
      </c>
    </row>
    <row r="48" spans="1:9" x14ac:dyDescent="0.25">
      <c r="A48" s="5" t="s">
        <v>635</v>
      </c>
      <c r="B48" s="5" t="s">
        <v>38</v>
      </c>
      <c r="C48" s="5" t="s">
        <v>159</v>
      </c>
      <c r="D48" s="5">
        <v>119</v>
      </c>
      <c r="E48" s="5">
        <v>517</v>
      </c>
      <c r="F48" s="5">
        <v>4</v>
      </c>
      <c r="G48" s="6">
        <f t="shared" si="0"/>
        <v>3.3613445378151259E-2</v>
      </c>
      <c r="H48" s="5">
        <v>4.3</v>
      </c>
      <c r="I48" s="6">
        <f>D48/(VLOOKUP(B48,'[1]2021 Team'!$B$2:$G$33,3,FALSE))</f>
        <v>0.27610208816705334</v>
      </c>
    </row>
    <row r="49" spans="1:9" x14ac:dyDescent="0.25">
      <c r="A49" s="5" t="s">
        <v>1662</v>
      </c>
      <c r="B49" s="5" t="s">
        <v>12</v>
      </c>
      <c r="C49" s="5" t="s">
        <v>159</v>
      </c>
      <c r="D49" s="5">
        <v>119</v>
      </c>
      <c r="E49" s="5">
        <v>501</v>
      </c>
      <c r="F49" s="5">
        <v>6</v>
      </c>
      <c r="G49" s="6">
        <f t="shared" si="0"/>
        <v>5.0420168067226892E-2</v>
      </c>
      <c r="H49" s="5">
        <v>4.2</v>
      </c>
      <c r="I49" s="6">
        <f>D49/(VLOOKUP(B49,'[1]2021 Team'!$B$2:$G$33,3,FALSE))</f>
        <v>0.23017408123791103</v>
      </c>
    </row>
    <row r="50" spans="1:9" x14ac:dyDescent="0.25">
      <c r="A50" s="5" t="s">
        <v>1706</v>
      </c>
      <c r="B50" s="5" t="s">
        <v>64</v>
      </c>
      <c r="C50" s="5" t="s">
        <v>159</v>
      </c>
      <c r="D50" s="5">
        <v>119</v>
      </c>
      <c r="E50" s="5">
        <v>749</v>
      </c>
      <c r="F50" s="5">
        <v>6</v>
      </c>
      <c r="G50" s="6">
        <f t="shared" si="0"/>
        <v>5.0420168067226892E-2</v>
      </c>
      <c r="H50" s="5">
        <v>6.3</v>
      </c>
      <c r="I50" s="6">
        <f>D50/(VLOOKUP(B50,'[1]2021 Team'!$B$2:$G$33,3,FALSE))</f>
        <v>0.28813559322033899</v>
      </c>
    </row>
    <row r="51" spans="1:9" x14ac:dyDescent="0.25">
      <c r="A51" s="5" t="s">
        <v>1675</v>
      </c>
      <c r="B51" s="5" t="s">
        <v>8</v>
      </c>
      <c r="C51" s="5" t="s">
        <v>159</v>
      </c>
      <c r="D51" s="5">
        <v>116</v>
      </c>
      <c r="E51" s="5">
        <v>592</v>
      </c>
      <c r="F51" s="5">
        <v>2</v>
      </c>
      <c r="G51" s="6">
        <f t="shared" si="0"/>
        <v>1.7241379310344827E-2</v>
      </c>
      <c r="H51" s="5">
        <v>5.0999999999999996</v>
      </c>
      <c r="I51" s="6">
        <f>D51/(VLOOKUP(B51,'[1]2021 Team'!$B$2:$G$33,3,FALSE))</f>
        <v>0.23387096774193547</v>
      </c>
    </row>
    <row r="52" spans="1:9" x14ac:dyDescent="0.25">
      <c r="A52" s="5" t="s">
        <v>2535</v>
      </c>
      <c r="B52" s="5" t="s">
        <v>64</v>
      </c>
      <c r="C52" s="5" t="s">
        <v>159</v>
      </c>
      <c r="D52" s="5">
        <v>108</v>
      </c>
      <c r="E52" s="5">
        <v>411</v>
      </c>
      <c r="F52" s="5">
        <v>2</v>
      </c>
      <c r="G52" s="6">
        <f t="shared" si="0"/>
        <v>1.8518518518518517E-2</v>
      </c>
      <c r="H52" s="5">
        <v>3.8</v>
      </c>
      <c r="I52" s="6">
        <f>D52/(VLOOKUP(B52,'[1]2021 Team'!$B$2:$G$33,3,FALSE))</f>
        <v>0.26150121065375304</v>
      </c>
    </row>
    <row r="53" spans="1:9" x14ac:dyDescent="0.25">
      <c r="A53" s="5" t="s">
        <v>543</v>
      </c>
      <c r="B53" s="5" t="s">
        <v>18</v>
      </c>
      <c r="C53" s="5" t="s">
        <v>159</v>
      </c>
      <c r="D53" s="5">
        <v>103</v>
      </c>
      <c r="E53" s="5">
        <v>433</v>
      </c>
      <c r="F53" s="5">
        <v>2</v>
      </c>
      <c r="G53" s="6">
        <f t="shared" si="0"/>
        <v>1.9417475728155338E-2</v>
      </c>
      <c r="H53" s="5">
        <v>4.2</v>
      </c>
      <c r="I53" s="6">
        <f>D53/(VLOOKUP(B53,'[1]2021 Team'!$B$2:$G$33,3,FALSE))</f>
        <v>0.21684210526315789</v>
      </c>
    </row>
    <row r="54" spans="1:9" x14ac:dyDescent="0.25">
      <c r="A54" s="5" t="s">
        <v>2419</v>
      </c>
      <c r="B54" s="5" t="s">
        <v>66</v>
      </c>
      <c r="C54" s="5" t="s">
        <v>159</v>
      </c>
      <c r="D54" s="5">
        <v>101</v>
      </c>
      <c r="E54" s="5">
        <v>428</v>
      </c>
      <c r="F54" s="5">
        <v>4</v>
      </c>
      <c r="G54" s="6">
        <f t="shared" si="0"/>
        <v>3.9603960396039604E-2</v>
      </c>
      <c r="H54" s="5">
        <v>4.2</v>
      </c>
      <c r="I54" s="6">
        <f>D54/(VLOOKUP(B54,'[1]2021 Team'!$B$2:$G$33,3,FALSE))</f>
        <v>0.26233766233766231</v>
      </c>
    </row>
    <row r="55" spans="1:9" x14ac:dyDescent="0.25">
      <c r="A55" s="5" t="s">
        <v>563</v>
      </c>
      <c r="B55" s="5" t="s">
        <v>22</v>
      </c>
      <c r="C55" s="5" t="s">
        <v>159</v>
      </c>
      <c r="D55" s="5">
        <v>100</v>
      </c>
      <c r="E55" s="5">
        <v>534</v>
      </c>
      <c r="F55" s="5">
        <v>3</v>
      </c>
      <c r="G55" s="6">
        <f t="shared" si="0"/>
        <v>0.03</v>
      </c>
      <c r="H55" s="5">
        <v>5.3</v>
      </c>
      <c r="I55" s="6">
        <f>D55/(VLOOKUP(B55,'[1]2021 Team'!$B$2:$G$33,3,FALSE))</f>
        <v>0.20618556701030927</v>
      </c>
    </row>
    <row r="56" spans="1:9" x14ac:dyDescent="0.25">
      <c r="A56" s="5" t="s">
        <v>182</v>
      </c>
      <c r="B56" s="5" t="s">
        <v>16</v>
      </c>
      <c r="C56" s="5" t="s">
        <v>159</v>
      </c>
      <c r="D56" s="5">
        <v>99</v>
      </c>
      <c r="E56" s="5">
        <v>442</v>
      </c>
      <c r="F56" s="5">
        <v>1</v>
      </c>
      <c r="G56" s="6">
        <f t="shared" si="0"/>
        <v>1.0101010101010102E-2</v>
      </c>
      <c r="H56" s="5">
        <v>4.5</v>
      </c>
      <c r="I56" s="6">
        <f>D56/(VLOOKUP(B56,'[1]2021 Team'!$B$2:$G$33,3,FALSE))</f>
        <v>0.21758241758241759</v>
      </c>
    </row>
    <row r="57" spans="1:9" x14ac:dyDescent="0.25">
      <c r="A57" s="5" t="s">
        <v>1629</v>
      </c>
      <c r="B57" s="5" t="s">
        <v>14</v>
      </c>
      <c r="C57" s="5" t="s">
        <v>159</v>
      </c>
      <c r="D57" s="5">
        <v>96</v>
      </c>
      <c r="E57" s="5">
        <v>345</v>
      </c>
      <c r="F57" s="5">
        <v>4</v>
      </c>
      <c r="G57" s="6">
        <f t="shared" si="0"/>
        <v>4.1666666666666664E-2</v>
      </c>
      <c r="H57" s="5">
        <v>3.6</v>
      </c>
      <c r="I57" s="6">
        <f>D57/(VLOOKUP(B57,'[1]2021 Team'!$B$2:$G$33,3,FALSE))</f>
        <v>0.20824295010845986</v>
      </c>
    </row>
    <row r="58" spans="1:9" x14ac:dyDescent="0.25">
      <c r="A58" s="5" t="s">
        <v>121</v>
      </c>
      <c r="B58" s="5" t="s">
        <v>8</v>
      </c>
      <c r="C58" s="5" t="s">
        <v>82</v>
      </c>
      <c r="D58" s="5">
        <v>88</v>
      </c>
      <c r="E58" s="5">
        <v>423</v>
      </c>
      <c r="F58" s="5">
        <v>5</v>
      </c>
      <c r="G58" s="6">
        <f t="shared" si="0"/>
        <v>5.6818181818181816E-2</v>
      </c>
      <c r="H58" s="5">
        <v>4.8</v>
      </c>
      <c r="I58" s="6">
        <f>D58/(VLOOKUP(B58,'[1]2021 Team'!$B$2:$G$33,3,FALSE))</f>
        <v>0.17741935483870969</v>
      </c>
    </row>
    <row r="59" spans="1:9" x14ac:dyDescent="0.25">
      <c r="A59" s="5" t="s">
        <v>2422</v>
      </c>
      <c r="B59" s="5" t="s">
        <v>32</v>
      </c>
      <c r="C59" s="5" t="s">
        <v>159</v>
      </c>
      <c r="D59" s="5">
        <v>50</v>
      </c>
      <c r="E59" s="5">
        <v>130</v>
      </c>
      <c r="F59" s="5">
        <v>1</v>
      </c>
      <c r="G59" s="6">
        <f t="shared" si="0"/>
        <v>0.02</v>
      </c>
      <c r="H59" s="5">
        <v>2.6</v>
      </c>
      <c r="I59" s="6">
        <f>D59/(VLOOKUP(B59,'[1]2021 Team'!$B$2:$G$33,3,FALSE))</f>
        <v>0.11904761904761904</v>
      </c>
    </row>
    <row r="60" spans="1:9" x14ac:dyDescent="0.25">
      <c r="A60" s="5" t="s">
        <v>2422</v>
      </c>
      <c r="B60" s="5" t="s">
        <v>46</v>
      </c>
      <c r="C60" s="5" t="s">
        <v>159</v>
      </c>
      <c r="D60" s="5">
        <v>38</v>
      </c>
      <c r="E60" s="5">
        <v>119</v>
      </c>
      <c r="F60" s="5">
        <v>0</v>
      </c>
      <c r="G60" s="6">
        <f t="shared" si="0"/>
        <v>0</v>
      </c>
      <c r="H60" s="5">
        <v>3.1</v>
      </c>
      <c r="I60" s="6">
        <f>D60/(VLOOKUP(B60,'[1]2021 Team'!$B$2:$G$33,3,FALSE))</f>
        <v>8.5972850678733032E-2</v>
      </c>
    </row>
    <row r="61" spans="1:9" x14ac:dyDescent="0.25">
      <c r="A61" s="5" t="s">
        <v>1697</v>
      </c>
      <c r="B61" s="5" t="s">
        <v>58</v>
      </c>
      <c r="C61" s="5" t="s">
        <v>159</v>
      </c>
      <c r="D61" s="5">
        <v>87</v>
      </c>
      <c r="E61" s="5">
        <v>373</v>
      </c>
      <c r="F61" s="5">
        <v>7</v>
      </c>
      <c r="G61" s="6">
        <f t="shared" si="0"/>
        <v>8.0459770114942528E-2</v>
      </c>
      <c r="H61" s="5">
        <v>4.3</v>
      </c>
      <c r="I61" s="6">
        <f>D61/(VLOOKUP(B61,'[1]2021 Team'!$B$2:$G$33,3,FALSE))</f>
        <v>0.15818181818181817</v>
      </c>
    </row>
    <row r="62" spans="1:9" x14ac:dyDescent="0.25">
      <c r="A62" s="5" t="s">
        <v>2452</v>
      </c>
      <c r="B62" s="5" t="s">
        <v>58</v>
      </c>
      <c r="C62" s="5" t="s">
        <v>159</v>
      </c>
      <c r="D62" s="5">
        <v>86</v>
      </c>
      <c r="E62" s="5">
        <v>406</v>
      </c>
      <c r="F62" s="5">
        <v>3</v>
      </c>
      <c r="G62" s="6">
        <f t="shared" si="0"/>
        <v>3.4883720930232558E-2</v>
      </c>
      <c r="H62" s="5">
        <v>4.7</v>
      </c>
      <c r="I62" s="6">
        <f>D62/(VLOOKUP(B62,'[1]2021 Team'!$B$2:$G$33,3,FALSE))</f>
        <v>0.15636363636363637</v>
      </c>
    </row>
    <row r="63" spans="1:9" x14ac:dyDescent="0.25">
      <c r="A63" s="5" t="s">
        <v>2425</v>
      </c>
      <c r="B63" s="5" t="s">
        <v>56</v>
      </c>
      <c r="C63" s="5" t="s">
        <v>159</v>
      </c>
      <c r="D63" s="5">
        <v>84</v>
      </c>
      <c r="E63" s="5">
        <v>356</v>
      </c>
      <c r="F63" s="5">
        <v>0</v>
      </c>
      <c r="G63" s="6">
        <f t="shared" si="0"/>
        <v>0</v>
      </c>
      <c r="H63" s="5">
        <v>4.2</v>
      </c>
      <c r="I63" s="6">
        <f>D63/(VLOOKUP(B63,'[1]2021 Team'!$B$2:$G$33,3,FALSE))</f>
        <v>0.22105263157894736</v>
      </c>
    </row>
    <row r="64" spans="1:9" x14ac:dyDescent="0.25">
      <c r="A64" s="5" t="s">
        <v>1678</v>
      </c>
      <c r="B64" s="5" t="s">
        <v>62</v>
      </c>
      <c r="C64" s="5" t="s">
        <v>159</v>
      </c>
      <c r="D64" s="5">
        <v>79</v>
      </c>
      <c r="E64" s="5">
        <v>294</v>
      </c>
      <c r="F64" s="5">
        <v>2</v>
      </c>
      <c r="G64" s="6">
        <f t="shared" ref="G64:G123" si="1">F64/D64</f>
        <v>2.5316455696202531E-2</v>
      </c>
      <c r="H64" s="5">
        <v>3.7</v>
      </c>
      <c r="I64" s="6">
        <f>D64/(VLOOKUP(B64,'[1]2021 Team'!$B$2:$G$33,3,FALSE))</f>
        <v>0.15831663326653306</v>
      </c>
    </row>
    <row r="65" spans="1:9" x14ac:dyDescent="0.25">
      <c r="A65" s="5" t="s">
        <v>305</v>
      </c>
      <c r="B65" s="5" t="s">
        <v>22</v>
      </c>
      <c r="C65" s="5" t="s">
        <v>159</v>
      </c>
      <c r="D65" s="5">
        <v>78</v>
      </c>
      <c r="E65" s="5">
        <v>386</v>
      </c>
      <c r="F65" s="5">
        <v>5</v>
      </c>
      <c r="G65" s="6">
        <f t="shared" si="1"/>
        <v>6.4102564102564097E-2</v>
      </c>
      <c r="H65" s="5">
        <v>4.9000000000000004</v>
      </c>
      <c r="I65" s="6">
        <f>D65/(VLOOKUP(B65,'[1]2021 Team'!$B$2:$G$33,3,FALSE))</f>
        <v>0.16082474226804125</v>
      </c>
    </row>
    <row r="66" spans="1:9" x14ac:dyDescent="0.25">
      <c r="A66" s="5" t="s">
        <v>87</v>
      </c>
      <c r="B66" s="5" t="s">
        <v>36</v>
      </c>
      <c r="C66" s="5" t="s">
        <v>82</v>
      </c>
      <c r="D66" s="5">
        <v>73</v>
      </c>
      <c r="E66" s="5">
        <v>334</v>
      </c>
      <c r="F66" s="5">
        <v>2</v>
      </c>
      <c r="G66" s="6">
        <f t="shared" si="1"/>
        <v>2.7397260273972601E-2</v>
      </c>
      <c r="H66" s="5">
        <v>4.5999999999999996</v>
      </c>
      <c r="I66" s="6">
        <f>D66/(VLOOKUP(B66,'[1]2021 Team'!$B$2:$G$33,3,FALSE))</f>
        <v>0.18622448979591838</v>
      </c>
    </row>
    <row r="67" spans="1:9" x14ac:dyDescent="0.25">
      <c r="A67" s="5" t="s">
        <v>117</v>
      </c>
      <c r="B67" s="5" t="s">
        <v>18</v>
      </c>
      <c r="C67" s="5" t="s">
        <v>82</v>
      </c>
      <c r="D67" s="5">
        <v>72</v>
      </c>
      <c r="E67" s="5">
        <v>420</v>
      </c>
      <c r="F67" s="5">
        <v>2</v>
      </c>
      <c r="G67" s="6">
        <f t="shared" si="1"/>
        <v>2.7777777777777776E-2</v>
      </c>
      <c r="H67" s="5">
        <v>5.8</v>
      </c>
      <c r="I67" s="6">
        <f>D67/(VLOOKUP(B67,'[1]2021 Team'!$B$2:$G$33,3,FALSE))</f>
        <v>0.15157894736842106</v>
      </c>
    </row>
    <row r="68" spans="1:9" x14ac:dyDescent="0.25">
      <c r="A68" s="5" t="s">
        <v>2536</v>
      </c>
      <c r="B68" s="5" t="s">
        <v>36</v>
      </c>
      <c r="C68" s="5" t="s">
        <v>159</v>
      </c>
      <c r="D68" s="5">
        <v>72</v>
      </c>
      <c r="E68" s="5">
        <v>253</v>
      </c>
      <c r="F68" s="5">
        <v>1</v>
      </c>
      <c r="G68" s="6">
        <f t="shared" si="1"/>
        <v>1.3888888888888888E-2</v>
      </c>
      <c r="H68" s="5">
        <v>3.5</v>
      </c>
      <c r="I68" s="6">
        <f>D68/(VLOOKUP(B68,'[1]2021 Team'!$B$2:$G$33,3,FALSE))</f>
        <v>0.18367346938775511</v>
      </c>
    </row>
    <row r="69" spans="1:9" x14ac:dyDescent="0.25">
      <c r="A69" s="5" t="s">
        <v>2441</v>
      </c>
      <c r="B69" s="5" t="s">
        <v>46</v>
      </c>
      <c r="C69" s="5" t="s">
        <v>159</v>
      </c>
      <c r="D69" s="5">
        <v>71</v>
      </c>
      <c r="E69" s="5">
        <v>330</v>
      </c>
      <c r="F69" s="5">
        <v>3</v>
      </c>
      <c r="G69" s="6">
        <f t="shared" si="1"/>
        <v>4.2253521126760563E-2</v>
      </c>
      <c r="H69" s="5">
        <v>4.5999999999999996</v>
      </c>
      <c r="I69" s="6">
        <f>D69/(VLOOKUP(B69,'[1]2021 Team'!$B$2:$G$33,3,FALSE))</f>
        <v>0.16063348416289594</v>
      </c>
    </row>
    <row r="70" spans="1:9" x14ac:dyDescent="0.25">
      <c r="A70" s="5" t="s">
        <v>152</v>
      </c>
      <c r="B70" s="5" t="s">
        <v>52</v>
      </c>
      <c r="C70" s="5" t="s">
        <v>2384</v>
      </c>
      <c r="D70" s="5">
        <v>70</v>
      </c>
      <c r="E70" s="5">
        <v>374</v>
      </c>
      <c r="F70" s="5">
        <v>5</v>
      </c>
      <c r="G70" s="6">
        <f t="shared" si="1"/>
        <v>7.1428571428571425E-2</v>
      </c>
      <c r="H70" s="5">
        <v>5.3</v>
      </c>
      <c r="I70" s="6">
        <f>D70/(VLOOKUP(B70,'[1]2021 Team'!$B$2:$G$33,3,FALSE))</f>
        <v>0.13725490196078433</v>
      </c>
    </row>
    <row r="71" spans="1:9" x14ac:dyDescent="0.25">
      <c r="A71" s="5" t="s">
        <v>359</v>
      </c>
      <c r="B71" s="5" t="s">
        <v>58</v>
      </c>
      <c r="C71" s="5" t="s">
        <v>159</v>
      </c>
      <c r="D71" s="5">
        <v>68</v>
      </c>
      <c r="E71" s="5">
        <v>291</v>
      </c>
      <c r="F71" s="5">
        <v>5</v>
      </c>
      <c r="G71" s="6">
        <f t="shared" si="1"/>
        <v>7.3529411764705885E-2</v>
      </c>
      <c r="H71" s="5">
        <v>4.3</v>
      </c>
      <c r="I71" s="6">
        <f>D71/(VLOOKUP(B71,'[1]2021 Team'!$B$2:$G$33,3,FALSE))</f>
        <v>0.12363636363636364</v>
      </c>
    </row>
    <row r="72" spans="1:9" x14ac:dyDescent="0.25">
      <c r="A72" s="5" t="s">
        <v>2410</v>
      </c>
      <c r="B72" s="5" t="s">
        <v>42</v>
      </c>
      <c r="C72" s="5" t="s">
        <v>159</v>
      </c>
      <c r="D72" s="5">
        <v>68</v>
      </c>
      <c r="E72" s="5">
        <v>364</v>
      </c>
      <c r="F72" s="5">
        <v>2</v>
      </c>
      <c r="G72" s="6">
        <f t="shared" si="1"/>
        <v>2.9411764705882353E-2</v>
      </c>
      <c r="H72" s="5">
        <v>5.4</v>
      </c>
      <c r="I72" s="6">
        <f>D72/(VLOOKUP(B72,'[1]2021 Team'!$B$2:$G$33,3,FALSE))</f>
        <v>0.16075650118203311</v>
      </c>
    </row>
    <row r="73" spans="1:9" x14ac:dyDescent="0.25">
      <c r="A73" s="5" t="s">
        <v>469</v>
      </c>
      <c r="B73" s="5" t="s">
        <v>70</v>
      </c>
      <c r="C73" s="5" t="s">
        <v>159</v>
      </c>
      <c r="D73" s="5">
        <v>68</v>
      </c>
      <c r="E73" s="5">
        <v>266</v>
      </c>
      <c r="F73" s="5">
        <v>2</v>
      </c>
      <c r="G73" s="6">
        <f t="shared" si="1"/>
        <v>2.9411764705882353E-2</v>
      </c>
      <c r="H73" s="5">
        <v>3.9</v>
      </c>
      <c r="I73" s="6">
        <f>D73/(VLOOKUP(B73,'[1]2021 Team'!$B$2:$G$33,3,FALSE))</f>
        <v>0.14255765199161424</v>
      </c>
    </row>
    <row r="74" spans="1:9" x14ac:dyDescent="0.25">
      <c r="A74" s="5" t="s">
        <v>2427</v>
      </c>
      <c r="B74" s="5" t="s">
        <v>32</v>
      </c>
      <c r="C74" s="5" t="s">
        <v>159</v>
      </c>
      <c r="D74" s="5">
        <v>67</v>
      </c>
      <c r="E74" s="5">
        <v>228</v>
      </c>
      <c r="F74" s="5">
        <v>0</v>
      </c>
      <c r="G74" s="6">
        <f t="shared" si="1"/>
        <v>0</v>
      </c>
      <c r="H74" s="5">
        <v>3.4</v>
      </c>
      <c r="I74" s="6">
        <f>D74/(VLOOKUP(B74,'[1]2021 Team'!$B$2:$G$33,3,FALSE))</f>
        <v>0.15952380952380951</v>
      </c>
    </row>
    <row r="75" spans="1:9" x14ac:dyDescent="0.25">
      <c r="A75" s="5" t="s">
        <v>91</v>
      </c>
      <c r="B75" s="5" t="s">
        <v>38</v>
      </c>
      <c r="C75" s="5" t="s">
        <v>82</v>
      </c>
      <c r="D75" s="5">
        <v>66</v>
      </c>
      <c r="E75" s="5">
        <v>381</v>
      </c>
      <c r="F75" s="5">
        <v>2</v>
      </c>
      <c r="G75" s="6">
        <f t="shared" si="1"/>
        <v>3.0303030303030304E-2</v>
      </c>
      <c r="H75" s="5">
        <v>5.8</v>
      </c>
      <c r="I75" s="6">
        <f>D75/(VLOOKUP(B75,'[1]2021 Team'!$B$2:$G$33,3,FALSE))</f>
        <v>0.1531322505800464</v>
      </c>
    </row>
    <row r="76" spans="1:9" x14ac:dyDescent="0.25">
      <c r="A76" s="5" t="s">
        <v>1741</v>
      </c>
      <c r="B76" s="5" t="s">
        <v>40</v>
      </c>
      <c r="C76" s="5" t="s">
        <v>159</v>
      </c>
      <c r="D76" s="5">
        <v>63</v>
      </c>
      <c r="E76" s="5">
        <v>254</v>
      </c>
      <c r="F76" s="5">
        <v>2</v>
      </c>
      <c r="G76" s="6">
        <f t="shared" si="1"/>
        <v>3.1746031746031744E-2</v>
      </c>
      <c r="H76" s="5">
        <v>4</v>
      </c>
      <c r="I76" s="6">
        <f>D76/(VLOOKUP(B76,'[1]2021 Team'!$B$2:$G$33,3,FALSE))</f>
        <v>0.15217391304347827</v>
      </c>
    </row>
    <row r="77" spans="1:9" x14ac:dyDescent="0.25">
      <c r="A77" s="5" t="s">
        <v>90</v>
      </c>
      <c r="B77" s="5" t="s">
        <v>42</v>
      </c>
      <c r="C77" s="5" t="s">
        <v>82</v>
      </c>
      <c r="D77" s="5">
        <v>63</v>
      </c>
      <c r="E77" s="5">
        <v>302</v>
      </c>
      <c r="F77" s="5">
        <v>3</v>
      </c>
      <c r="G77" s="6">
        <f t="shared" si="1"/>
        <v>4.7619047619047616E-2</v>
      </c>
      <c r="H77" s="5">
        <v>4.8</v>
      </c>
      <c r="I77" s="6">
        <f>D77/(VLOOKUP(B77,'[1]2021 Team'!$B$2:$G$33,3,FALSE))</f>
        <v>0.14893617021276595</v>
      </c>
    </row>
    <row r="78" spans="1:9" x14ac:dyDescent="0.25">
      <c r="A78" s="5" t="s">
        <v>102</v>
      </c>
      <c r="B78" s="5" t="s">
        <v>54</v>
      </c>
      <c r="C78" s="5" t="s">
        <v>82</v>
      </c>
      <c r="D78" s="5">
        <v>62</v>
      </c>
      <c r="E78" s="5">
        <v>298</v>
      </c>
      <c r="F78" s="5">
        <v>2</v>
      </c>
      <c r="G78" s="6">
        <f t="shared" si="1"/>
        <v>3.2258064516129031E-2</v>
      </c>
      <c r="H78" s="5">
        <v>4.8</v>
      </c>
      <c r="I78" s="6">
        <f>D78/(VLOOKUP(B78,'[1]2021 Team'!$B$2:$G$33,3,FALSE))</f>
        <v>0.14797136038186157</v>
      </c>
    </row>
    <row r="79" spans="1:9" x14ac:dyDescent="0.25">
      <c r="A79" s="5" t="s">
        <v>431</v>
      </c>
      <c r="B79" s="5" t="s">
        <v>56</v>
      </c>
      <c r="C79" s="5" t="s">
        <v>159</v>
      </c>
      <c r="D79" s="5">
        <v>61</v>
      </c>
      <c r="E79" s="5">
        <v>238</v>
      </c>
      <c r="F79" s="5">
        <v>2</v>
      </c>
      <c r="G79" s="6">
        <f t="shared" si="1"/>
        <v>3.2786885245901641E-2</v>
      </c>
      <c r="H79" s="5">
        <v>3.9</v>
      </c>
      <c r="I79" s="6">
        <f>D79/(VLOOKUP(B79,'[1]2021 Team'!$B$2:$G$33,3,FALSE))</f>
        <v>0.16052631578947368</v>
      </c>
    </row>
    <row r="80" spans="1:9" x14ac:dyDescent="0.25">
      <c r="A80" s="5" t="s">
        <v>1560</v>
      </c>
      <c r="B80" s="5" t="s">
        <v>70</v>
      </c>
      <c r="C80" s="5" t="s">
        <v>82</v>
      </c>
      <c r="D80" s="5">
        <v>60</v>
      </c>
      <c r="E80" s="5">
        <v>313</v>
      </c>
      <c r="F80" s="5">
        <v>1</v>
      </c>
      <c r="G80" s="6">
        <f t="shared" si="1"/>
        <v>1.6666666666666666E-2</v>
      </c>
      <c r="H80" s="5">
        <v>5.2</v>
      </c>
      <c r="I80" s="6">
        <f>D80/(VLOOKUP(B80,'[1]2021 Team'!$B$2:$G$33,3,FALSE))</f>
        <v>0.12578616352201258</v>
      </c>
    </row>
    <row r="81" spans="1:9" x14ac:dyDescent="0.25">
      <c r="A81" s="5" t="s">
        <v>534</v>
      </c>
      <c r="B81" s="5" t="s">
        <v>62</v>
      </c>
      <c r="C81" s="5" t="s">
        <v>163</v>
      </c>
      <c r="D81" s="5">
        <v>59</v>
      </c>
      <c r="E81" s="5">
        <v>365</v>
      </c>
      <c r="F81" s="5">
        <v>8</v>
      </c>
      <c r="G81" s="6">
        <f t="shared" si="1"/>
        <v>0.13559322033898305</v>
      </c>
      <c r="H81" s="5">
        <v>6.2</v>
      </c>
      <c r="I81" s="6">
        <f>D81/(VLOOKUP(B81,'[1]2021 Team'!$B$2:$G$33,3,FALSE))</f>
        <v>0.11823647294589178</v>
      </c>
    </row>
    <row r="82" spans="1:9" x14ac:dyDescent="0.25">
      <c r="A82" s="5" t="s">
        <v>120</v>
      </c>
      <c r="B82" s="5" t="s">
        <v>34</v>
      </c>
      <c r="C82" s="5" t="s">
        <v>82</v>
      </c>
      <c r="D82" s="5">
        <v>57</v>
      </c>
      <c r="E82" s="5">
        <v>215</v>
      </c>
      <c r="F82" s="5">
        <v>1</v>
      </c>
      <c r="G82" s="6">
        <f t="shared" si="1"/>
        <v>1.7543859649122806E-2</v>
      </c>
      <c r="H82" s="5">
        <v>3.8</v>
      </c>
      <c r="I82" s="6">
        <f>D82/(VLOOKUP(B82,'[1]2021 Team'!$B$2:$G$33,3,FALSE))</f>
        <v>0.11422845691382766</v>
      </c>
    </row>
    <row r="83" spans="1:9" x14ac:dyDescent="0.25">
      <c r="A83" s="5" t="s">
        <v>2413</v>
      </c>
      <c r="B83" s="5" t="s">
        <v>68</v>
      </c>
      <c r="C83" s="5" t="s">
        <v>159</v>
      </c>
      <c r="D83" s="5">
        <v>56</v>
      </c>
      <c r="E83" s="5">
        <v>350</v>
      </c>
      <c r="F83" s="5">
        <v>2</v>
      </c>
      <c r="G83" s="6">
        <f t="shared" si="1"/>
        <v>3.5714285714285712E-2</v>
      </c>
      <c r="H83" s="5">
        <v>6.3</v>
      </c>
      <c r="I83" s="6">
        <f>D83/(VLOOKUP(B83,'[1]2021 Team'!$B$2:$G$33,3,FALSE))</f>
        <v>0.10163339382940109</v>
      </c>
    </row>
    <row r="84" spans="1:9" x14ac:dyDescent="0.25">
      <c r="A84" s="5" t="s">
        <v>713</v>
      </c>
      <c r="B84" s="5" t="s">
        <v>34</v>
      </c>
      <c r="C84" s="5" t="s">
        <v>159</v>
      </c>
      <c r="D84" s="5">
        <v>56</v>
      </c>
      <c r="E84" s="5">
        <v>276</v>
      </c>
      <c r="F84" s="5">
        <v>2</v>
      </c>
      <c r="G84" s="6">
        <f t="shared" si="1"/>
        <v>3.5714285714285712E-2</v>
      </c>
      <c r="H84" s="5">
        <v>4.9000000000000004</v>
      </c>
      <c r="I84" s="6">
        <f>D84/(VLOOKUP(B84,'[1]2021 Team'!$B$2:$G$33,3,FALSE))</f>
        <v>0.11222444889779559</v>
      </c>
    </row>
    <row r="85" spans="1:9" x14ac:dyDescent="0.25">
      <c r="A85" s="5" t="s">
        <v>1664</v>
      </c>
      <c r="B85" s="5" t="s">
        <v>16</v>
      </c>
      <c r="C85" s="5" t="s">
        <v>159</v>
      </c>
      <c r="D85" s="5">
        <v>21</v>
      </c>
      <c r="E85" s="5">
        <v>77</v>
      </c>
      <c r="F85" s="5">
        <v>0</v>
      </c>
      <c r="G85" s="6">
        <f t="shared" si="1"/>
        <v>0</v>
      </c>
      <c r="H85" s="5">
        <v>3.7</v>
      </c>
      <c r="I85" s="6">
        <f>D85/(VLOOKUP(B85,'[1]2021 Team'!$B$2:$G$33,3,FALSE))</f>
        <v>4.6153846153846156E-2</v>
      </c>
    </row>
    <row r="86" spans="1:9" x14ac:dyDescent="0.25">
      <c r="A86" s="5" t="s">
        <v>1664</v>
      </c>
      <c r="B86" s="5" t="s">
        <v>32</v>
      </c>
      <c r="C86" s="5" t="s">
        <v>159</v>
      </c>
      <c r="D86" s="5">
        <v>35</v>
      </c>
      <c r="E86" s="5">
        <v>92</v>
      </c>
      <c r="F86" s="5">
        <v>0</v>
      </c>
      <c r="G86" s="6">
        <f t="shared" si="1"/>
        <v>0</v>
      </c>
      <c r="H86" s="5">
        <v>2.6</v>
      </c>
      <c r="I86" s="6">
        <f>D86/(VLOOKUP(B86,'[1]2021 Team'!$B$2:$G$33,3,FALSE))</f>
        <v>8.3333333333333329E-2</v>
      </c>
    </row>
    <row r="87" spans="1:9" x14ac:dyDescent="0.25">
      <c r="A87" s="5" t="s">
        <v>2537</v>
      </c>
      <c r="B87" s="5" t="s">
        <v>40</v>
      </c>
      <c r="C87" s="5" t="s">
        <v>159</v>
      </c>
      <c r="D87" s="5">
        <v>55</v>
      </c>
      <c r="E87" s="5">
        <v>212</v>
      </c>
      <c r="F87" s="5">
        <v>2</v>
      </c>
      <c r="G87" s="6">
        <f t="shared" si="1"/>
        <v>3.6363636363636362E-2</v>
      </c>
      <c r="H87" s="5">
        <v>3.9</v>
      </c>
      <c r="I87" s="6">
        <f>D87/(VLOOKUP(B87,'[1]2021 Team'!$B$2:$G$33,3,FALSE))</f>
        <v>0.13285024154589373</v>
      </c>
    </row>
    <row r="88" spans="1:9" x14ac:dyDescent="0.25">
      <c r="A88" s="5" t="s">
        <v>404</v>
      </c>
      <c r="B88" s="5" t="s">
        <v>20</v>
      </c>
      <c r="C88" s="5" t="s">
        <v>159</v>
      </c>
      <c r="D88" s="5">
        <v>55</v>
      </c>
      <c r="E88" s="5">
        <v>246</v>
      </c>
      <c r="F88" s="5">
        <v>1</v>
      </c>
      <c r="G88" s="6">
        <f t="shared" si="1"/>
        <v>1.8181818181818181E-2</v>
      </c>
      <c r="H88" s="5">
        <v>4.5</v>
      </c>
      <c r="I88" s="6">
        <f>D88/(VLOOKUP(B88,'[1]2021 Team'!$B$2:$G$33,3,FALSE))</f>
        <v>0.12614678899082568</v>
      </c>
    </row>
    <row r="89" spans="1:9" x14ac:dyDescent="0.25">
      <c r="A89" s="5" t="s">
        <v>688</v>
      </c>
      <c r="B89" s="5" t="s">
        <v>28</v>
      </c>
      <c r="C89" s="5" t="s">
        <v>159</v>
      </c>
      <c r="D89" s="5">
        <v>55</v>
      </c>
      <c r="E89" s="5">
        <v>230</v>
      </c>
      <c r="F89" s="5">
        <v>0</v>
      </c>
      <c r="G89" s="6">
        <f t="shared" si="1"/>
        <v>0</v>
      </c>
      <c r="H89" s="5">
        <v>4.2</v>
      </c>
      <c r="I89" s="6">
        <f>D89/(VLOOKUP(B89,'[1]2021 Team'!$B$2:$G$33,3,FALSE))</f>
        <v>0.1288056206088993</v>
      </c>
    </row>
    <row r="90" spans="1:9" x14ac:dyDescent="0.25">
      <c r="A90" s="5" t="s">
        <v>1555</v>
      </c>
      <c r="B90" s="5" t="s">
        <v>68</v>
      </c>
      <c r="C90" s="5" t="s">
        <v>82</v>
      </c>
      <c r="D90" s="5">
        <v>55</v>
      </c>
      <c r="E90" s="5">
        <v>270</v>
      </c>
      <c r="F90" s="5">
        <v>7</v>
      </c>
      <c r="G90" s="6">
        <f t="shared" si="1"/>
        <v>0.12727272727272726</v>
      </c>
      <c r="H90" s="5">
        <v>4.9000000000000004</v>
      </c>
      <c r="I90" s="6">
        <f>D90/(VLOOKUP(B90,'[1]2021 Team'!$B$2:$G$33,3,FALSE))</f>
        <v>9.9818511796733206E-2</v>
      </c>
    </row>
    <row r="91" spans="1:9" x14ac:dyDescent="0.25">
      <c r="A91" s="5" t="s">
        <v>1695</v>
      </c>
      <c r="B91" s="5" t="s">
        <v>46</v>
      </c>
      <c r="C91" s="5" t="s">
        <v>159</v>
      </c>
      <c r="D91" s="5">
        <v>54</v>
      </c>
      <c r="E91" s="5">
        <v>149</v>
      </c>
      <c r="F91" s="5">
        <v>0</v>
      </c>
      <c r="G91" s="6">
        <f t="shared" si="1"/>
        <v>0</v>
      </c>
      <c r="H91" s="5">
        <v>2.8</v>
      </c>
      <c r="I91" s="6">
        <f>D91/(VLOOKUP(B91,'[1]2021 Team'!$B$2:$G$33,3,FALSE))</f>
        <v>0.12217194570135746</v>
      </c>
    </row>
    <row r="92" spans="1:9" x14ac:dyDescent="0.25">
      <c r="A92" s="5" t="s">
        <v>2538</v>
      </c>
      <c r="B92" s="5" t="s">
        <v>64</v>
      </c>
      <c r="C92" s="5" t="s">
        <v>159</v>
      </c>
      <c r="D92" s="5">
        <v>54</v>
      </c>
      <c r="E92" s="5">
        <v>232</v>
      </c>
      <c r="F92" s="5">
        <v>3</v>
      </c>
      <c r="G92" s="6">
        <f t="shared" si="1"/>
        <v>5.5555555555555552E-2</v>
      </c>
      <c r="H92" s="5">
        <v>4.3</v>
      </c>
      <c r="I92" s="6">
        <f>D92/(VLOOKUP(B92,'[1]2021 Team'!$B$2:$G$33,3,FALSE))</f>
        <v>0.13075060532687652</v>
      </c>
    </row>
    <row r="93" spans="1:9" x14ac:dyDescent="0.25">
      <c r="A93" s="5" t="s">
        <v>1689</v>
      </c>
      <c r="B93" s="5" t="s">
        <v>52</v>
      </c>
      <c r="C93" s="5" t="s">
        <v>159</v>
      </c>
      <c r="D93" s="5">
        <v>54</v>
      </c>
      <c r="E93" s="5">
        <v>142</v>
      </c>
      <c r="F93" s="5">
        <v>0</v>
      </c>
      <c r="G93" s="6">
        <f t="shared" si="1"/>
        <v>0</v>
      </c>
      <c r="H93" s="5">
        <v>2.6</v>
      </c>
      <c r="I93" s="6">
        <f>D93/(VLOOKUP(B93,'[1]2021 Team'!$B$2:$G$33,3,FALSE))</f>
        <v>0.10588235294117647</v>
      </c>
    </row>
    <row r="94" spans="1:9" x14ac:dyDescent="0.25">
      <c r="A94" s="5" t="s">
        <v>1730</v>
      </c>
      <c r="B94" s="5" t="s">
        <v>38</v>
      </c>
      <c r="C94" s="5" t="s">
        <v>159</v>
      </c>
      <c r="D94" s="5">
        <v>51</v>
      </c>
      <c r="E94" s="5">
        <v>256</v>
      </c>
      <c r="F94" s="5">
        <v>2</v>
      </c>
      <c r="G94" s="6">
        <f t="shared" si="1"/>
        <v>3.9215686274509803E-2</v>
      </c>
      <c r="H94" s="5">
        <v>5</v>
      </c>
      <c r="I94" s="6">
        <f>D94/(VLOOKUP(B94,'[1]2021 Team'!$B$2:$G$33,3,FALSE))</f>
        <v>0.11832946635730858</v>
      </c>
    </row>
    <row r="95" spans="1:9" x14ac:dyDescent="0.25">
      <c r="A95" s="5" t="s">
        <v>567</v>
      </c>
      <c r="B95" s="5" t="s">
        <v>48</v>
      </c>
      <c r="C95" s="5" t="s">
        <v>159</v>
      </c>
      <c r="D95" s="5">
        <v>7</v>
      </c>
      <c r="E95" s="5">
        <v>30</v>
      </c>
      <c r="F95" s="5">
        <v>0</v>
      </c>
      <c r="G95" s="6">
        <f t="shared" si="1"/>
        <v>0</v>
      </c>
      <c r="H95" s="5">
        <v>4.3</v>
      </c>
      <c r="I95" s="6">
        <f>D95/(VLOOKUP(B95,'[1]2021 Team'!$B$2:$G$33,3,FALSE))</f>
        <v>1.5590200445434299E-2</v>
      </c>
    </row>
    <row r="96" spans="1:9" x14ac:dyDescent="0.25">
      <c r="A96" s="5" t="s">
        <v>567</v>
      </c>
      <c r="B96" s="5" t="s">
        <v>16</v>
      </c>
      <c r="C96" s="5" t="s">
        <v>159</v>
      </c>
      <c r="D96" s="5">
        <v>44</v>
      </c>
      <c r="E96" s="5">
        <v>136</v>
      </c>
      <c r="F96" s="5">
        <v>0</v>
      </c>
      <c r="G96" s="6">
        <f t="shared" si="1"/>
        <v>0</v>
      </c>
      <c r="H96" s="5">
        <v>3.1</v>
      </c>
      <c r="I96" s="6">
        <f>D96/(VLOOKUP(B96,'[1]2021 Team'!$B$2:$G$33,3,FALSE))</f>
        <v>9.6703296703296707E-2</v>
      </c>
    </row>
    <row r="97" spans="1:9" x14ac:dyDescent="0.25">
      <c r="A97" s="5" t="s">
        <v>96</v>
      </c>
      <c r="B97" s="5" t="s">
        <v>16</v>
      </c>
      <c r="C97" s="5" t="s">
        <v>82</v>
      </c>
      <c r="D97" s="5">
        <v>48</v>
      </c>
      <c r="E97" s="5">
        <v>222</v>
      </c>
      <c r="F97" s="5">
        <v>5</v>
      </c>
      <c r="G97" s="6">
        <f t="shared" si="1"/>
        <v>0.10416666666666667</v>
      </c>
      <c r="H97" s="5">
        <v>4.5999999999999996</v>
      </c>
      <c r="I97" s="6">
        <f>D97/(VLOOKUP(B97,'[1]2021 Team'!$B$2:$G$33,3,FALSE))</f>
        <v>0.10549450549450549</v>
      </c>
    </row>
    <row r="98" spans="1:9" x14ac:dyDescent="0.25">
      <c r="A98" s="5" t="s">
        <v>2414</v>
      </c>
      <c r="B98" s="5" t="s">
        <v>70</v>
      </c>
      <c r="C98" s="5" t="s">
        <v>159</v>
      </c>
      <c r="D98" s="5">
        <v>48</v>
      </c>
      <c r="E98" s="5">
        <v>212</v>
      </c>
      <c r="F98" s="5">
        <v>2</v>
      </c>
      <c r="G98" s="6">
        <f t="shared" si="1"/>
        <v>4.1666666666666664E-2</v>
      </c>
      <c r="H98" s="5">
        <v>4.4000000000000004</v>
      </c>
      <c r="I98" s="6">
        <f>D98/(VLOOKUP(B98,'[1]2021 Team'!$B$2:$G$33,3,FALSE))</f>
        <v>0.10062893081761007</v>
      </c>
    </row>
    <row r="99" spans="1:9" x14ac:dyDescent="0.25">
      <c r="A99" s="5" t="s">
        <v>83</v>
      </c>
      <c r="B99" s="5" t="s">
        <v>24</v>
      </c>
      <c r="C99" s="5" t="s">
        <v>82</v>
      </c>
      <c r="D99" s="5">
        <v>48</v>
      </c>
      <c r="E99" s="5">
        <v>146</v>
      </c>
      <c r="F99" s="5">
        <v>1</v>
      </c>
      <c r="G99" s="6">
        <f t="shared" si="1"/>
        <v>2.0833333333333332E-2</v>
      </c>
      <c r="H99" s="5">
        <v>3</v>
      </c>
      <c r="I99" s="6">
        <f>D99/(VLOOKUP(B99,'[1]2021 Team'!$B$2:$G$33,3,FALSE))</f>
        <v>0.1014799154334038</v>
      </c>
    </row>
    <row r="100" spans="1:9" x14ac:dyDescent="0.25">
      <c r="A100" s="5" t="s">
        <v>130</v>
      </c>
      <c r="B100" s="5" t="s">
        <v>12</v>
      </c>
      <c r="C100" s="5" t="s">
        <v>82</v>
      </c>
      <c r="D100" s="5">
        <v>47</v>
      </c>
      <c r="E100" s="5">
        <v>294</v>
      </c>
      <c r="F100" s="5">
        <v>2</v>
      </c>
      <c r="G100" s="6">
        <f t="shared" si="1"/>
        <v>4.2553191489361701E-2</v>
      </c>
      <c r="H100" s="5">
        <v>6.3</v>
      </c>
      <c r="I100" s="6">
        <f>D100/(VLOOKUP(B100,'[1]2021 Team'!$B$2:$G$33,3,FALSE))</f>
        <v>9.0909090909090912E-2</v>
      </c>
    </row>
    <row r="101" spans="1:9" x14ac:dyDescent="0.25">
      <c r="A101" s="5" t="s">
        <v>2386</v>
      </c>
      <c r="B101" s="5" t="s">
        <v>16</v>
      </c>
      <c r="C101" s="5" t="s">
        <v>82</v>
      </c>
      <c r="D101" s="5">
        <v>47</v>
      </c>
      <c r="E101" s="5">
        <v>230</v>
      </c>
      <c r="F101" s="5">
        <v>5</v>
      </c>
      <c r="G101" s="6">
        <f t="shared" si="1"/>
        <v>0.10638297872340426</v>
      </c>
      <c r="H101" s="5">
        <v>4.9000000000000004</v>
      </c>
      <c r="I101" s="6">
        <f>D101/(VLOOKUP(B101,'[1]2021 Team'!$B$2:$G$33,3,FALSE))</f>
        <v>0.10329670329670329</v>
      </c>
    </row>
    <row r="102" spans="1:9" x14ac:dyDescent="0.25">
      <c r="A102" s="5" t="s">
        <v>1723</v>
      </c>
      <c r="B102" s="5" t="s">
        <v>50</v>
      </c>
      <c r="C102" s="5" t="s">
        <v>159</v>
      </c>
      <c r="D102" s="5">
        <v>44</v>
      </c>
      <c r="E102" s="5">
        <v>226</v>
      </c>
      <c r="F102" s="5">
        <v>1</v>
      </c>
      <c r="G102" s="6">
        <f t="shared" si="1"/>
        <v>2.2727272727272728E-2</v>
      </c>
      <c r="H102" s="5">
        <v>5.0999999999999996</v>
      </c>
      <c r="I102" s="6">
        <f>D102/(VLOOKUP(B102,'[1]2021 Team'!$B$2:$G$33,3,FALSE))</f>
        <v>8.9979550102249492E-2</v>
      </c>
    </row>
    <row r="103" spans="1:9" x14ac:dyDescent="0.25">
      <c r="A103" s="5" t="s">
        <v>107</v>
      </c>
      <c r="B103" s="5" t="s">
        <v>50</v>
      </c>
      <c r="C103" s="5" t="s">
        <v>82</v>
      </c>
      <c r="D103" s="5">
        <v>44</v>
      </c>
      <c r="E103" s="5">
        <v>129</v>
      </c>
      <c r="F103" s="5">
        <v>0</v>
      </c>
      <c r="G103" s="6">
        <f t="shared" si="1"/>
        <v>0</v>
      </c>
      <c r="H103" s="5">
        <v>2.9</v>
      </c>
      <c r="I103" s="6">
        <f>D103/(VLOOKUP(B103,'[1]2021 Team'!$B$2:$G$33,3,FALSE))</f>
        <v>8.9979550102249492E-2</v>
      </c>
    </row>
    <row r="104" spans="1:9" x14ac:dyDescent="0.25">
      <c r="A104" s="5" t="s">
        <v>595</v>
      </c>
      <c r="B104" s="5" t="s">
        <v>36</v>
      </c>
      <c r="C104" s="5" t="s">
        <v>159</v>
      </c>
      <c r="D104" s="5">
        <v>43</v>
      </c>
      <c r="E104" s="5">
        <v>137</v>
      </c>
      <c r="F104" s="5">
        <v>1</v>
      </c>
      <c r="G104" s="6">
        <f t="shared" si="1"/>
        <v>2.3255813953488372E-2</v>
      </c>
      <c r="H104" s="5">
        <v>3.2</v>
      </c>
      <c r="I104" s="6">
        <f>D104/(VLOOKUP(B104,'[1]2021 Team'!$B$2:$G$33,3,FALSE))</f>
        <v>0.10969387755102041</v>
      </c>
    </row>
    <row r="105" spans="1:9" x14ac:dyDescent="0.25">
      <c r="A105" s="5" t="s">
        <v>126</v>
      </c>
      <c r="B105" s="5" t="s">
        <v>64</v>
      </c>
      <c r="C105" s="5" t="s">
        <v>82</v>
      </c>
      <c r="D105" s="5">
        <v>43</v>
      </c>
      <c r="E105" s="5">
        <v>183</v>
      </c>
      <c r="F105" s="5">
        <v>2</v>
      </c>
      <c r="G105" s="6">
        <f t="shared" si="1"/>
        <v>4.6511627906976744E-2</v>
      </c>
      <c r="H105" s="5">
        <v>4.3</v>
      </c>
      <c r="I105" s="6">
        <f>D105/(VLOOKUP(B105,'[1]2021 Team'!$B$2:$G$33,3,FALSE))</f>
        <v>0.10411622276029056</v>
      </c>
    </row>
    <row r="106" spans="1:9" x14ac:dyDescent="0.25">
      <c r="A106" s="5" t="s">
        <v>103</v>
      </c>
      <c r="B106" s="5" t="s">
        <v>46</v>
      </c>
      <c r="C106" s="5" t="s">
        <v>82</v>
      </c>
      <c r="D106" s="5">
        <v>42</v>
      </c>
      <c r="E106" s="5">
        <v>128</v>
      </c>
      <c r="F106" s="5">
        <v>3</v>
      </c>
      <c r="G106" s="6">
        <f t="shared" si="1"/>
        <v>7.1428571428571425E-2</v>
      </c>
      <c r="H106" s="5">
        <v>3</v>
      </c>
      <c r="I106" s="6">
        <f>D106/(VLOOKUP(B106,'[1]2021 Team'!$B$2:$G$33,3,FALSE))</f>
        <v>9.5022624434389136E-2</v>
      </c>
    </row>
    <row r="107" spans="1:9" x14ac:dyDescent="0.25">
      <c r="A107" s="5" t="s">
        <v>439</v>
      </c>
      <c r="B107" s="5" t="s">
        <v>68</v>
      </c>
      <c r="C107" s="5" t="s">
        <v>159</v>
      </c>
      <c r="D107" s="5">
        <v>41</v>
      </c>
      <c r="E107" s="5">
        <v>156</v>
      </c>
      <c r="F107" s="5">
        <v>0</v>
      </c>
      <c r="G107" s="6">
        <f t="shared" si="1"/>
        <v>0</v>
      </c>
      <c r="H107" s="5">
        <v>3.8</v>
      </c>
      <c r="I107" s="6">
        <f>D107/(VLOOKUP(B107,'[1]2021 Team'!$B$2:$G$33,3,FALSE))</f>
        <v>7.441016333938294E-2</v>
      </c>
    </row>
    <row r="108" spans="1:9" x14ac:dyDescent="0.25">
      <c r="A108" s="5" t="s">
        <v>1682</v>
      </c>
      <c r="B108" s="5" t="s">
        <v>62</v>
      </c>
      <c r="C108" s="5" t="s">
        <v>159</v>
      </c>
      <c r="D108" s="5">
        <v>41</v>
      </c>
      <c r="E108" s="5">
        <v>167</v>
      </c>
      <c r="F108" s="5">
        <v>1</v>
      </c>
      <c r="G108" s="6">
        <f t="shared" si="1"/>
        <v>2.4390243902439025E-2</v>
      </c>
      <c r="H108" s="5">
        <v>4.0999999999999996</v>
      </c>
      <c r="I108" s="6">
        <f>D108/(VLOOKUP(B108,'[1]2021 Team'!$B$2:$G$33,3,FALSE))</f>
        <v>8.2164328657314628E-2</v>
      </c>
    </row>
    <row r="109" spans="1:9" x14ac:dyDescent="0.25">
      <c r="A109" s="5" t="s">
        <v>111</v>
      </c>
      <c r="B109" s="5" t="s">
        <v>20</v>
      </c>
      <c r="C109" s="5" t="s">
        <v>82</v>
      </c>
      <c r="D109" s="5">
        <v>40</v>
      </c>
      <c r="E109" s="5">
        <v>118</v>
      </c>
      <c r="F109" s="5">
        <v>2</v>
      </c>
      <c r="G109" s="6">
        <f t="shared" si="1"/>
        <v>0.05</v>
      </c>
      <c r="H109" s="5">
        <v>3</v>
      </c>
      <c r="I109" s="6">
        <f>D109/(VLOOKUP(B109,'[1]2021 Team'!$B$2:$G$33,3,FALSE))</f>
        <v>9.1743119266055051E-2</v>
      </c>
    </row>
    <row r="110" spans="1:9" x14ac:dyDescent="0.25">
      <c r="A110" s="5" t="s">
        <v>1552</v>
      </c>
      <c r="B110" s="5" t="s">
        <v>40</v>
      </c>
      <c r="C110" s="5" t="s">
        <v>82</v>
      </c>
      <c r="D110" s="5">
        <v>40</v>
      </c>
      <c r="E110" s="5">
        <v>108</v>
      </c>
      <c r="F110" s="5">
        <v>0</v>
      </c>
      <c r="G110" s="6">
        <f t="shared" si="1"/>
        <v>0</v>
      </c>
      <c r="H110" s="5">
        <v>2.7</v>
      </c>
      <c r="I110" s="6">
        <f>D110/(VLOOKUP(B110,'[1]2021 Team'!$B$2:$G$33,3,FALSE))</f>
        <v>9.6618357487922704E-2</v>
      </c>
    </row>
    <row r="111" spans="1:9" x14ac:dyDescent="0.25">
      <c r="A111" s="5" t="s">
        <v>2365</v>
      </c>
      <c r="B111" s="5" t="s">
        <v>10</v>
      </c>
      <c r="C111" s="5" t="s">
        <v>82</v>
      </c>
      <c r="D111" s="5">
        <v>40</v>
      </c>
      <c r="E111" s="5">
        <v>82</v>
      </c>
      <c r="F111" s="5">
        <v>1</v>
      </c>
      <c r="G111" s="6">
        <f t="shared" si="1"/>
        <v>2.5000000000000001E-2</v>
      </c>
      <c r="H111" s="5">
        <v>2.1</v>
      </c>
      <c r="I111" s="6">
        <f>D111/(VLOOKUP(B111,'[1]2021 Team'!$B$2:$G$33,3,FALSE))</f>
        <v>0.10178117048346055</v>
      </c>
    </row>
    <row r="112" spans="1:9" x14ac:dyDescent="0.25">
      <c r="A112" s="5" t="s">
        <v>1707</v>
      </c>
      <c r="B112" s="5" t="s">
        <v>18</v>
      </c>
      <c r="C112" s="5" t="s">
        <v>159</v>
      </c>
      <c r="D112" s="5">
        <v>40</v>
      </c>
      <c r="E112" s="5">
        <v>164</v>
      </c>
      <c r="F112" s="5">
        <v>2</v>
      </c>
      <c r="G112" s="6">
        <f t="shared" si="1"/>
        <v>0.05</v>
      </c>
      <c r="H112" s="5">
        <v>4.0999999999999996</v>
      </c>
      <c r="I112" s="6">
        <f>D112/(VLOOKUP(B112,'[1]2021 Team'!$B$2:$G$33,3,FALSE))</f>
        <v>8.4210526315789472E-2</v>
      </c>
    </row>
    <row r="113" spans="1:9" x14ac:dyDescent="0.25">
      <c r="A113" s="5" t="s">
        <v>2539</v>
      </c>
      <c r="B113" s="5" t="s">
        <v>12</v>
      </c>
      <c r="C113" s="5" t="s">
        <v>159</v>
      </c>
      <c r="D113" s="5">
        <v>31</v>
      </c>
      <c r="E113" s="5">
        <v>83</v>
      </c>
      <c r="F113" s="5">
        <v>2</v>
      </c>
      <c r="G113" s="6">
        <f t="shared" si="1"/>
        <v>6.4516129032258063E-2</v>
      </c>
      <c r="H113" s="5">
        <v>2.7</v>
      </c>
      <c r="I113" s="6">
        <f>D113/(VLOOKUP(B113,'[1]2021 Team'!$B$2:$G$33,3,FALSE))</f>
        <v>5.9961315280464215E-2</v>
      </c>
    </row>
    <row r="114" spans="1:9" x14ac:dyDescent="0.25">
      <c r="A114" s="5" t="s">
        <v>2539</v>
      </c>
      <c r="B114" s="5" t="s">
        <v>66</v>
      </c>
      <c r="C114" s="5" t="s">
        <v>159</v>
      </c>
      <c r="D114" s="5">
        <v>8</v>
      </c>
      <c r="E114" s="5">
        <v>18</v>
      </c>
      <c r="F114" s="5">
        <v>0</v>
      </c>
      <c r="G114" s="6">
        <f t="shared" si="1"/>
        <v>0</v>
      </c>
      <c r="H114" s="5">
        <v>2.2999999999999998</v>
      </c>
      <c r="I114" s="6">
        <f>D114/(VLOOKUP(B114,'[1]2021 Team'!$B$2:$G$33,3,FALSE))</f>
        <v>2.0779220779220779E-2</v>
      </c>
    </row>
    <row r="115" spans="1:9" x14ac:dyDescent="0.25">
      <c r="A115" s="5" t="s">
        <v>617</v>
      </c>
      <c r="B115" s="5" t="s">
        <v>62</v>
      </c>
      <c r="C115" s="5" t="s">
        <v>82</v>
      </c>
      <c r="D115" s="5">
        <v>38</v>
      </c>
      <c r="E115" s="5">
        <v>51</v>
      </c>
      <c r="F115" s="5">
        <v>3</v>
      </c>
      <c r="G115" s="6">
        <f t="shared" si="1"/>
        <v>7.8947368421052627E-2</v>
      </c>
      <c r="H115" s="5">
        <v>1.3</v>
      </c>
      <c r="I115" s="6">
        <f>D115/(VLOOKUP(B115,'[1]2021 Team'!$B$2:$G$33,3,FALSE))</f>
        <v>7.6152304609218444E-2</v>
      </c>
    </row>
    <row r="116" spans="1:9" x14ac:dyDescent="0.25">
      <c r="A116" s="5" t="s">
        <v>133</v>
      </c>
      <c r="B116" s="5" t="s">
        <v>62</v>
      </c>
      <c r="C116" s="5" t="s">
        <v>82</v>
      </c>
      <c r="D116" s="5">
        <v>38</v>
      </c>
      <c r="E116" s="5">
        <v>168</v>
      </c>
      <c r="F116" s="5">
        <v>1</v>
      </c>
      <c r="G116" s="6">
        <f t="shared" si="1"/>
        <v>2.6315789473684209E-2</v>
      </c>
      <c r="H116" s="5">
        <v>4.4000000000000004</v>
      </c>
      <c r="I116" s="6">
        <f>D116/(VLOOKUP(B116,'[1]2021 Team'!$B$2:$G$33,3,FALSE))</f>
        <v>7.6152304609218444E-2</v>
      </c>
    </row>
    <row r="117" spans="1:9" x14ac:dyDescent="0.25">
      <c r="A117" s="5" t="s">
        <v>2540</v>
      </c>
      <c r="B117" s="5" t="s">
        <v>68</v>
      </c>
      <c r="C117" s="5" t="s">
        <v>159</v>
      </c>
      <c r="D117" s="5">
        <v>27</v>
      </c>
      <c r="E117" s="5">
        <v>82</v>
      </c>
      <c r="F117" s="5">
        <v>1</v>
      </c>
      <c r="G117" s="6">
        <f t="shared" si="1"/>
        <v>3.7037037037037035E-2</v>
      </c>
      <c r="H117" s="5">
        <v>3</v>
      </c>
      <c r="I117" s="6">
        <f>D117/(VLOOKUP(B117,'[1]2021 Team'!$B$2:$G$33,3,FALSE))</f>
        <v>4.9001814882032667E-2</v>
      </c>
    </row>
    <row r="118" spans="1:9" x14ac:dyDescent="0.25">
      <c r="A118" s="5" t="s">
        <v>2540</v>
      </c>
      <c r="B118" s="5" t="s">
        <v>64</v>
      </c>
      <c r="C118" s="5" t="s">
        <v>159</v>
      </c>
      <c r="D118" s="5">
        <v>11</v>
      </c>
      <c r="E118" s="5">
        <v>16</v>
      </c>
      <c r="F118" s="5">
        <v>1</v>
      </c>
      <c r="G118" s="6">
        <f t="shared" si="1"/>
        <v>9.0909090909090912E-2</v>
      </c>
      <c r="H118" s="5">
        <v>1.5</v>
      </c>
      <c r="I118" s="6">
        <f>D118/(VLOOKUP(B118,'[1]2021 Team'!$B$2:$G$33,3,FALSE))</f>
        <v>2.6634382566585957E-2</v>
      </c>
    </row>
    <row r="119" spans="1:9" x14ac:dyDescent="0.25">
      <c r="A119" s="5" t="s">
        <v>88</v>
      </c>
      <c r="B119" s="5" t="s">
        <v>22</v>
      </c>
      <c r="C119" s="5" t="s">
        <v>82</v>
      </c>
      <c r="D119" s="5">
        <v>37</v>
      </c>
      <c r="E119" s="5">
        <v>134</v>
      </c>
      <c r="F119" s="5">
        <v>1</v>
      </c>
      <c r="G119" s="6">
        <f t="shared" si="1"/>
        <v>2.7027027027027029E-2</v>
      </c>
      <c r="H119" s="5">
        <v>3.6</v>
      </c>
      <c r="I119" s="6">
        <f>D119/(VLOOKUP(B119,'[1]2021 Team'!$B$2:$G$33,3,FALSE))</f>
        <v>7.628865979381444E-2</v>
      </c>
    </row>
    <row r="120" spans="1:9" x14ac:dyDescent="0.25">
      <c r="A120" s="5" t="s">
        <v>2423</v>
      </c>
      <c r="B120" s="5" t="s">
        <v>42</v>
      </c>
      <c r="C120" s="5" t="s">
        <v>159</v>
      </c>
      <c r="D120" s="5">
        <v>36</v>
      </c>
      <c r="E120" s="5">
        <v>87</v>
      </c>
      <c r="F120" s="5">
        <v>1</v>
      </c>
      <c r="G120" s="6">
        <f t="shared" si="1"/>
        <v>2.7777777777777776E-2</v>
      </c>
      <c r="H120" s="5">
        <v>2.4</v>
      </c>
      <c r="I120" s="6">
        <f>D120/(VLOOKUP(B120,'[1]2021 Team'!$B$2:$G$33,3,FALSE))</f>
        <v>8.5106382978723402E-2</v>
      </c>
    </row>
    <row r="121" spans="1:9" x14ac:dyDescent="0.25">
      <c r="A121" s="5" t="s">
        <v>2417</v>
      </c>
      <c r="B121" s="5" t="s">
        <v>60</v>
      </c>
      <c r="C121" s="5" t="s">
        <v>159</v>
      </c>
      <c r="D121" s="5">
        <v>36</v>
      </c>
      <c r="E121" s="5">
        <v>98</v>
      </c>
      <c r="F121" s="5">
        <v>0</v>
      </c>
      <c r="G121" s="6">
        <f t="shared" si="1"/>
        <v>0</v>
      </c>
      <c r="H121" s="5">
        <v>2.7</v>
      </c>
      <c r="I121" s="6">
        <f>D121/(VLOOKUP(B121,'[1]2021 Team'!$B$2:$G$33,3,FALSE))</f>
        <v>8.7591240875912413E-2</v>
      </c>
    </row>
    <row r="122" spans="1:9" x14ac:dyDescent="0.25">
      <c r="A122" s="5" t="s">
        <v>1690</v>
      </c>
      <c r="B122" s="5" t="s">
        <v>66</v>
      </c>
      <c r="C122" s="5" t="s">
        <v>159</v>
      </c>
      <c r="D122" s="5">
        <v>36</v>
      </c>
      <c r="E122" s="5">
        <v>180</v>
      </c>
      <c r="F122" s="5">
        <v>2</v>
      </c>
      <c r="G122" s="6">
        <f t="shared" si="1"/>
        <v>5.5555555555555552E-2</v>
      </c>
      <c r="H122" s="5">
        <v>5</v>
      </c>
      <c r="I122" s="6">
        <f>D122/(VLOOKUP(B122,'[1]2021 Team'!$B$2:$G$33,3,FALSE))</f>
        <v>9.350649350649351E-2</v>
      </c>
    </row>
    <row r="123" spans="1:9" x14ac:dyDescent="0.25">
      <c r="A123" s="5" t="s">
        <v>2532</v>
      </c>
      <c r="B123" s="5" t="s">
        <v>12</v>
      </c>
      <c r="C123" s="5" t="s">
        <v>159</v>
      </c>
      <c r="D123" s="5">
        <v>35</v>
      </c>
      <c r="E123" s="5">
        <v>185</v>
      </c>
      <c r="F123" s="5">
        <v>1</v>
      </c>
      <c r="G123" s="6">
        <f t="shared" si="1"/>
        <v>2.8571428571428571E-2</v>
      </c>
      <c r="H123" s="5">
        <v>5.3</v>
      </c>
      <c r="I123" s="6">
        <f>D123/(VLOOKUP(B123,'[1]2021 Team'!$B$2:$G$33,3,FALSE))</f>
        <v>6.7698259187620888E-2</v>
      </c>
    </row>
    <row r="124" spans="1:9" x14ac:dyDescent="0.25">
      <c r="A124" s="5" t="s">
        <v>2407</v>
      </c>
      <c r="B124" s="5" t="s">
        <v>8</v>
      </c>
      <c r="C124" s="5" t="s">
        <v>159</v>
      </c>
      <c r="D124" s="5">
        <v>34</v>
      </c>
      <c r="E124" s="5">
        <v>118</v>
      </c>
      <c r="F124" s="5">
        <v>1</v>
      </c>
      <c r="G124" s="6">
        <f t="shared" ref="G124:G187" si="2">F124/D124</f>
        <v>2.9411764705882353E-2</v>
      </c>
      <c r="H124" s="5">
        <v>3.5</v>
      </c>
      <c r="I124" s="6">
        <f>D124/(VLOOKUP(B124,'[1]2021 Team'!$B$2:$G$33,3,FALSE))</f>
        <v>6.8548387096774188E-2</v>
      </c>
    </row>
    <row r="125" spans="1:9" x14ac:dyDescent="0.25">
      <c r="A125" s="5" t="s">
        <v>2418</v>
      </c>
      <c r="B125" s="5" t="s">
        <v>46</v>
      </c>
      <c r="C125" s="5" t="s">
        <v>159</v>
      </c>
      <c r="D125" s="5">
        <v>33</v>
      </c>
      <c r="E125" s="5">
        <v>125</v>
      </c>
      <c r="F125" s="5">
        <v>1</v>
      </c>
      <c r="G125" s="6">
        <f t="shared" si="2"/>
        <v>3.0303030303030304E-2</v>
      </c>
      <c r="H125" s="5">
        <v>3.8</v>
      </c>
      <c r="I125" s="6">
        <f>D125/(VLOOKUP(B125,'[1]2021 Team'!$B$2:$G$33,3,FALSE))</f>
        <v>7.4660633484162894E-2</v>
      </c>
    </row>
    <row r="126" spans="1:9" x14ac:dyDescent="0.25">
      <c r="A126" s="5" t="s">
        <v>2421</v>
      </c>
      <c r="B126" s="5" t="s">
        <v>24</v>
      </c>
      <c r="C126" s="5" t="s">
        <v>159</v>
      </c>
      <c r="D126" s="5">
        <v>33</v>
      </c>
      <c r="E126" s="5">
        <v>140</v>
      </c>
      <c r="F126" s="5">
        <v>0</v>
      </c>
      <c r="G126" s="6">
        <f t="shared" si="2"/>
        <v>0</v>
      </c>
      <c r="H126" s="5">
        <v>4.2</v>
      </c>
      <c r="I126" s="6">
        <f>D126/(VLOOKUP(B126,'[1]2021 Team'!$B$2:$G$33,3,FALSE))</f>
        <v>6.9767441860465115E-2</v>
      </c>
    </row>
    <row r="127" spans="1:9" x14ac:dyDescent="0.25">
      <c r="A127" s="5" t="s">
        <v>710</v>
      </c>
      <c r="B127" s="5" t="s">
        <v>64</v>
      </c>
      <c r="C127" s="5" t="s">
        <v>159</v>
      </c>
      <c r="D127" s="5">
        <v>33</v>
      </c>
      <c r="E127" s="5">
        <v>138</v>
      </c>
      <c r="F127" s="5">
        <v>2</v>
      </c>
      <c r="G127" s="6">
        <f t="shared" si="2"/>
        <v>6.0606060606060608E-2</v>
      </c>
      <c r="H127" s="5">
        <v>4.2</v>
      </c>
      <c r="I127" s="6">
        <f>D127/(VLOOKUP(B127,'[1]2021 Team'!$B$2:$G$33,3,FALSE))</f>
        <v>7.990314769975787E-2</v>
      </c>
    </row>
    <row r="128" spans="1:9" x14ac:dyDescent="0.25">
      <c r="A128" s="5" t="s">
        <v>1653</v>
      </c>
      <c r="B128" s="5" t="s">
        <v>42</v>
      </c>
      <c r="C128" s="5" t="s">
        <v>159</v>
      </c>
      <c r="D128" s="5">
        <v>33</v>
      </c>
      <c r="E128" s="5">
        <v>102</v>
      </c>
      <c r="F128" s="5">
        <v>0</v>
      </c>
      <c r="G128" s="6">
        <f t="shared" si="2"/>
        <v>0</v>
      </c>
      <c r="H128" s="5">
        <v>3.1</v>
      </c>
      <c r="I128" s="6">
        <f>D128/(VLOOKUP(B128,'[1]2021 Team'!$B$2:$G$33,3,FALSE))</f>
        <v>7.8014184397163122E-2</v>
      </c>
    </row>
    <row r="129" spans="1:9" x14ac:dyDescent="0.25">
      <c r="A129" s="5" t="s">
        <v>92</v>
      </c>
      <c r="B129" s="5" t="s">
        <v>30</v>
      </c>
      <c r="C129" s="5" t="s">
        <v>82</v>
      </c>
      <c r="D129" s="5">
        <v>33</v>
      </c>
      <c r="E129" s="5">
        <v>101</v>
      </c>
      <c r="F129" s="5">
        <v>3</v>
      </c>
      <c r="G129" s="6">
        <f t="shared" si="2"/>
        <v>9.0909090909090912E-2</v>
      </c>
      <c r="H129" s="5">
        <v>3.1</v>
      </c>
      <c r="I129" s="6">
        <f>D129/(VLOOKUP(B129,'[1]2021 Team'!$B$2:$G$33,3,FALSE))</f>
        <v>7.3991031390134535E-2</v>
      </c>
    </row>
    <row r="130" spans="1:9" x14ac:dyDescent="0.25">
      <c r="A130" s="5" t="s">
        <v>84</v>
      </c>
      <c r="B130" s="5" t="s">
        <v>44</v>
      </c>
      <c r="C130" s="5" t="s">
        <v>82</v>
      </c>
      <c r="D130" s="5">
        <v>32</v>
      </c>
      <c r="E130" s="5">
        <v>43</v>
      </c>
      <c r="F130" s="5">
        <v>0</v>
      </c>
      <c r="G130" s="6">
        <f t="shared" si="2"/>
        <v>0</v>
      </c>
      <c r="H130" s="5">
        <v>1.3</v>
      </c>
      <c r="I130" s="6">
        <f>D130/(VLOOKUP(B130,'[1]2021 Team'!$B$2:$G$33,3,FALSE))</f>
        <v>7.6190476190476197E-2</v>
      </c>
    </row>
    <row r="131" spans="1:9" x14ac:dyDescent="0.25">
      <c r="A131" s="5" t="s">
        <v>132</v>
      </c>
      <c r="B131" s="5" t="s">
        <v>52</v>
      </c>
      <c r="C131" s="5" t="s">
        <v>82</v>
      </c>
      <c r="D131" s="5">
        <v>32</v>
      </c>
      <c r="E131" s="5">
        <v>166</v>
      </c>
      <c r="F131" s="5">
        <v>1</v>
      </c>
      <c r="G131" s="6">
        <f t="shared" si="2"/>
        <v>3.125E-2</v>
      </c>
      <c r="H131" s="5">
        <v>5.2</v>
      </c>
      <c r="I131" s="6">
        <f>D131/(VLOOKUP(B131,'[1]2021 Team'!$B$2:$G$33,3,FALSE))</f>
        <v>6.2745098039215685E-2</v>
      </c>
    </row>
    <row r="132" spans="1:9" x14ac:dyDescent="0.25">
      <c r="A132" s="5" t="s">
        <v>147</v>
      </c>
      <c r="B132" s="5" t="s">
        <v>26</v>
      </c>
      <c r="C132" s="5" t="s">
        <v>82</v>
      </c>
      <c r="D132" s="5">
        <v>30</v>
      </c>
      <c r="E132" s="5">
        <v>106</v>
      </c>
      <c r="F132" s="5">
        <v>2</v>
      </c>
      <c r="G132" s="6">
        <f t="shared" si="2"/>
        <v>6.6666666666666666E-2</v>
      </c>
      <c r="H132" s="5">
        <v>3.5</v>
      </c>
      <c r="I132" s="6">
        <f>D132/(VLOOKUP(B132,'[1]2021 Team'!$B$2:$G$33,3,FALSE))</f>
        <v>6.5934065934065936E-2</v>
      </c>
    </row>
    <row r="133" spans="1:9" x14ac:dyDescent="0.25">
      <c r="A133" s="5" t="s">
        <v>110</v>
      </c>
      <c r="B133" s="5" t="s">
        <v>48</v>
      </c>
      <c r="C133" s="5" t="s">
        <v>82</v>
      </c>
      <c r="D133" s="5">
        <v>29</v>
      </c>
      <c r="E133" s="5">
        <v>115</v>
      </c>
      <c r="F133" s="5">
        <v>1</v>
      </c>
      <c r="G133" s="6">
        <f t="shared" si="2"/>
        <v>3.4482758620689655E-2</v>
      </c>
      <c r="H133" s="5">
        <v>4</v>
      </c>
      <c r="I133" s="6">
        <f>D133/(VLOOKUP(B133,'[1]2021 Team'!$B$2:$G$33,3,FALSE))</f>
        <v>6.4587973273942098E-2</v>
      </c>
    </row>
    <row r="134" spans="1:9" x14ac:dyDescent="0.25">
      <c r="A134" s="5" t="s">
        <v>150</v>
      </c>
      <c r="B134" s="5" t="s">
        <v>56</v>
      </c>
      <c r="C134" s="5" t="s">
        <v>82</v>
      </c>
      <c r="D134" s="5">
        <v>29</v>
      </c>
      <c r="E134" s="5">
        <v>185</v>
      </c>
      <c r="F134" s="5">
        <v>4</v>
      </c>
      <c r="G134" s="6">
        <f t="shared" si="2"/>
        <v>0.13793103448275862</v>
      </c>
      <c r="H134" s="5">
        <v>6.4</v>
      </c>
      <c r="I134" s="6">
        <f>D134/(VLOOKUP(B134,'[1]2021 Team'!$B$2:$G$33,3,FALSE))</f>
        <v>7.6315789473684212E-2</v>
      </c>
    </row>
    <row r="135" spans="1:9" x14ac:dyDescent="0.25">
      <c r="A135" s="5" t="s">
        <v>2364</v>
      </c>
      <c r="B135" s="5" t="s">
        <v>66</v>
      </c>
      <c r="C135" s="5" t="s">
        <v>82</v>
      </c>
      <c r="D135" s="5">
        <v>28</v>
      </c>
      <c r="E135" s="5">
        <v>81</v>
      </c>
      <c r="F135" s="5">
        <v>2</v>
      </c>
      <c r="G135" s="6">
        <f t="shared" si="2"/>
        <v>7.1428571428571425E-2</v>
      </c>
      <c r="H135" s="5">
        <v>2.9</v>
      </c>
      <c r="I135" s="6">
        <f>D135/(VLOOKUP(B135,'[1]2021 Team'!$B$2:$G$33,3,FALSE))</f>
        <v>7.2727272727272724E-2</v>
      </c>
    </row>
    <row r="136" spans="1:9" x14ac:dyDescent="0.25">
      <c r="A136" s="5" t="s">
        <v>2541</v>
      </c>
      <c r="B136" s="5" t="s">
        <v>10</v>
      </c>
      <c r="C136" s="5" t="s">
        <v>159</v>
      </c>
      <c r="D136" s="5">
        <v>28</v>
      </c>
      <c r="E136" s="5">
        <v>104</v>
      </c>
      <c r="F136" s="5">
        <v>0</v>
      </c>
      <c r="G136" s="6">
        <f t="shared" si="2"/>
        <v>0</v>
      </c>
      <c r="H136" s="5">
        <v>3.7</v>
      </c>
      <c r="I136" s="6">
        <f>D136/(VLOOKUP(B136,'[1]2021 Team'!$B$2:$G$33,3,FALSE))</f>
        <v>7.124681933842239E-2</v>
      </c>
    </row>
    <row r="137" spans="1:9" x14ac:dyDescent="0.25">
      <c r="A137" s="5" t="s">
        <v>2420</v>
      </c>
      <c r="B137" s="5" t="s">
        <v>34</v>
      </c>
      <c r="C137" s="5" t="s">
        <v>159</v>
      </c>
      <c r="D137" s="5">
        <v>28</v>
      </c>
      <c r="E137" s="5">
        <v>101</v>
      </c>
      <c r="F137" s="5">
        <v>0</v>
      </c>
      <c r="G137" s="6">
        <f t="shared" si="2"/>
        <v>0</v>
      </c>
      <c r="H137" s="5">
        <v>3.6</v>
      </c>
      <c r="I137" s="6">
        <f>D137/(VLOOKUP(B137,'[1]2021 Team'!$B$2:$G$33,3,FALSE))</f>
        <v>5.6112224448897796E-2</v>
      </c>
    </row>
    <row r="138" spans="1:9" x14ac:dyDescent="0.25">
      <c r="A138" s="5" t="s">
        <v>1673</v>
      </c>
      <c r="B138" s="5" t="s">
        <v>14</v>
      </c>
      <c r="C138" s="5" t="s">
        <v>159</v>
      </c>
      <c r="D138" s="5">
        <v>26</v>
      </c>
      <c r="E138" s="5">
        <v>125</v>
      </c>
      <c r="F138" s="5">
        <v>1</v>
      </c>
      <c r="G138" s="6">
        <f t="shared" si="2"/>
        <v>3.8461538461538464E-2</v>
      </c>
      <c r="H138" s="5">
        <v>4.8</v>
      </c>
      <c r="I138" s="6">
        <f>D138/(VLOOKUP(B138,'[1]2021 Team'!$B$2:$G$33,3,FALSE))</f>
        <v>5.6399132321041212E-2</v>
      </c>
    </row>
    <row r="139" spans="1:9" x14ac:dyDescent="0.25">
      <c r="A139" s="5" t="s">
        <v>2542</v>
      </c>
      <c r="B139" s="5" t="s">
        <v>56</v>
      </c>
      <c r="C139" s="5" t="s">
        <v>159</v>
      </c>
      <c r="D139" s="5">
        <v>26</v>
      </c>
      <c r="E139" s="5">
        <v>101</v>
      </c>
      <c r="F139" s="5">
        <v>1</v>
      </c>
      <c r="G139" s="6">
        <f t="shared" si="2"/>
        <v>3.8461538461538464E-2</v>
      </c>
      <c r="H139" s="5">
        <v>3.9</v>
      </c>
      <c r="I139" s="6">
        <f>D139/(VLOOKUP(B139,'[1]2021 Team'!$B$2:$G$33,3,FALSE))</f>
        <v>6.8421052631578952E-2</v>
      </c>
    </row>
    <row r="140" spans="1:9" x14ac:dyDescent="0.25">
      <c r="A140" s="5" t="s">
        <v>2543</v>
      </c>
      <c r="B140" s="5" t="s">
        <v>54</v>
      </c>
      <c r="C140" s="5" t="s">
        <v>159</v>
      </c>
      <c r="D140" s="5">
        <v>24</v>
      </c>
      <c r="E140" s="5">
        <v>99</v>
      </c>
      <c r="F140" s="5">
        <v>1</v>
      </c>
      <c r="G140" s="6">
        <f t="shared" si="2"/>
        <v>4.1666666666666664E-2</v>
      </c>
      <c r="H140" s="5">
        <v>4.0999999999999996</v>
      </c>
      <c r="I140" s="6">
        <f>D140/(VLOOKUP(B140,'[1]2021 Team'!$B$2:$G$33,3,FALSE))</f>
        <v>5.7279236276849645E-2</v>
      </c>
    </row>
    <row r="141" spans="1:9" x14ac:dyDescent="0.25">
      <c r="A141" s="5" t="s">
        <v>1683</v>
      </c>
      <c r="B141" s="5" t="s">
        <v>30</v>
      </c>
      <c r="C141" s="5" t="s">
        <v>159</v>
      </c>
      <c r="D141" s="5">
        <v>23</v>
      </c>
      <c r="E141" s="5">
        <v>89</v>
      </c>
      <c r="F141" s="5">
        <v>1</v>
      </c>
      <c r="G141" s="6">
        <f t="shared" si="2"/>
        <v>4.3478260869565216E-2</v>
      </c>
      <c r="H141" s="5">
        <v>3.9</v>
      </c>
      <c r="I141" s="6">
        <f>D141/(VLOOKUP(B141,'[1]2021 Team'!$B$2:$G$33,3,FALSE))</f>
        <v>5.1569506726457402E-2</v>
      </c>
    </row>
    <row r="142" spans="1:9" x14ac:dyDescent="0.25">
      <c r="A142" s="5" t="s">
        <v>2366</v>
      </c>
      <c r="B142" s="5" t="s">
        <v>8</v>
      </c>
      <c r="C142" s="5" t="s">
        <v>82</v>
      </c>
      <c r="D142" s="5">
        <v>22</v>
      </c>
      <c r="E142" s="5">
        <v>37</v>
      </c>
      <c r="F142" s="5">
        <v>0</v>
      </c>
      <c r="G142" s="6">
        <f t="shared" si="2"/>
        <v>0</v>
      </c>
      <c r="H142" s="5">
        <v>1.7</v>
      </c>
      <c r="I142" s="6">
        <f>D142/(VLOOKUP(B142,'[1]2021 Team'!$B$2:$G$33,3,FALSE))</f>
        <v>4.4354838709677422E-2</v>
      </c>
    </row>
    <row r="143" spans="1:9" x14ac:dyDescent="0.25">
      <c r="A143" s="5" t="s">
        <v>767</v>
      </c>
      <c r="B143" s="5" t="s">
        <v>64</v>
      </c>
      <c r="C143" s="5" t="s">
        <v>159</v>
      </c>
      <c r="D143" s="5">
        <v>21</v>
      </c>
      <c r="E143" s="5">
        <v>177</v>
      </c>
      <c r="F143" s="5">
        <v>1</v>
      </c>
      <c r="G143" s="6">
        <f t="shared" si="2"/>
        <v>4.7619047619047616E-2</v>
      </c>
      <c r="H143" s="5">
        <v>8.4</v>
      </c>
      <c r="I143" s="6">
        <f>D143/(VLOOKUP(B143,'[1]2021 Team'!$B$2:$G$33,3,FALSE))</f>
        <v>5.0847457627118647E-2</v>
      </c>
    </row>
    <row r="144" spans="1:9" x14ac:dyDescent="0.25">
      <c r="A144" s="5" t="s">
        <v>2544</v>
      </c>
      <c r="B144" s="5" t="s">
        <v>10</v>
      </c>
      <c r="C144" s="5" t="s">
        <v>159</v>
      </c>
      <c r="D144" s="5">
        <v>21</v>
      </c>
      <c r="E144" s="5">
        <v>105</v>
      </c>
      <c r="F144" s="5">
        <v>1</v>
      </c>
      <c r="G144" s="6">
        <f t="shared" si="2"/>
        <v>4.7619047619047616E-2</v>
      </c>
      <c r="H144" s="5">
        <v>5</v>
      </c>
      <c r="I144" s="6">
        <f>D144/(VLOOKUP(B144,'[1]2021 Team'!$B$2:$G$33,3,FALSE))</f>
        <v>5.3435114503816793E-2</v>
      </c>
    </row>
    <row r="145" spans="1:9" x14ac:dyDescent="0.25">
      <c r="A145" s="5" t="s">
        <v>2383</v>
      </c>
      <c r="B145" s="5" t="s">
        <v>60</v>
      </c>
      <c r="C145" s="5" t="s">
        <v>82</v>
      </c>
      <c r="D145" s="5">
        <v>20</v>
      </c>
      <c r="E145" s="5">
        <v>5</v>
      </c>
      <c r="F145" s="5">
        <v>1</v>
      </c>
      <c r="G145" s="6">
        <f t="shared" si="2"/>
        <v>0.05</v>
      </c>
      <c r="H145" s="5">
        <v>0.3</v>
      </c>
      <c r="I145" s="6">
        <f>D145/(VLOOKUP(B145,'[1]2021 Team'!$B$2:$G$33,3,FALSE))</f>
        <v>4.8661800486618008E-2</v>
      </c>
    </row>
    <row r="146" spans="1:9" x14ac:dyDescent="0.25">
      <c r="A146" s="5" t="s">
        <v>94</v>
      </c>
      <c r="B146" s="5" t="s">
        <v>46</v>
      </c>
      <c r="C146" s="5" t="s">
        <v>82</v>
      </c>
      <c r="D146" s="5">
        <v>19</v>
      </c>
      <c r="E146" s="5">
        <v>70</v>
      </c>
      <c r="F146" s="5">
        <v>1</v>
      </c>
      <c r="G146" s="6">
        <f t="shared" si="2"/>
        <v>5.2631578947368418E-2</v>
      </c>
      <c r="H146" s="5">
        <v>3.7</v>
      </c>
      <c r="I146" s="6">
        <f>D146/(VLOOKUP(B146,'[1]2021 Team'!$B$2:$G$33,3,FALSE))</f>
        <v>4.2986425339366516E-2</v>
      </c>
    </row>
    <row r="147" spans="1:9" x14ac:dyDescent="0.25">
      <c r="A147" s="5" t="s">
        <v>2141</v>
      </c>
      <c r="B147" s="5" t="s">
        <v>50</v>
      </c>
      <c r="C147" s="5" t="s">
        <v>159</v>
      </c>
      <c r="D147" s="5">
        <v>19</v>
      </c>
      <c r="E147" s="5">
        <v>37</v>
      </c>
      <c r="F147" s="5">
        <v>2</v>
      </c>
      <c r="G147" s="6">
        <f t="shared" si="2"/>
        <v>0.10526315789473684</v>
      </c>
      <c r="H147" s="5">
        <v>1.9</v>
      </c>
      <c r="I147" s="6">
        <f>D147/(VLOOKUP(B147,'[1]2021 Team'!$B$2:$G$33,3,FALSE))</f>
        <v>3.8854805725971372E-2</v>
      </c>
    </row>
    <row r="148" spans="1:9" x14ac:dyDescent="0.25">
      <c r="A148" s="5" t="s">
        <v>124</v>
      </c>
      <c r="B148" s="5" t="s">
        <v>32</v>
      </c>
      <c r="C148" s="5" t="s">
        <v>82</v>
      </c>
      <c r="D148" s="5">
        <v>19</v>
      </c>
      <c r="E148" s="5">
        <v>151</v>
      </c>
      <c r="F148" s="5">
        <v>3</v>
      </c>
      <c r="G148" s="6">
        <f t="shared" si="2"/>
        <v>0.15789473684210525</v>
      </c>
      <c r="H148" s="5">
        <v>7.9</v>
      </c>
      <c r="I148" s="6">
        <f>D148/(VLOOKUP(B148,'[1]2021 Team'!$B$2:$G$33,3,FALSE))</f>
        <v>4.5238095238095237E-2</v>
      </c>
    </row>
    <row r="149" spans="1:9" x14ac:dyDescent="0.25">
      <c r="A149" s="5" t="s">
        <v>2438</v>
      </c>
      <c r="B149" s="5" t="s">
        <v>28</v>
      </c>
      <c r="C149" s="5" t="s">
        <v>159</v>
      </c>
      <c r="D149" s="5">
        <v>18</v>
      </c>
      <c r="E149" s="5">
        <v>118</v>
      </c>
      <c r="F149" s="5">
        <v>1</v>
      </c>
      <c r="G149" s="6">
        <f t="shared" si="2"/>
        <v>5.5555555555555552E-2</v>
      </c>
      <c r="H149" s="5">
        <v>6.6</v>
      </c>
      <c r="I149" s="6">
        <f>D149/(VLOOKUP(B149,'[1]2021 Team'!$B$2:$G$33,3,FALSE))</f>
        <v>4.2154566744730677E-2</v>
      </c>
    </row>
    <row r="150" spans="1:9" x14ac:dyDescent="0.25">
      <c r="A150" s="5" t="s">
        <v>122</v>
      </c>
      <c r="B150" s="5" t="s">
        <v>32</v>
      </c>
      <c r="C150" s="5" t="s">
        <v>82</v>
      </c>
      <c r="D150" s="5">
        <v>18</v>
      </c>
      <c r="E150" s="5">
        <v>44</v>
      </c>
      <c r="F150" s="5">
        <v>0</v>
      </c>
      <c r="G150" s="6">
        <f t="shared" si="2"/>
        <v>0</v>
      </c>
      <c r="H150" s="5">
        <v>2.4</v>
      </c>
      <c r="I150" s="6">
        <f>D150/(VLOOKUP(B150,'[1]2021 Team'!$B$2:$G$33,3,FALSE))</f>
        <v>4.2857142857142858E-2</v>
      </c>
    </row>
    <row r="151" spans="1:9" x14ac:dyDescent="0.25">
      <c r="A151" s="5" t="s">
        <v>1686</v>
      </c>
      <c r="B151" s="5" t="s">
        <v>8</v>
      </c>
      <c r="C151" s="5" t="s">
        <v>163</v>
      </c>
      <c r="D151" s="5">
        <v>18</v>
      </c>
      <c r="E151" s="5">
        <v>76</v>
      </c>
      <c r="F151" s="5">
        <v>0</v>
      </c>
      <c r="G151" s="6">
        <f t="shared" si="2"/>
        <v>0</v>
      </c>
      <c r="H151" s="5">
        <v>4.2</v>
      </c>
      <c r="I151" s="6">
        <f>D151/(VLOOKUP(B151,'[1]2021 Team'!$B$2:$G$33,3,FALSE))</f>
        <v>3.6290322580645164E-2</v>
      </c>
    </row>
    <row r="152" spans="1:9" x14ac:dyDescent="0.25">
      <c r="A152" s="5" t="s">
        <v>1738</v>
      </c>
      <c r="B152" s="5" t="s">
        <v>20</v>
      </c>
      <c r="C152" s="5" t="s">
        <v>159</v>
      </c>
      <c r="D152" s="5">
        <v>17</v>
      </c>
      <c r="E152" s="5">
        <v>77</v>
      </c>
      <c r="F152" s="5">
        <v>0</v>
      </c>
      <c r="G152" s="6">
        <f t="shared" si="2"/>
        <v>0</v>
      </c>
      <c r="H152" s="5">
        <v>4.5</v>
      </c>
      <c r="I152" s="6">
        <f>D152/(VLOOKUP(B152,'[1]2021 Team'!$B$2:$G$33,3,FALSE))</f>
        <v>3.8990825688073397E-2</v>
      </c>
    </row>
    <row r="153" spans="1:9" x14ac:dyDescent="0.25">
      <c r="A153" s="5" t="s">
        <v>85</v>
      </c>
      <c r="B153" s="5" t="s">
        <v>28</v>
      </c>
      <c r="C153" s="5" t="s">
        <v>82</v>
      </c>
      <c r="D153" s="5">
        <v>17</v>
      </c>
      <c r="E153" s="5">
        <v>87</v>
      </c>
      <c r="F153" s="5">
        <v>0</v>
      </c>
      <c r="G153" s="6">
        <f t="shared" si="2"/>
        <v>0</v>
      </c>
      <c r="H153" s="5">
        <v>5.0999999999999996</v>
      </c>
      <c r="I153" s="6">
        <f>D153/(VLOOKUP(B153,'[1]2021 Team'!$B$2:$G$33,3,FALSE))</f>
        <v>3.9812646370023422E-2</v>
      </c>
    </row>
    <row r="154" spans="1:9" x14ac:dyDescent="0.25">
      <c r="A154" s="5" t="s">
        <v>1766</v>
      </c>
      <c r="B154" s="5" t="s">
        <v>70</v>
      </c>
      <c r="C154" s="5" t="s">
        <v>159</v>
      </c>
      <c r="D154" s="5">
        <v>17</v>
      </c>
      <c r="E154" s="5">
        <v>79</v>
      </c>
      <c r="F154" s="5">
        <v>1</v>
      </c>
      <c r="G154" s="6">
        <f t="shared" si="2"/>
        <v>5.8823529411764705E-2</v>
      </c>
      <c r="H154" s="5">
        <v>4.5999999999999996</v>
      </c>
      <c r="I154" s="6">
        <f>D154/(VLOOKUP(B154,'[1]2021 Team'!$B$2:$G$33,3,FALSE))</f>
        <v>3.5639412997903561E-2</v>
      </c>
    </row>
    <row r="155" spans="1:9" x14ac:dyDescent="0.25">
      <c r="A155" s="5" t="s">
        <v>140</v>
      </c>
      <c r="B155" s="5" t="s">
        <v>18</v>
      </c>
      <c r="C155" s="5" t="s">
        <v>82</v>
      </c>
      <c r="D155" s="5">
        <v>16</v>
      </c>
      <c r="E155" s="5">
        <v>76</v>
      </c>
      <c r="F155" s="5">
        <v>0</v>
      </c>
      <c r="G155" s="6">
        <f t="shared" si="2"/>
        <v>0</v>
      </c>
      <c r="H155" s="5">
        <v>4.8</v>
      </c>
      <c r="I155" s="6">
        <f>D155/(VLOOKUP(B155,'[1]2021 Team'!$B$2:$G$33,3,FALSE))</f>
        <v>3.3684210526315789E-2</v>
      </c>
    </row>
    <row r="156" spans="1:9" x14ac:dyDescent="0.25">
      <c r="A156" s="5" t="s">
        <v>1803</v>
      </c>
      <c r="B156" s="5" t="s">
        <v>62</v>
      </c>
      <c r="C156" s="5" t="s">
        <v>159</v>
      </c>
      <c r="D156" s="5">
        <v>16</v>
      </c>
      <c r="E156" s="5">
        <v>68</v>
      </c>
      <c r="F156" s="5">
        <v>1</v>
      </c>
      <c r="G156" s="6">
        <f t="shared" si="2"/>
        <v>6.25E-2</v>
      </c>
      <c r="H156" s="5">
        <v>4.3</v>
      </c>
      <c r="I156" s="6">
        <f>D156/(VLOOKUP(B156,'[1]2021 Team'!$B$2:$G$33,3,FALSE))</f>
        <v>3.2064128256513023E-2</v>
      </c>
    </row>
    <row r="157" spans="1:9" x14ac:dyDescent="0.25">
      <c r="A157" s="5" t="s">
        <v>2545</v>
      </c>
      <c r="B157" s="5" t="s">
        <v>36</v>
      </c>
      <c r="C157" s="5" t="s">
        <v>159</v>
      </c>
      <c r="D157" s="5">
        <v>15</v>
      </c>
      <c r="E157" s="5">
        <v>80</v>
      </c>
      <c r="F157" s="5">
        <v>0</v>
      </c>
      <c r="G157" s="6">
        <f t="shared" si="2"/>
        <v>0</v>
      </c>
      <c r="H157" s="5">
        <v>5.3</v>
      </c>
      <c r="I157" s="6">
        <f>D157/(VLOOKUP(B157,'[1]2021 Team'!$B$2:$G$33,3,FALSE))</f>
        <v>3.826530612244898E-2</v>
      </c>
    </row>
    <row r="158" spans="1:9" x14ac:dyDescent="0.25">
      <c r="A158" s="5" t="s">
        <v>2144</v>
      </c>
      <c r="B158" s="5" t="s">
        <v>28</v>
      </c>
      <c r="C158" s="5" t="s">
        <v>159</v>
      </c>
      <c r="D158" s="5">
        <v>15</v>
      </c>
      <c r="E158" s="5">
        <v>74</v>
      </c>
      <c r="F158" s="5">
        <v>2</v>
      </c>
      <c r="G158" s="6">
        <f t="shared" si="2"/>
        <v>0.13333333333333333</v>
      </c>
      <c r="H158" s="5">
        <v>4.9000000000000004</v>
      </c>
      <c r="I158" s="6">
        <f>D158/(VLOOKUP(B158,'[1]2021 Team'!$B$2:$G$33,3,FALSE))</f>
        <v>3.5128805620608897E-2</v>
      </c>
    </row>
    <row r="159" spans="1:9" x14ac:dyDescent="0.25">
      <c r="A159" s="5" t="s">
        <v>1732</v>
      </c>
      <c r="B159" s="5" t="s">
        <v>52</v>
      </c>
      <c r="C159" s="5" t="s">
        <v>163</v>
      </c>
      <c r="D159" s="5">
        <v>15</v>
      </c>
      <c r="E159" s="5">
        <v>44</v>
      </c>
      <c r="F159" s="5">
        <v>0</v>
      </c>
      <c r="G159" s="6">
        <f t="shared" si="2"/>
        <v>0</v>
      </c>
      <c r="H159" s="5">
        <v>2.9</v>
      </c>
      <c r="I159" s="6">
        <f>D159/(VLOOKUP(B159,'[1]2021 Team'!$B$2:$G$33,3,FALSE))</f>
        <v>2.9411764705882353E-2</v>
      </c>
    </row>
    <row r="160" spans="1:9" x14ac:dyDescent="0.25">
      <c r="A160" s="5" t="s">
        <v>629</v>
      </c>
      <c r="B160" s="5" t="s">
        <v>20</v>
      </c>
      <c r="C160" s="5" t="s">
        <v>159</v>
      </c>
      <c r="D160" s="5">
        <v>15</v>
      </c>
      <c r="E160" s="5">
        <v>51</v>
      </c>
      <c r="F160" s="5">
        <v>0</v>
      </c>
      <c r="G160" s="6">
        <f t="shared" si="2"/>
        <v>0</v>
      </c>
      <c r="H160" s="5">
        <v>3.4</v>
      </c>
      <c r="I160" s="6">
        <f>D160/(VLOOKUP(B160,'[1]2021 Team'!$B$2:$G$33,3,FALSE))</f>
        <v>3.4403669724770644E-2</v>
      </c>
    </row>
    <row r="161" spans="1:9" x14ac:dyDescent="0.25">
      <c r="A161" s="5" t="s">
        <v>1783</v>
      </c>
      <c r="B161" s="5" t="s">
        <v>60</v>
      </c>
      <c r="C161" s="5" t="s">
        <v>163</v>
      </c>
      <c r="D161" s="5">
        <v>14</v>
      </c>
      <c r="E161" s="5">
        <v>96</v>
      </c>
      <c r="F161" s="5">
        <v>0</v>
      </c>
      <c r="G161" s="6">
        <f t="shared" si="2"/>
        <v>0</v>
      </c>
      <c r="H161" s="5">
        <v>6.9</v>
      </c>
      <c r="I161" s="6">
        <f>D161/(VLOOKUP(B161,'[1]2021 Team'!$B$2:$G$33,3,FALSE))</f>
        <v>3.4063260340632603E-2</v>
      </c>
    </row>
    <row r="162" spans="1:9" x14ac:dyDescent="0.25">
      <c r="A162" s="5" t="s">
        <v>2546</v>
      </c>
      <c r="B162" s="5" t="s">
        <v>58</v>
      </c>
      <c r="C162" s="5" t="s">
        <v>159</v>
      </c>
      <c r="D162" s="5">
        <v>13</v>
      </c>
      <c r="E162" s="5">
        <v>51</v>
      </c>
      <c r="F162" s="5">
        <v>0</v>
      </c>
      <c r="G162" s="6">
        <f t="shared" si="2"/>
        <v>0</v>
      </c>
      <c r="H162" s="5">
        <v>3.9</v>
      </c>
      <c r="I162" s="6">
        <f>D162/(VLOOKUP(B162,'[1]2021 Team'!$B$2:$G$33,3,FALSE))</f>
        <v>2.3636363636363636E-2</v>
      </c>
    </row>
    <row r="163" spans="1:9" x14ac:dyDescent="0.25">
      <c r="A163" s="5" t="s">
        <v>1702</v>
      </c>
      <c r="B163" s="5" t="s">
        <v>34</v>
      </c>
      <c r="C163" s="5" t="s">
        <v>159</v>
      </c>
      <c r="D163" s="5">
        <v>13</v>
      </c>
      <c r="E163" s="5">
        <v>31</v>
      </c>
      <c r="F163" s="5">
        <v>1</v>
      </c>
      <c r="G163" s="6">
        <f t="shared" si="2"/>
        <v>7.6923076923076927E-2</v>
      </c>
      <c r="H163" s="5">
        <v>2.4</v>
      </c>
      <c r="I163" s="6">
        <f>D163/(VLOOKUP(B163,'[1]2021 Team'!$B$2:$G$33,3,FALSE))</f>
        <v>2.6052104208416832E-2</v>
      </c>
    </row>
    <row r="164" spans="1:9" x14ac:dyDescent="0.25">
      <c r="A164" s="5" t="s">
        <v>115</v>
      </c>
      <c r="B164" s="5" t="s">
        <v>40</v>
      </c>
      <c r="C164" s="5" t="s">
        <v>82</v>
      </c>
      <c r="D164" s="5">
        <v>13</v>
      </c>
      <c r="E164" s="5">
        <v>87</v>
      </c>
      <c r="F164" s="5">
        <v>1</v>
      </c>
      <c r="G164" s="6">
        <f t="shared" si="2"/>
        <v>7.6923076923076927E-2</v>
      </c>
      <c r="H164" s="5">
        <v>6.7</v>
      </c>
      <c r="I164" s="6">
        <f>D164/(VLOOKUP(B164,'[1]2021 Team'!$B$2:$G$33,3,FALSE))</f>
        <v>3.140096618357488E-2</v>
      </c>
    </row>
    <row r="165" spans="1:9" x14ac:dyDescent="0.25">
      <c r="A165" s="5" t="s">
        <v>561</v>
      </c>
      <c r="B165" s="5" t="s">
        <v>48</v>
      </c>
      <c r="C165" s="5" t="s">
        <v>159</v>
      </c>
      <c r="D165" s="5">
        <v>13</v>
      </c>
      <c r="E165" s="5">
        <v>61</v>
      </c>
      <c r="F165" s="5">
        <v>0</v>
      </c>
      <c r="G165" s="6">
        <f t="shared" si="2"/>
        <v>0</v>
      </c>
      <c r="H165" s="5">
        <v>4.7</v>
      </c>
      <c r="I165" s="6">
        <f>D165/(VLOOKUP(B165,'[1]2021 Team'!$B$2:$G$33,3,FALSE))</f>
        <v>2.8953229398663696E-2</v>
      </c>
    </row>
    <row r="166" spans="1:9" x14ac:dyDescent="0.25">
      <c r="A166" s="5" t="s">
        <v>141</v>
      </c>
      <c r="B166" s="5" t="s">
        <v>14</v>
      </c>
      <c r="C166" s="5" t="s">
        <v>82</v>
      </c>
      <c r="D166" s="5">
        <v>13</v>
      </c>
      <c r="E166" s="5">
        <v>24</v>
      </c>
      <c r="F166" s="5">
        <v>1</v>
      </c>
      <c r="G166" s="6">
        <f t="shared" si="2"/>
        <v>7.6923076923076927E-2</v>
      </c>
      <c r="H166" s="5">
        <v>1.8</v>
      </c>
      <c r="I166" s="6">
        <f>D166/(VLOOKUP(B166,'[1]2021 Team'!$B$2:$G$33,3,FALSE))</f>
        <v>2.8199566160520606E-2</v>
      </c>
    </row>
    <row r="167" spans="1:9" x14ac:dyDescent="0.25">
      <c r="A167" s="5" t="s">
        <v>2547</v>
      </c>
      <c r="B167" s="5" t="s">
        <v>60</v>
      </c>
      <c r="C167" s="5" t="s">
        <v>159</v>
      </c>
      <c r="D167" s="5">
        <v>12</v>
      </c>
      <c r="E167" s="5">
        <v>36</v>
      </c>
      <c r="F167" s="5">
        <v>0</v>
      </c>
      <c r="G167" s="6">
        <f t="shared" si="2"/>
        <v>0</v>
      </c>
      <c r="H167" s="5">
        <v>3</v>
      </c>
      <c r="I167" s="6">
        <f>D167/(VLOOKUP(B167,'[1]2021 Team'!$B$2:$G$33,3,FALSE))</f>
        <v>2.9197080291970802E-2</v>
      </c>
    </row>
    <row r="168" spans="1:9" x14ac:dyDescent="0.25">
      <c r="A168" s="5" t="s">
        <v>1014</v>
      </c>
      <c r="B168" s="5" t="s">
        <v>50</v>
      </c>
      <c r="C168" s="5" t="s">
        <v>163</v>
      </c>
      <c r="D168" s="5">
        <v>12</v>
      </c>
      <c r="E168" s="5">
        <v>125</v>
      </c>
      <c r="F168" s="5">
        <v>0</v>
      </c>
      <c r="G168" s="6">
        <f t="shared" si="2"/>
        <v>0</v>
      </c>
      <c r="H168" s="5">
        <v>10.4</v>
      </c>
      <c r="I168" s="6">
        <f>D168/(VLOOKUP(B168,'[1]2021 Team'!$B$2:$G$33,3,FALSE))</f>
        <v>2.4539877300613498E-2</v>
      </c>
    </row>
    <row r="169" spans="1:9" x14ac:dyDescent="0.25">
      <c r="A169" s="5" t="s">
        <v>1566</v>
      </c>
      <c r="B169" s="5" t="s">
        <v>22</v>
      </c>
      <c r="C169" s="5" t="s">
        <v>82</v>
      </c>
      <c r="D169" s="5">
        <v>12</v>
      </c>
      <c r="E169" s="5">
        <v>22</v>
      </c>
      <c r="F169" s="5">
        <v>0</v>
      </c>
      <c r="G169" s="6">
        <f t="shared" si="2"/>
        <v>0</v>
      </c>
      <c r="H169" s="5">
        <v>1.8</v>
      </c>
      <c r="I169" s="6">
        <f>D169/(VLOOKUP(B169,'[1]2021 Team'!$B$2:$G$33,3,FALSE))</f>
        <v>2.4742268041237112E-2</v>
      </c>
    </row>
    <row r="170" spans="1:9" x14ac:dyDescent="0.25">
      <c r="A170" s="5" t="s">
        <v>100</v>
      </c>
      <c r="B170" s="5" t="s">
        <v>30</v>
      </c>
      <c r="C170" s="5" t="s">
        <v>82</v>
      </c>
      <c r="D170" s="5">
        <v>12</v>
      </c>
      <c r="E170" s="5">
        <v>27</v>
      </c>
      <c r="F170" s="5">
        <v>0</v>
      </c>
      <c r="G170" s="6">
        <f t="shared" si="2"/>
        <v>0</v>
      </c>
      <c r="H170" s="5">
        <v>2.2999999999999998</v>
      </c>
      <c r="I170" s="6">
        <f>D170/(VLOOKUP(B170,'[1]2021 Team'!$B$2:$G$33,3,FALSE))</f>
        <v>2.6905829596412557E-2</v>
      </c>
    </row>
    <row r="171" spans="1:9" x14ac:dyDescent="0.25">
      <c r="A171" s="5" t="s">
        <v>1581</v>
      </c>
      <c r="B171" s="5" t="s">
        <v>38</v>
      </c>
      <c r="C171" s="5" t="s">
        <v>159</v>
      </c>
      <c r="D171" s="5">
        <v>12</v>
      </c>
      <c r="E171" s="5">
        <v>62</v>
      </c>
      <c r="F171" s="5">
        <v>0</v>
      </c>
      <c r="G171" s="6">
        <f t="shared" si="2"/>
        <v>0</v>
      </c>
      <c r="H171" s="5">
        <v>5.2</v>
      </c>
      <c r="I171" s="6">
        <f>D171/(VLOOKUP(B171,'[1]2021 Team'!$B$2:$G$33,3,FALSE))</f>
        <v>2.7842227378190254E-2</v>
      </c>
    </row>
    <row r="172" spans="1:9" x14ac:dyDescent="0.25">
      <c r="A172" s="5" t="s">
        <v>1567</v>
      </c>
      <c r="B172" s="5" t="s">
        <v>50</v>
      </c>
      <c r="C172" s="5" t="s">
        <v>82</v>
      </c>
      <c r="D172" s="5">
        <v>11</v>
      </c>
      <c r="E172" s="5">
        <v>-8</v>
      </c>
      <c r="F172" s="5">
        <v>0</v>
      </c>
      <c r="G172" s="6">
        <f t="shared" si="2"/>
        <v>0</v>
      </c>
      <c r="H172" s="5">
        <v>-0.7</v>
      </c>
      <c r="I172" s="6">
        <f>D172/(VLOOKUP(B172,'[1]2021 Team'!$B$2:$G$33,3,FALSE))</f>
        <v>2.2494887525562373E-2</v>
      </c>
    </row>
    <row r="173" spans="1:9" x14ac:dyDescent="0.25">
      <c r="A173" s="5" t="s">
        <v>1705</v>
      </c>
      <c r="B173" s="5" t="s">
        <v>36</v>
      </c>
      <c r="C173" s="5" t="s">
        <v>163</v>
      </c>
      <c r="D173" s="5">
        <v>11</v>
      </c>
      <c r="E173" s="5">
        <v>41</v>
      </c>
      <c r="F173" s="5">
        <v>0</v>
      </c>
      <c r="G173" s="6">
        <f t="shared" si="2"/>
        <v>0</v>
      </c>
      <c r="H173" s="5">
        <v>3.7</v>
      </c>
      <c r="I173" s="6">
        <f>D173/(VLOOKUP(B173,'[1]2021 Team'!$B$2:$G$33,3,FALSE))</f>
        <v>2.8061224489795918E-2</v>
      </c>
    </row>
    <row r="174" spans="1:9" x14ac:dyDescent="0.25">
      <c r="A174" s="5" t="s">
        <v>1728</v>
      </c>
      <c r="B174" s="5" t="s">
        <v>70</v>
      </c>
      <c r="C174" s="5" t="s">
        <v>163</v>
      </c>
      <c r="D174" s="5">
        <v>10</v>
      </c>
      <c r="E174" s="5">
        <v>89</v>
      </c>
      <c r="F174" s="5">
        <v>0</v>
      </c>
      <c r="G174" s="6">
        <f t="shared" si="2"/>
        <v>0</v>
      </c>
      <c r="H174" s="5">
        <v>8.9</v>
      </c>
      <c r="I174" s="6">
        <f>D174/(VLOOKUP(B174,'[1]2021 Team'!$B$2:$G$33,3,FALSE))</f>
        <v>2.0964360587002098E-2</v>
      </c>
    </row>
    <row r="175" spans="1:9" x14ac:dyDescent="0.25">
      <c r="A175" s="5" t="s">
        <v>2451</v>
      </c>
      <c r="B175" s="5" t="s">
        <v>30</v>
      </c>
      <c r="C175" s="5" t="s">
        <v>159</v>
      </c>
      <c r="D175" s="5">
        <v>10</v>
      </c>
      <c r="E175" s="5">
        <v>24</v>
      </c>
      <c r="F175" s="5">
        <v>0</v>
      </c>
      <c r="G175" s="6">
        <f t="shared" si="2"/>
        <v>0</v>
      </c>
      <c r="H175" s="5">
        <v>2.4</v>
      </c>
      <c r="I175" s="6">
        <f>D175/(VLOOKUP(B175,'[1]2021 Team'!$B$2:$G$33,3,FALSE))</f>
        <v>2.2421524663677129E-2</v>
      </c>
    </row>
    <row r="176" spans="1:9" x14ac:dyDescent="0.25">
      <c r="A176" s="5" t="s">
        <v>156</v>
      </c>
      <c r="B176" s="5" t="s">
        <v>26</v>
      </c>
      <c r="C176" s="5" t="s">
        <v>82</v>
      </c>
      <c r="D176" s="5">
        <v>10</v>
      </c>
      <c r="E176" s="5">
        <v>53</v>
      </c>
      <c r="F176" s="5">
        <v>2</v>
      </c>
      <c r="G176" s="6">
        <f t="shared" si="2"/>
        <v>0.2</v>
      </c>
      <c r="H176" s="5">
        <v>5.3</v>
      </c>
      <c r="I176" s="6">
        <f>D176/(VLOOKUP(B176,'[1]2021 Team'!$B$2:$G$33,3,FALSE))</f>
        <v>2.197802197802198E-2</v>
      </c>
    </row>
    <row r="177" spans="1:9" x14ac:dyDescent="0.25">
      <c r="A177" s="5" t="s">
        <v>1758</v>
      </c>
      <c r="B177" s="5" t="s">
        <v>58</v>
      </c>
      <c r="C177" s="5" t="s">
        <v>163</v>
      </c>
      <c r="D177" s="5">
        <v>10</v>
      </c>
      <c r="E177" s="5">
        <v>32</v>
      </c>
      <c r="F177" s="5">
        <v>0</v>
      </c>
      <c r="G177" s="6">
        <f t="shared" si="2"/>
        <v>0</v>
      </c>
      <c r="H177" s="5">
        <v>3.2</v>
      </c>
      <c r="I177" s="6">
        <f>D177/(VLOOKUP(B177,'[1]2021 Team'!$B$2:$G$33,3,FALSE))</f>
        <v>1.8181818181818181E-2</v>
      </c>
    </row>
    <row r="178" spans="1:9" x14ac:dyDescent="0.25">
      <c r="A178" s="5" t="s">
        <v>2548</v>
      </c>
      <c r="B178" s="5" t="s">
        <v>50</v>
      </c>
      <c r="C178" s="5" t="s">
        <v>159</v>
      </c>
      <c r="D178" s="5">
        <v>10</v>
      </c>
      <c r="E178" s="5">
        <v>38</v>
      </c>
      <c r="F178" s="5">
        <v>1</v>
      </c>
      <c r="G178" s="6">
        <f t="shared" si="2"/>
        <v>0.1</v>
      </c>
      <c r="H178" s="5">
        <v>3.8</v>
      </c>
      <c r="I178" s="6">
        <f>D178/(VLOOKUP(B178,'[1]2021 Team'!$B$2:$G$33,3,FALSE))</f>
        <v>2.0449897750511249E-2</v>
      </c>
    </row>
    <row r="179" spans="1:9" x14ac:dyDescent="0.25">
      <c r="A179" s="5" t="s">
        <v>1568</v>
      </c>
      <c r="B179" s="5" t="s">
        <v>66</v>
      </c>
      <c r="C179" s="5" t="s">
        <v>82</v>
      </c>
      <c r="D179" s="5">
        <v>9</v>
      </c>
      <c r="E179" s="5">
        <v>-7</v>
      </c>
      <c r="F179" s="5">
        <v>0</v>
      </c>
      <c r="G179" s="6">
        <f t="shared" si="2"/>
        <v>0</v>
      </c>
      <c r="H179" s="5">
        <v>-0.8</v>
      </c>
      <c r="I179" s="6">
        <f>D179/(VLOOKUP(B179,'[1]2021 Team'!$B$2:$G$33,3,FALSE))</f>
        <v>2.3376623376623377E-2</v>
      </c>
    </row>
    <row r="180" spans="1:9" x14ac:dyDescent="0.25">
      <c r="A180" s="5" t="s">
        <v>944</v>
      </c>
      <c r="B180" s="5" t="s">
        <v>38</v>
      </c>
      <c r="C180" s="5" t="s">
        <v>163</v>
      </c>
      <c r="D180" s="5">
        <v>9</v>
      </c>
      <c r="E180" s="5">
        <v>96</v>
      </c>
      <c r="F180" s="5">
        <v>0</v>
      </c>
      <c r="G180" s="6">
        <f t="shared" si="2"/>
        <v>0</v>
      </c>
      <c r="H180" s="5">
        <v>10.7</v>
      </c>
      <c r="I180" s="6">
        <f>D180/(VLOOKUP(B180,'[1]2021 Team'!$B$2:$G$33,3,FALSE))</f>
        <v>2.0881670533642691E-2</v>
      </c>
    </row>
    <row r="181" spans="1:9" x14ac:dyDescent="0.25">
      <c r="A181" s="5" t="s">
        <v>785</v>
      </c>
      <c r="B181" s="5" t="s">
        <v>24</v>
      </c>
      <c r="C181" s="5" t="s">
        <v>163</v>
      </c>
      <c r="D181" s="5">
        <v>9</v>
      </c>
      <c r="E181" s="5">
        <v>76</v>
      </c>
      <c r="F181" s="5">
        <v>0</v>
      </c>
      <c r="G181" s="6">
        <f t="shared" si="2"/>
        <v>0</v>
      </c>
      <c r="H181" s="5">
        <v>8.4</v>
      </c>
      <c r="I181" s="6">
        <f>D181/(VLOOKUP(B181,'[1]2021 Team'!$B$2:$G$33,3,FALSE))</f>
        <v>1.9027484143763214E-2</v>
      </c>
    </row>
    <row r="182" spans="1:9" x14ac:dyDescent="0.25">
      <c r="A182" s="5" t="s">
        <v>1731</v>
      </c>
      <c r="B182" s="5" t="s">
        <v>14</v>
      </c>
      <c r="C182" s="5" t="s">
        <v>163</v>
      </c>
      <c r="D182" s="5">
        <v>9</v>
      </c>
      <c r="E182" s="5">
        <v>47</v>
      </c>
      <c r="F182" s="5">
        <v>1</v>
      </c>
      <c r="G182" s="6">
        <f t="shared" si="2"/>
        <v>0.1111111111111111</v>
      </c>
      <c r="H182" s="5">
        <v>5.2</v>
      </c>
      <c r="I182" s="6">
        <f>D182/(VLOOKUP(B182,'[1]2021 Team'!$B$2:$G$33,3,FALSE))</f>
        <v>1.9522776572668113E-2</v>
      </c>
    </row>
    <row r="183" spans="1:9" x14ac:dyDescent="0.25">
      <c r="A183" s="5" t="s">
        <v>149</v>
      </c>
      <c r="B183" s="5" t="s">
        <v>58</v>
      </c>
      <c r="C183" s="5" t="s">
        <v>82</v>
      </c>
      <c r="D183" s="5">
        <v>9</v>
      </c>
      <c r="E183" s="5">
        <v>21</v>
      </c>
      <c r="F183" s="5">
        <v>0</v>
      </c>
      <c r="G183" s="6">
        <f t="shared" si="2"/>
        <v>0</v>
      </c>
      <c r="H183" s="5">
        <v>2.2999999999999998</v>
      </c>
      <c r="I183" s="6">
        <f>D183/(VLOOKUP(B183,'[1]2021 Team'!$B$2:$G$33,3,FALSE))</f>
        <v>1.6363636363636365E-2</v>
      </c>
    </row>
    <row r="184" spans="1:9" x14ac:dyDescent="0.25">
      <c r="A184" s="5" t="s">
        <v>2549</v>
      </c>
      <c r="B184" s="5" t="s">
        <v>40</v>
      </c>
      <c r="C184" s="5" t="s">
        <v>159</v>
      </c>
      <c r="D184" s="5">
        <v>9</v>
      </c>
      <c r="E184" s="5">
        <v>40</v>
      </c>
      <c r="F184" s="5">
        <v>0</v>
      </c>
      <c r="G184" s="6">
        <f t="shared" si="2"/>
        <v>0</v>
      </c>
      <c r="H184" s="5">
        <v>4.4000000000000004</v>
      </c>
      <c r="I184" s="6">
        <f>D184/(VLOOKUP(B184,'[1]2021 Team'!$B$2:$G$33,3,FALSE))</f>
        <v>2.1739130434782608E-2</v>
      </c>
    </row>
    <row r="185" spans="1:9" x14ac:dyDescent="0.25">
      <c r="A185" s="5" t="s">
        <v>136</v>
      </c>
      <c r="B185" s="5" t="s">
        <v>24</v>
      </c>
      <c r="C185" s="5" t="s">
        <v>82</v>
      </c>
      <c r="D185" s="5">
        <v>9</v>
      </c>
      <c r="E185" s="5">
        <v>-8</v>
      </c>
      <c r="F185" s="5">
        <v>0</v>
      </c>
      <c r="G185" s="6">
        <f t="shared" si="2"/>
        <v>0</v>
      </c>
      <c r="H185" s="5">
        <v>-0.9</v>
      </c>
      <c r="I185" s="6">
        <f>D185/(VLOOKUP(B185,'[1]2021 Team'!$B$2:$G$33,3,FALSE))</f>
        <v>1.9027484143763214E-2</v>
      </c>
    </row>
    <row r="186" spans="1:9" x14ac:dyDescent="0.25">
      <c r="A186" s="5" t="s">
        <v>1561</v>
      </c>
      <c r="B186" s="5" t="s">
        <v>52</v>
      </c>
      <c r="C186" s="5" t="s">
        <v>82</v>
      </c>
      <c r="D186" s="5">
        <v>9</v>
      </c>
      <c r="E186" s="5">
        <v>20</v>
      </c>
      <c r="F186" s="5">
        <v>1</v>
      </c>
      <c r="G186" s="6">
        <f t="shared" si="2"/>
        <v>0.1111111111111111</v>
      </c>
      <c r="H186" s="5">
        <v>2.2000000000000002</v>
      </c>
      <c r="I186" s="6">
        <f>D186/(VLOOKUP(B186,'[1]2021 Team'!$B$2:$G$33,3,FALSE))</f>
        <v>1.7647058823529412E-2</v>
      </c>
    </row>
    <row r="187" spans="1:9" x14ac:dyDescent="0.25">
      <c r="A187" s="5" t="s">
        <v>99</v>
      </c>
      <c r="B187" s="5" t="s">
        <v>64</v>
      </c>
      <c r="C187" s="5" t="s">
        <v>82</v>
      </c>
      <c r="D187" s="5">
        <v>9</v>
      </c>
      <c r="E187" s="5">
        <v>42</v>
      </c>
      <c r="F187" s="5">
        <v>1</v>
      </c>
      <c r="G187" s="6">
        <f t="shared" si="2"/>
        <v>0.1111111111111111</v>
      </c>
      <c r="H187" s="5">
        <v>4.7</v>
      </c>
      <c r="I187" s="6">
        <f>D187/(VLOOKUP(B187,'[1]2021 Team'!$B$2:$G$33,3,FALSE))</f>
        <v>2.1791767554479417E-2</v>
      </c>
    </row>
    <row r="188" spans="1:9" x14ac:dyDescent="0.25">
      <c r="A188" s="5" t="s">
        <v>610</v>
      </c>
      <c r="B188" s="5" t="s">
        <v>50</v>
      </c>
      <c r="C188" s="5" t="s">
        <v>153</v>
      </c>
      <c r="D188" s="5">
        <v>9</v>
      </c>
      <c r="E188" s="5">
        <v>40</v>
      </c>
      <c r="F188" s="5">
        <v>0</v>
      </c>
      <c r="G188" s="6">
        <f t="shared" ref="G188:G248" si="3">F188/D188</f>
        <v>0</v>
      </c>
      <c r="H188" s="5">
        <v>4.4000000000000004</v>
      </c>
      <c r="I188" s="6">
        <f>D188/(VLOOKUP(B188,'[1]2021 Team'!$B$2:$G$33,3,FALSE))</f>
        <v>1.8404907975460124E-2</v>
      </c>
    </row>
    <row r="189" spans="1:9" x14ac:dyDescent="0.25">
      <c r="A189" s="5" t="s">
        <v>1845</v>
      </c>
      <c r="B189" s="5" t="s">
        <v>10</v>
      </c>
      <c r="C189" s="5" t="s">
        <v>613</v>
      </c>
      <c r="D189" s="5">
        <v>9</v>
      </c>
      <c r="E189" s="5">
        <v>31</v>
      </c>
      <c r="F189" s="5">
        <v>0</v>
      </c>
      <c r="G189" s="6">
        <f t="shared" si="3"/>
        <v>0</v>
      </c>
      <c r="H189" s="5">
        <v>3.4</v>
      </c>
      <c r="I189" s="6">
        <f>D189/(VLOOKUP(B189,'[1]2021 Team'!$B$2:$G$33,3,FALSE))</f>
        <v>2.2900763358778626E-2</v>
      </c>
    </row>
    <row r="190" spans="1:9" x14ac:dyDescent="0.25">
      <c r="A190" s="5" t="s">
        <v>1735</v>
      </c>
      <c r="B190" s="5" t="s">
        <v>8</v>
      </c>
      <c r="C190" s="5" t="s">
        <v>159</v>
      </c>
      <c r="D190" s="5">
        <v>9</v>
      </c>
      <c r="E190" s="5">
        <v>33</v>
      </c>
      <c r="F190" s="5">
        <v>0</v>
      </c>
      <c r="G190" s="6">
        <f t="shared" si="3"/>
        <v>0</v>
      </c>
      <c r="H190" s="5">
        <v>3.7</v>
      </c>
      <c r="I190" s="6">
        <f>D190/(VLOOKUP(B190,'[1]2021 Team'!$B$2:$G$33,3,FALSE))</f>
        <v>1.8145161290322582E-2</v>
      </c>
    </row>
    <row r="191" spans="1:9" x14ac:dyDescent="0.25">
      <c r="A191" s="5" t="s">
        <v>135</v>
      </c>
      <c r="B191" s="5" t="s">
        <v>56</v>
      </c>
      <c r="C191" s="5" t="s">
        <v>82</v>
      </c>
      <c r="D191" s="5">
        <v>4</v>
      </c>
      <c r="E191" s="5">
        <v>18</v>
      </c>
      <c r="F191" s="5">
        <v>0</v>
      </c>
      <c r="G191" s="6">
        <f t="shared" si="3"/>
        <v>0</v>
      </c>
      <c r="H191" s="5">
        <v>4.5</v>
      </c>
      <c r="I191" s="6">
        <f>D191/(VLOOKUP(B191,'[1]2021 Team'!$B$2:$G$33,3,FALSE))</f>
        <v>1.0526315789473684E-2</v>
      </c>
    </row>
    <row r="192" spans="1:9" x14ac:dyDescent="0.25">
      <c r="A192" s="5" t="s">
        <v>135</v>
      </c>
      <c r="B192" s="5" t="s">
        <v>12</v>
      </c>
      <c r="C192" s="5" t="s">
        <v>82</v>
      </c>
      <c r="D192" s="5">
        <v>5</v>
      </c>
      <c r="E192" s="5">
        <v>10</v>
      </c>
      <c r="F192" s="5">
        <v>0</v>
      </c>
      <c r="G192" s="6">
        <f t="shared" si="3"/>
        <v>0</v>
      </c>
      <c r="H192" s="5">
        <v>2</v>
      </c>
      <c r="I192" s="6">
        <f>D192/(VLOOKUP(B192,'[1]2021 Team'!$B$2:$G$33,3,FALSE))</f>
        <v>9.6711798839458421E-3</v>
      </c>
    </row>
    <row r="193" spans="1:9" x14ac:dyDescent="0.25">
      <c r="A193" s="5" t="s">
        <v>2431</v>
      </c>
      <c r="B193" s="5" t="s">
        <v>66</v>
      </c>
      <c r="C193" s="5" t="s">
        <v>159</v>
      </c>
      <c r="D193" s="5">
        <v>8</v>
      </c>
      <c r="E193" s="5">
        <v>58</v>
      </c>
      <c r="F193" s="5">
        <v>0</v>
      </c>
      <c r="G193" s="6">
        <f t="shared" si="3"/>
        <v>0</v>
      </c>
      <c r="H193" s="5">
        <v>7.3</v>
      </c>
      <c r="I193" s="6">
        <f>D193/(VLOOKUP(B193,'[1]2021 Team'!$B$2:$G$33,3,FALSE))</f>
        <v>2.0779220779220779E-2</v>
      </c>
    </row>
    <row r="194" spans="1:9" x14ac:dyDescent="0.25">
      <c r="A194" s="5" t="s">
        <v>1714</v>
      </c>
      <c r="B194" s="5" t="s">
        <v>38</v>
      </c>
      <c r="C194" s="5" t="s">
        <v>159</v>
      </c>
      <c r="D194" s="5">
        <v>8</v>
      </c>
      <c r="E194" s="5">
        <v>26</v>
      </c>
      <c r="F194" s="5">
        <v>1</v>
      </c>
      <c r="G194" s="6">
        <f t="shared" si="3"/>
        <v>0.125</v>
      </c>
      <c r="H194" s="5">
        <v>3.3</v>
      </c>
      <c r="I194" s="6">
        <f>D194/(VLOOKUP(B194,'[1]2021 Team'!$B$2:$G$33,3,FALSE))</f>
        <v>1.8561484918793503E-2</v>
      </c>
    </row>
    <row r="195" spans="1:9" x14ac:dyDescent="0.25">
      <c r="A195" s="5" t="s">
        <v>2387</v>
      </c>
      <c r="B195" s="5" t="s">
        <v>54</v>
      </c>
      <c r="C195" s="5" t="s">
        <v>82</v>
      </c>
      <c r="D195" s="5">
        <v>8</v>
      </c>
      <c r="E195" s="5">
        <v>65</v>
      </c>
      <c r="F195" s="5">
        <v>0</v>
      </c>
      <c r="G195" s="6">
        <f t="shared" si="3"/>
        <v>0</v>
      </c>
      <c r="H195" s="5">
        <v>8.1</v>
      </c>
      <c r="I195" s="6">
        <f>D195/(VLOOKUP(B195,'[1]2021 Team'!$B$2:$G$33,3,FALSE))</f>
        <v>1.9093078758949882E-2</v>
      </c>
    </row>
    <row r="196" spans="1:9" x14ac:dyDescent="0.25">
      <c r="A196" s="5" t="s">
        <v>822</v>
      </c>
      <c r="B196" s="5" t="s">
        <v>38</v>
      </c>
      <c r="C196" s="5" t="s">
        <v>163</v>
      </c>
      <c r="D196" s="5">
        <v>8</v>
      </c>
      <c r="E196" s="5">
        <v>46</v>
      </c>
      <c r="F196" s="5">
        <v>0</v>
      </c>
      <c r="G196" s="6">
        <f t="shared" si="3"/>
        <v>0</v>
      </c>
      <c r="H196" s="5">
        <v>5.8</v>
      </c>
      <c r="I196" s="6">
        <f>D196/(VLOOKUP(B196,'[1]2021 Team'!$B$2:$G$33,3,FALSE))</f>
        <v>1.8561484918793503E-2</v>
      </c>
    </row>
    <row r="197" spans="1:9" x14ac:dyDescent="0.25">
      <c r="A197" s="5" t="s">
        <v>2381</v>
      </c>
      <c r="B197" s="5" t="s">
        <v>38</v>
      </c>
      <c r="C197" s="5" t="s">
        <v>82</v>
      </c>
      <c r="D197" s="5">
        <v>8</v>
      </c>
      <c r="E197" s="5">
        <v>0</v>
      </c>
      <c r="F197" s="5">
        <v>0</v>
      </c>
      <c r="G197" s="6">
        <f t="shared" si="3"/>
        <v>0</v>
      </c>
      <c r="H197" s="5">
        <v>0</v>
      </c>
      <c r="I197" s="6">
        <f>D197/(VLOOKUP(B197,'[1]2021 Team'!$B$2:$G$33,3,FALSE))</f>
        <v>1.8561484918793503E-2</v>
      </c>
    </row>
    <row r="198" spans="1:9" x14ac:dyDescent="0.25">
      <c r="A198" s="5" t="s">
        <v>718</v>
      </c>
      <c r="B198" s="5" t="s">
        <v>62</v>
      </c>
      <c r="C198" s="5" t="s">
        <v>613</v>
      </c>
      <c r="D198" s="5">
        <v>8</v>
      </c>
      <c r="E198" s="5">
        <v>22</v>
      </c>
      <c r="F198" s="5">
        <v>1</v>
      </c>
      <c r="G198" s="6">
        <f t="shared" si="3"/>
        <v>0.125</v>
      </c>
      <c r="H198" s="5">
        <v>2.8</v>
      </c>
      <c r="I198" s="6">
        <f>D198/(VLOOKUP(B198,'[1]2021 Team'!$B$2:$G$33,3,FALSE))</f>
        <v>1.6032064128256512E-2</v>
      </c>
    </row>
    <row r="199" spans="1:9" x14ac:dyDescent="0.25">
      <c r="A199" s="5" t="s">
        <v>167</v>
      </c>
      <c r="B199" s="5" t="s">
        <v>16</v>
      </c>
      <c r="C199" s="5" t="s">
        <v>163</v>
      </c>
      <c r="D199" s="5">
        <v>8</v>
      </c>
      <c r="E199" s="5">
        <v>48</v>
      </c>
      <c r="F199" s="5">
        <v>0</v>
      </c>
      <c r="G199" s="6">
        <f t="shared" si="3"/>
        <v>0</v>
      </c>
      <c r="H199" s="5">
        <v>6</v>
      </c>
      <c r="I199" s="6">
        <f>D199/(VLOOKUP(B199,'[1]2021 Team'!$B$2:$G$33,3,FALSE))</f>
        <v>1.7582417582417582E-2</v>
      </c>
    </row>
    <row r="200" spans="1:9" x14ac:dyDescent="0.25">
      <c r="A200" s="5" t="s">
        <v>1696</v>
      </c>
      <c r="B200" s="5" t="s">
        <v>56</v>
      </c>
      <c r="C200" s="5" t="s">
        <v>159</v>
      </c>
      <c r="D200" s="5">
        <v>8</v>
      </c>
      <c r="E200" s="5">
        <v>31</v>
      </c>
      <c r="F200" s="5">
        <v>0</v>
      </c>
      <c r="G200" s="6">
        <f t="shared" si="3"/>
        <v>0</v>
      </c>
      <c r="H200" s="5">
        <v>3.9</v>
      </c>
      <c r="I200" s="6">
        <f>D200/(VLOOKUP(B200,'[1]2021 Team'!$B$2:$G$33,3,FALSE))</f>
        <v>2.1052631578947368E-2</v>
      </c>
    </row>
    <row r="201" spans="1:9" x14ac:dyDescent="0.25">
      <c r="A201" s="5" t="s">
        <v>1768</v>
      </c>
      <c r="B201" s="5" t="s">
        <v>44</v>
      </c>
      <c r="C201" s="5" t="s">
        <v>163</v>
      </c>
      <c r="D201" s="5">
        <v>8</v>
      </c>
      <c r="E201" s="5">
        <v>46</v>
      </c>
      <c r="F201" s="5">
        <v>1</v>
      </c>
      <c r="G201" s="6">
        <f t="shared" si="3"/>
        <v>0.125</v>
      </c>
      <c r="H201" s="5">
        <v>5.8</v>
      </c>
      <c r="I201" s="6">
        <f>D201/(VLOOKUP(B201,'[1]2021 Team'!$B$2:$G$33,3,FALSE))</f>
        <v>1.9047619047619049E-2</v>
      </c>
    </row>
    <row r="202" spans="1:9" x14ac:dyDescent="0.25">
      <c r="A202" s="5" t="s">
        <v>1722</v>
      </c>
      <c r="B202" s="5" t="s">
        <v>36</v>
      </c>
      <c r="C202" s="5" t="s">
        <v>163</v>
      </c>
      <c r="D202" s="5">
        <v>7</v>
      </c>
      <c r="E202" s="5">
        <v>111</v>
      </c>
      <c r="F202" s="5">
        <v>1</v>
      </c>
      <c r="G202" s="6">
        <f t="shared" si="3"/>
        <v>0.14285714285714285</v>
      </c>
      <c r="H202" s="5">
        <v>15.9</v>
      </c>
      <c r="I202" s="6">
        <f>D202/(VLOOKUP(B202,'[1]2021 Team'!$B$2:$G$33,3,FALSE))</f>
        <v>1.7857142857142856E-2</v>
      </c>
    </row>
    <row r="203" spans="1:9" x14ac:dyDescent="0.25">
      <c r="A203" s="5" t="s">
        <v>143</v>
      </c>
      <c r="B203" s="5" t="s">
        <v>20</v>
      </c>
      <c r="C203" s="5" t="s">
        <v>82</v>
      </c>
      <c r="D203" s="5">
        <v>7</v>
      </c>
      <c r="E203" s="5">
        <v>-1</v>
      </c>
      <c r="F203" s="5">
        <v>0</v>
      </c>
      <c r="G203" s="6">
        <f t="shared" si="3"/>
        <v>0</v>
      </c>
      <c r="H203" s="5">
        <v>-0.1</v>
      </c>
      <c r="I203" s="6">
        <f>D203/(VLOOKUP(B203,'[1]2021 Team'!$B$2:$G$33,3,FALSE))</f>
        <v>1.6055045871559634E-2</v>
      </c>
    </row>
    <row r="204" spans="1:9" x14ac:dyDescent="0.25">
      <c r="A204" s="5" t="s">
        <v>885</v>
      </c>
      <c r="B204" s="5" t="s">
        <v>56</v>
      </c>
      <c r="C204" s="5" t="s">
        <v>163</v>
      </c>
      <c r="D204" s="5">
        <v>7</v>
      </c>
      <c r="E204" s="5">
        <v>40</v>
      </c>
      <c r="F204" s="5">
        <v>2</v>
      </c>
      <c r="G204" s="6">
        <f t="shared" si="3"/>
        <v>0.2857142857142857</v>
      </c>
      <c r="H204" s="5">
        <v>5.7</v>
      </c>
      <c r="I204" s="6">
        <f>D204/(VLOOKUP(B204,'[1]2021 Team'!$B$2:$G$33,3,FALSE))</f>
        <v>1.8421052631578946E-2</v>
      </c>
    </row>
    <row r="205" spans="1:9" x14ac:dyDescent="0.25">
      <c r="A205" s="5" t="s">
        <v>693</v>
      </c>
      <c r="B205" s="5" t="s">
        <v>20</v>
      </c>
      <c r="C205" s="5" t="s">
        <v>163</v>
      </c>
      <c r="D205" s="5">
        <v>7</v>
      </c>
      <c r="E205" s="5">
        <v>21</v>
      </c>
      <c r="F205" s="5">
        <v>0</v>
      </c>
      <c r="G205" s="6">
        <f t="shared" si="3"/>
        <v>0</v>
      </c>
      <c r="H205" s="5">
        <v>3</v>
      </c>
      <c r="I205" s="6">
        <f>D205/(VLOOKUP(B205,'[1]2021 Team'!$B$2:$G$33,3,FALSE))</f>
        <v>1.6055045871559634E-2</v>
      </c>
    </row>
    <row r="206" spans="1:9" x14ac:dyDescent="0.25">
      <c r="A206" s="5" t="s">
        <v>837</v>
      </c>
      <c r="B206" s="5" t="s">
        <v>12</v>
      </c>
      <c r="C206" s="5" t="s">
        <v>163</v>
      </c>
      <c r="D206" s="5">
        <v>7</v>
      </c>
      <c r="E206" s="5">
        <v>50</v>
      </c>
      <c r="F206" s="5">
        <v>0</v>
      </c>
      <c r="G206" s="6">
        <f t="shared" si="3"/>
        <v>0</v>
      </c>
      <c r="H206" s="5">
        <v>7.1</v>
      </c>
      <c r="I206" s="6">
        <f>D206/(VLOOKUP(B206,'[1]2021 Team'!$B$2:$G$33,3,FALSE))</f>
        <v>1.3539651837524178E-2</v>
      </c>
    </row>
    <row r="207" spans="1:9" x14ac:dyDescent="0.25">
      <c r="A207" s="5" t="s">
        <v>2449</v>
      </c>
      <c r="B207" s="5" t="s">
        <v>22</v>
      </c>
      <c r="C207" s="5" t="s">
        <v>163</v>
      </c>
      <c r="D207" s="5">
        <v>7</v>
      </c>
      <c r="E207" s="5">
        <v>24</v>
      </c>
      <c r="F207" s="5">
        <v>0</v>
      </c>
      <c r="G207" s="6">
        <f t="shared" si="3"/>
        <v>0</v>
      </c>
      <c r="H207" s="5">
        <v>3.4</v>
      </c>
      <c r="I207" s="6">
        <f>D207/(VLOOKUP(B207,'[1]2021 Team'!$B$2:$G$33,3,FALSE))</f>
        <v>1.443298969072165E-2</v>
      </c>
    </row>
    <row r="208" spans="1:9" x14ac:dyDescent="0.25">
      <c r="A208" s="5" t="s">
        <v>2385</v>
      </c>
      <c r="B208" s="5" t="s">
        <v>54</v>
      </c>
      <c r="C208" s="5" t="s">
        <v>82</v>
      </c>
      <c r="D208" s="5">
        <v>7</v>
      </c>
      <c r="E208" s="5">
        <v>33</v>
      </c>
      <c r="F208" s="5">
        <v>1</v>
      </c>
      <c r="G208" s="6">
        <f t="shared" si="3"/>
        <v>0.14285714285714285</v>
      </c>
      <c r="H208" s="5">
        <v>4.7</v>
      </c>
      <c r="I208" s="6">
        <f>D208/(VLOOKUP(B208,'[1]2021 Team'!$B$2:$G$33,3,FALSE))</f>
        <v>1.6706443914081145E-2</v>
      </c>
    </row>
    <row r="209" spans="1:9" x14ac:dyDescent="0.25">
      <c r="A209" s="5" t="s">
        <v>1801</v>
      </c>
      <c r="B209" s="5" t="s">
        <v>42</v>
      </c>
      <c r="C209" s="5" t="s">
        <v>163</v>
      </c>
      <c r="D209" s="5">
        <v>7</v>
      </c>
      <c r="E209" s="5">
        <v>34</v>
      </c>
      <c r="F209" s="5">
        <v>0</v>
      </c>
      <c r="G209" s="6">
        <f t="shared" si="3"/>
        <v>0</v>
      </c>
      <c r="H209" s="5">
        <v>4.9000000000000004</v>
      </c>
      <c r="I209" s="6">
        <f>D209/(VLOOKUP(B209,'[1]2021 Team'!$B$2:$G$33,3,FALSE))</f>
        <v>1.6548463356973995E-2</v>
      </c>
    </row>
    <row r="210" spans="1:9" x14ac:dyDescent="0.25">
      <c r="A210" s="5" t="s">
        <v>674</v>
      </c>
      <c r="B210" s="5" t="s">
        <v>48</v>
      </c>
      <c r="C210" s="5" t="s">
        <v>613</v>
      </c>
      <c r="D210" s="5">
        <v>7</v>
      </c>
      <c r="E210" s="5">
        <v>34</v>
      </c>
      <c r="F210" s="5">
        <v>0</v>
      </c>
      <c r="G210" s="6">
        <f t="shared" si="3"/>
        <v>0</v>
      </c>
      <c r="H210" s="5">
        <v>4.9000000000000004</v>
      </c>
      <c r="I210" s="6">
        <f>D210/(VLOOKUP(B210,'[1]2021 Team'!$B$2:$G$33,3,FALSE))</f>
        <v>1.5590200445434299E-2</v>
      </c>
    </row>
    <row r="211" spans="1:9" x14ac:dyDescent="0.25">
      <c r="A211" s="5" t="s">
        <v>689</v>
      </c>
      <c r="B211" s="5" t="s">
        <v>28</v>
      </c>
      <c r="C211" s="5" t="s">
        <v>163</v>
      </c>
      <c r="D211" s="5">
        <v>7</v>
      </c>
      <c r="E211" s="5">
        <v>61</v>
      </c>
      <c r="F211" s="5">
        <v>1</v>
      </c>
      <c r="G211" s="6">
        <f t="shared" si="3"/>
        <v>0.14285714285714285</v>
      </c>
      <c r="H211" s="5">
        <v>8.6999999999999993</v>
      </c>
      <c r="I211" s="6">
        <f>D211/(VLOOKUP(B211,'[1]2021 Team'!$B$2:$G$33,3,FALSE))</f>
        <v>1.6393442622950821E-2</v>
      </c>
    </row>
    <row r="212" spans="1:9" x14ac:dyDescent="0.25">
      <c r="A212" s="5" t="s">
        <v>1562</v>
      </c>
      <c r="B212" s="5" t="s">
        <v>16</v>
      </c>
      <c r="C212" s="5" t="s">
        <v>82</v>
      </c>
      <c r="D212" s="5">
        <v>7</v>
      </c>
      <c r="E212" s="5">
        <v>13</v>
      </c>
      <c r="F212" s="5">
        <v>0</v>
      </c>
      <c r="G212" s="6">
        <f t="shared" si="3"/>
        <v>0</v>
      </c>
      <c r="H212" s="5">
        <v>1.9</v>
      </c>
      <c r="I212" s="6">
        <f>D212/(VLOOKUP(B212,'[1]2021 Team'!$B$2:$G$33,3,FALSE))</f>
        <v>1.5384615384615385E-2</v>
      </c>
    </row>
    <row r="213" spans="1:9" x14ac:dyDescent="0.25">
      <c r="A213" s="5" t="s">
        <v>700</v>
      </c>
      <c r="B213" s="5" t="s">
        <v>48</v>
      </c>
      <c r="C213" s="5" t="s">
        <v>163</v>
      </c>
      <c r="D213" s="5">
        <v>6</v>
      </c>
      <c r="E213" s="5">
        <v>14</v>
      </c>
      <c r="F213" s="5">
        <v>0</v>
      </c>
      <c r="G213" s="6">
        <f t="shared" si="3"/>
        <v>0</v>
      </c>
      <c r="H213" s="5">
        <v>2.2999999999999998</v>
      </c>
      <c r="I213" s="6">
        <f>D213/(VLOOKUP(B213,'[1]2021 Team'!$B$2:$G$33,3,FALSE))</f>
        <v>1.3363028953229399E-2</v>
      </c>
    </row>
    <row r="214" spans="1:9" x14ac:dyDescent="0.25">
      <c r="A214" s="5" t="s">
        <v>2403</v>
      </c>
      <c r="B214" s="5" t="s">
        <v>22</v>
      </c>
      <c r="C214" s="5" t="s">
        <v>163</v>
      </c>
      <c r="D214" s="5">
        <v>6</v>
      </c>
      <c r="E214" s="5">
        <v>40</v>
      </c>
      <c r="F214" s="5">
        <v>2</v>
      </c>
      <c r="G214" s="6">
        <f t="shared" si="3"/>
        <v>0.33333333333333331</v>
      </c>
      <c r="H214" s="5">
        <v>6.7</v>
      </c>
      <c r="I214" s="6">
        <f>D214/(VLOOKUP(B214,'[1]2021 Team'!$B$2:$G$33,3,FALSE))</f>
        <v>1.2371134020618556E-2</v>
      </c>
    </row>
    <row r="215" spans="1:9" x14ac:dyDescent="0.25">
      <c r="A215" s="5" t="s">
        <v>807</v>
      </c>
      <c r="B215" s="5" t="s">
        <v>18</v>
      </c>
      <c r="C215" s="5" t="s">
        <v>163</v>
      </c>
      <c r="D215" s="5">
        <v>6</v>
      </c>
      <c r="E215" s="5">
        <v>32</v>
      </c>
      <c r="F215" s="5">
        <v>1</v>
      </c>
      <c r="G215" s="6">
        <f t="shared" si="3"/>
        <v>0.16666666666666666</v>
      </c>
      <c r="H215" s="5">
        <v>5.3</v>
      </c>
      <c r="I215" s="6">
        <f>D215/(VLOOKUP(B215,'[1]2021 Team'!$B$2:$G$33,3,FALSE))</f>
        <v>1.2631578947368421E-2</v>
      </c>
    </row>
    <row r="216" spans="1:9" x14ac:dyDescent="0.25">
      <c r="A216" s="5" t="s">
        <v>2550</v>
      </c>
      <c r="B216" s="5" t="s">
        <v>32</v>
      </c>
      <c r="C216" s="5" t="s">
        <v>159</v>
      </c>
      <c r="D216" s="5">
        <v>6</v>
      </c>
      <c r="E216" s="5">
        <v>13</v>
      </c>
      <c r="F216" s="5">
        <v>0</v>
      </c>
      <c r="G216" s="6">
        <f t="shared" si="3"/>
        <v>0</v>
      </c>
      <c r="H216" s="5">
        <v>2.2000000000000002</v>
      </c>
      <c r="I216" s="6">
        <f>D216/(VLOOKUP(B216,'[1]2021 Team'!$B$2:$G$33,3,FALSE))</f>
        <v>1.4285714285714285E-2</v>
      </c>
    </row>
    <row r="217" spans="1:9" x14ac:dyDescent="0.25">
      <c r="A217" s="5" t="s">
        <v>2436</v>
      </c>
      <c r="B217" s="5" t="s">
        <v>22</v>
      </c>
      <c r="C217" s="5" t="s">
        <v>163</v>
      </c>
      <c r="D217" s="5">
        <v>6</v>
      </c>
      <c r="E217" s="5">
        <v>39</v>
      </c>
      <c r="F217" s="5">
        <v>0</v>
      </c>
      <c r="G217" s="6">
        <f t="shared" si="3"/>
        <v>0</v>
      </c>
      <c r="H217" s="5">
        <v>6.5</v>
      </c>
      <c r="I217" s="6">
        <f>D217/(VLOOKUP(B217,'[1]2021 Team'!$B$2:$G$33,3,FALSE))</f>
        <v>1.2371134020618556E-2</v>
      </c>
    </row>
    <row r="218" spans="1:9" x14ac:dyDescent="0.25">
      <c r="A218" s="5" t="s">
        <v>1575</v>
      </c>
      <c r="B218" s="5" t="s">
        <v>68</v>
      </c>
      <c r="C218" s="5" t="s">
        <v>82</v>
      </c>
      <c r="D218" s="5">
        <v>6</v>
      </c>
      <c r="E218" s="5">
        <v>-6</v>
      </c>
      <c r="F218" s="5">
        <v>0</v>
      </c>
      <c r="G218" s="6">
        <f t="shared" si="3"/>
        <v>0</v>
      </c>
      <c r="H218" s="5">
        <v>-1</v>
      </c>
      <c r="I218" s="6">
        <f>D218/(VLOOKUP(B218,'[1]2021 Team'!$B$2:$G$33,3,FALSE))</f>
        <v>1.0889292196007259E-2</v>
      </c>
    </row>
    <row r="219" spans="1:9" x14ac:dyDescent="0.25">
      <c r="A219" s="5" t="s">
        <v>1771</v>
      </c>
      <c r="B219" s="5" t="s">
        <v>62</v>
      </c>
      <c r="C219" s="5" t="s">
        <v>163</v>
      </c>
      <c r="D219" s="5">
        <v>5</v>
      </c>
      <c r="E219" s="5">
        <v>17</v>
      </c>
      <c r="F219" s="5">
        <v>0</v>
      </c>
      <c r="G219" s="6">
        <f t="shared" si="3"/>
        <v>0</v>
      </c>
      <c r="H219" s="5">
        <v>3.4</v>
      </c>
      <c r="I219" s="6">
        <f>D219/(VLOOKUP(B219,'[1]2021 Team'!$B$2:$G$33,3,FALSE))</f>
        <v>1.002004008016032E-2</v>
      </c>
    </row>
    <row r="220" spans="1:9" x14ac:dyDescent="0.25">
      <c r="A220" s="5" t="s">
        <v>176</v>
      </c>
      <c r="B220" s="5" t="s">
        <v>44</v>
      </c>
      <c r="C220" s="5" t="s">
        <v>159</v>
      </c>
      <c r="D220" s="5">
        <v>5</v>
      </c>
      <c r="E220" s="5">
        <v>3</v>
      </c>
      <c r="F220" s="5">
        <v>0</v>
      </c>
      <c r="G220" s="6">
        <f t="shared" si="3"/>
        <v>0</v>
      </c>
      <c r="H220" s="5">
        <v>0.6</v>
      </c>
      <c r="I220" s="6">
        <f>D220/(VLOOKUP(B220,'[1]2021 Team'!$B$2:$G$33,3,FALSE))</f>
        <v>1.1904761904761904E-2</v>
      </c>
    </row>
    <row r="221" spans="1:9" x14ac:dyDescent="0.25">
      <c r="A221" s="5" t="s">
        <v>1773</v>
      </c>
      <c r="B221" s="5" t="s">
        <v>52</v>
      </c>
      <c r="C221" s="5" t="s">
        <v>613</v>
      </c>
      <c r="D221" s="5">
        <v>5</v>
      </c>
      <c r="E221" s="5">
        <v>21</v>
      </c>
      <c r="F221" s="5">
        <v>0</v>
      </c>
      <c r="G221" s="6">
        <f t="shared" si="3"/>
        <v>0</v>
      </c>
      <c r="H221" s="5">
        <v>4.2</v>
      </c>
      <c r="I221" s="6">
        <f>D221/(VLOOKUP(B221,'[1]2021 Team'!$B$2:$G$33,3,FALSE))</f>
        <v>9.8039215686274508E-3</v>
      </c>
    </row>
    <row r="222" spans="1:9" x14ac:dyDescent="0.25">
      <c r="A222" s="5" t="s">
        <v>2551</v>
      </c>
      <c r="B222" s="5" t="s">
        <v>46</v>
      </c>
      <c r="C222" s="5" t="s">
        <v>163</v>
      </c>
      <c r="D222" s="5">
        <v>0</v>
      </c>
      <c r="E222" s="5">
        <v>0</v>
      </c>
      <c r="F222" s="5">
        <v>0</v>
      </c>
      <c r="G222" s="6" t="e">
        <f t="shared" si="3"/>
        <v>#DIV/0!</v>
      </c>
      <c r="H222" s="5"/>
      <c r="I222" s="6">
        <f>D222/(VLOOKUP(B222,'[1]2021 Team'!$B$2:$G$33,3,FALSE))</f>
        <v>0</v>
      </c>
    </row>
    <row r="223" spans="1:9" x14ac:dyDescent="0.25">
      <c r="A223" s="5" t="s">
        <v>2551</v>
      </c>
      <c r="B223" s="5" t="s">
        <v>18</v>
      </c>
      <c r="C223" s="5" t="s">
        <v>163</v>
      </c>
      <c r="D223" s="5">
        <v>5</v>
      </c>
      <c r="E223" s="5">
        <v>33</v>
      </c>
      <c r="F223" s="5">
        <v>0</v>
      </c>
      <c r="G223" s="6">
        <f t="shared" si="3"/>
        <v>0</v>
      </c>
      <c r="H223" s="5">
        <v>6.6</v>
      </c>
      <c r="I223" s="6">
        <f>D223/(VLOOKUP(B223,'[1]2021 Team'!$B$2:$G$33,3,FALSE))</f>
        <v>1.0526315789473684E-2</v>
      </c>
    </row>
    <row r="224" spans="1:9" x14ac:dyDescent="0.25">
      <c r="A224" s="5" t="s">
        <v>1726</v>
      </c>
      <c r="B224" s="5" t="s">
        <v>52</v>
      </c>
      <c r="C224" s="5" t="s">
        <v>163</v>
      </c>
      <c r="D224" s="5">
        <v>5</v>
      </c>
      <c r="E224" s="5">
        <v>41</v>
      </c>
      <c r="F224" s="5">
        <v>0</v>
      </c>
      <c r="G224" s="6">
        <f t="shared" si="3"/>
        <v>0</v>
      </c>
      <c r="H224" s="5">
        <v>8.1999999999999993</v>
      </c>
      <c r="I224" s="6">
        <f>D224/(VLOOKUP(B224,'[1]2021 Team'!$B$2:$G$33,3,FALSE))</f>
        <v>9.8039215686274508E-3</v>
      </c>
    </row>
    <row r="225" spans="1:9" x14ac:dyDescent="0.25">
      <c r="A225" s="5" t="s">
        <v>2552</v>
      </c>
      <c r="B225" s="5" t="s">
        <v>44</v>
      </c>
      <c r="C225" s="5" t="s">
        <v>159</v>
      </c>
      <c r="D225" s="5">
        <v>5</v>
      </c>
      <c r="E225" s="5">
        <v>11</v>
      </c>
      <c r="F225" s="5">
        <v>0</v>
      </c>
      <c r="G225" s="6">
        <f t="shared" si="3"/>
        <v>0</v>
      </c>
      <c r="H225" s="5">
        <v>2.2000000000000002</v>
      </c>
      <c r="I225" s="6">
        <f>D225/(VLOOKUP(B225,'[1]2021 Team'!$B$2:$G$33,3,FALSE))</f>
        <v>1.1904761904761904E-2</v>
      </c>
    </row>
    <row r="226" spans="1:9" x14ac:dyDescent="0.25">
      <c r="A226" s="5" t="s">
        <v>1812</v>
      </c>
      <c r="B226" s="5" t="s">
        <v>60</v>
      </c>
      <c r="C226" s="5" t="s">
        <v>163</v>
      </c>
      <c r="D226" s="5">
        <v>5</v>
      </c>
      <c r="E226" s="5">
        <v>53</v>
      </c>
      <c r="F226" s="5">
        <v>0</v>
      </c>
      <c r="G226" s="6">
        <f t="shared" si="3"/>
        <v>0</v>
      </c>
      <c r="H226" s="5">
        <v>10.6</v>
      </c>
      <c r="I226" s="6">
        <f>D226/(VLOOKUP(B226,'[1]2021 Team'!$B$2:$G$33,3,FALSE))</f>
        <v>1.2165450121654502E-2</v>
      </c>
    </row>
    <row r="227" spans="1:9" x14ac:dyDescent="0.25">
      <c r="A227" s="5" t="s">
        <v>634</v>
      </c>
      <c r="B227" s="5" t="s">
        <v>56</v>
      </c>
      <c r="C227" s="5" t="s">
        <v>163</v>
      </c>
      <c r="D227" s="5">
        <v>5</v>
      </c>
      <c r="E227" s="5">
        <v>54</v>
      </c>
      <c r="F227" s="5">
        <v>1</v>
      </c>
      <c r="G227" s="6">
        <f t="shared" si="3"/>
        <v>0.2</v>
      </c>
      <c r="H227" s="5">
        <v>10.8</v>
      </c>
      <c r="I227" s="6">
        <f>D227/(VLOOKUP(B227,'[1]2021 Team'!$B$2:$G$33,3,FALSE))</f>
        <v>1.3157894736842105E-2</v>
      </c>
    </row>
    <row r="228" spans="1:9" x14ac:dyDescent="0.25">
      <c r="A228" s="5" t="s">
        <v>898</v>
      </c>
      <c r="B228" s="5" t="s">
        <v>34</v>
      </c>
      <c r="C228" s="5" t="s">
        <v>163</v>
      </c>
      <c r="D228" s="5">
        <v>5</v>
      </c>
      <c r="E228" s="5">
        <v>44</v>
      </c>
      <c r="F228" s="5">
        <v>0</v>
      </c>
      <c r="G228" s="6">
        <f t="shared" si="3"/>
        <v>0</v>
      </c>
      <c r="H228" s="5">
        <v>8.8000000000000007</v>
      </c>
      <c r="I228" s="6">
        <f>D228/(VLOOKUP(B228,'[1]2021 Team'!$B$2:$G$33,3,FALSE))</f>
        <v>1.002004008016032E-2</v>
      </c>
    </row>
    <row r="229" spans="1:9" x14ac:dyDescent="0.25">
      <c r="A229" s="5" t="s">
        <v>137</v>
      </c>
      <c r="B229" s="5" t="s">
        <v>60</v>
      </c>
      <c r="C229" s="5" t="s">
        <v>82</v>
      </c>
      <c r="D229" s="5">
        <v>5</v>
      </c>
      <c r="E229" s="5">
        <v>53</v>
      </c>
      <c r="F229" s="5">
        <v>0</v>
      </c>
      <c r="G229" s="6">
        <f t="shared" si="3"/>
        <v>0</v>
      </c>
      <c r="H229" s="5">
        <v>10.6</v>
      </c>
      <c r="I229" s="6">
        <f>D229/(VLOOKUP(B229,'[1]2021 Team'!$B$2:$G$33,3,FALSE))</f>
        <v>1.2165450121654502E-2</v>
      </c>
    </row>
    <row r="230" spans="1:9" x14ac:dyDescent="0.25">
      <c r="A230" s="5" t="s">
        <v>2553</v>
      </c>
      <c r="B230" s="5" t="s">
        <v>32</v>
      </c>
      <c r="C230" s="5" t="s">
        <v>159</v>
      </c>
      <c r="D230" s="5">
        <v>5</v>
      </c>
      <c r="E230" s="5">
        <v>9</v>
      </c>
      <c r="F230" s="5">
        <v>0</v>
      </c>
      <c r="G230" s="6">
        <f t="shared" si="3"/>
        <v>0</v>
      </c>
      <c r="H230" s="5">
        <v>1.8</v>
      </c>
      <c r="I230" s="6">
        <f>D230/(VLOOKUP(B230,'[1]2021 Team'!$B$2:$G$33,3,FALSE))</f>
        <v>1.1904761904761904E-2</v>
      </c>
    </row>
    <row r="231" spans="1:9" x14ac:dyDescent="0.25">
      <c r="A231" s="5" t="s">
        <v>2554</v>
      </c>
      <c r="B231" s="5" t="s">
        <v>70</v>
      </c>
      <c r="C231" s="5" t="s">
        <v>159</v>
      </c>
      <c r="D231" s="5">
        <v>5</v>
      </c>
      <c r="E231" s="5">
        <v>25</v>
      </c>
      <c r="F231" s="5">
        <v>0</v>
      </c>
      <c r="G231" s="6">
        <f t="shared" si="3"/>
        <v>0</v>
      </c>
      <c r="H231" s="5">
        <v>5</v>
      </c>
      <c r="I231" s="6">
        <f>D231/(VLOOKUP(B231,'[1]2021 Team'!$B$2:$G$33,3,FALSE))</f>
        <v>1.0482180293501049E-2</v>
      </c>
    </row>
    <row r="232" spans="1:9" x14ac:dyDescent="0.25">
      <c r="A232" s="5" t="s">
        <v>2522</v>
      </c>
      <c r="B232" s="5" t="s">
        <v>64</v>
      </c>
      <c r="C232" s="5" t="s">
        <v>163</v>
      </c>
      <c r="D232" s="5">
        <v>5</v>
      </c>
      <c r="E232" s="5">
        <v>32</v>
      </c>
      <c r="F232" s="5">
        <v>0</v>
      </c>
      <c r="G232" s="6">
        <f t="shared" si="3"/>
        <v>0</v>
      </c>
      <c r="H232" s="5">
        <v>6.4</v>
      </c>
      <c r="I232" s="6">
        <f>D232/(VLOOKUP(B232,'[1]2021 Team'!$B$2:$G$33,3,FALSE))</f>
        <v>1.2106537530266344E-2</v>
      </c>
    </row>
    <row r="233" spans="1:9" x14ac:dyDescent="0.25">
      <c r="A233" s="5" t="s">
        <v>1572</v>
      </c>
      <c r="B233" s="5" t="s">
        <v>56</v>
      </c>
      <c r="C233" s="5" t="s">
        <v>82</v>
      </c>
      <c r="D233" s="5">
        <v>5</v>
      </c>
      <c r="E233" s="5">
        <v>-1</v>
      </c>
      <c r="F233" s="5">
        <v>0</v>
      </c>
      <c r="G233" s="6">
        <f t="shared" si="3"/>
        <v>0</v>
      </c>
      <c r="H233" s="5">
        <v>-0.2</v>
      </c>
      <c r="I233" s="6">
        <f>D233/(VLOOKUP(B233,'[1]2021 Team'!$B$2:$G$33,3,FALSE))</f>
        <v>1.3157894736842105E-2</v>
      </c>
    </row>
    <row r="234" spans="1:9" x14ac:dyDescent="0.25">
      <c r="A234" s="5" t="s">
        <v>2555</v>
      </c>
      <c r="B234" s="5" t="s">
        <v>68</v>
      </c>
      <c r="C234" s="5" t="s">
        <v>159</v>
      </c>
      <c r="D234" s="5">
        <v>2</v>
      </c>
      <c r="E234" s="5">
        <v>4</v>
      </c>
      <c r="F234" s="5">
        <v>0</v>
      </c>
      <c r="G234" s="6">
        <f t="shared" si="3"/>
        <v>0</v>
      </c>
      <c r="H234" s="5">
        <v>2</v>
      </c>
      <c r="I234" s="6">
        <f>D234/(VLOOKUP(B234,'[1]2021 Team'!$B$2:$G$33,3,FALSE))</f>
        <v>3.629764065335753E-3</v>
      </c>
    </row>
    <row r="235" spans="1:9" x14ac:dyDescent="0.25">
      <c r="A235" s="5" t="s">
        <v>2555</v>
      </c>
      <c r="B235" s="5" t="s">
        <v>44</v>
      </c>
      <c r="C235" s="5" t="s">
        <v>159</v>
      </c>
      <c r="D235" s="5">
        <v>2</v>
      </c>
      <c r="E235" s="5">
        <v>5</v>
      </c>
      <c r="F235" s="5">
        <v>0</v>
      </c>
      <c r="G235" s="6">
        <f t="shared" si="3"/>
        <v>0</v>
      </c>
      <c r="H235" s="5">
        <v>2.5</v>
      </c>
      <c r="I235" s="6">
        <f>D235/(VLOOKUP(B235,'[1]2021 Team'!$B$2:$G$33,3,FALSE))</f>
        <v>4.7619047619047623E-3</v>
      </c>
    </row>
    <row r="236" spans="1:9" x14ac:dyDescent="0.25">
      <c r="A236" s="5" t="s">
        <v>2555</v>
      </c>
      <c r="B236" s="5" t="s">
        <v>36</v>
      </c>
      <c r="C236" s="5" t="s">
        <v>159</v>
      </c>
      <c r="D236" s="5">
        <v>1</v>
      </c>
      <c r="E236" s="5">
        <v>2</v>
      </c>
      <c r="F236" s="5">
        <v>0</v>
      </c>
      <c r="G236" s="6">
        <f t="shared" si="3"/>
        <v>0</v>
      </c>
      <c r="H236" s="5">
        <v>2</v>
      </c>
      <c r="I236" s="6">
        <f>D236/(VLOOKUP(B236,'[1]2021 Team'!$B$2:$G$33,3,FALSE))</f>
        <v>2.5510204081632651E-3</v>
      </c>
    </row>
    <row r="237" spans="1:9" x14ac:dyDescent="0.25">
      <c r="A237" s="5" t="s">
        <v>2556</v>
      </c>
      <c r="B237" s="5" t="s">
        <v>66</v>
      </c>
      <c r="C237" s="5" t="s">
        <v>159</v>
      </c>
      <c r="D237" s="5">
        <v>4</v>
      </c>
      <c r="E237" s="5">
        <v>0</v>
      </c>
      <c r="F237" s="5">
        <v>0</v>
      </c>
      <c r="G237" s="6">
        <f t="shared" si="3"/>
        <v>0</v>
      </c>
      <c r="H237" s="5">
        <v>0</v>
      </c>
      <c r="I237" s="6">
        <f>D237/(VLOOKUP(B237,'[1]2021 Team'!$B$2:$G$33,3,FALSE))</f>
        <v>1.038961038961039E-2</v>
      </c>
    </row>
    <row r="238" spans="1:9" x14ac:dyDescent="0.25">
      <c r="A238" s="5" t="s">
        <v>1775</v>
      </c>
      <c r="B238" s="5" t="s">
        <v>38</v>
      </c>
      <c r="C238" s="5" t="s">
        <v>153</v>
      </c>
      <c r="D238" s="5">
        <v>4</v>
      </c>
      <c r="E238" s="5">
        <v>10</v>
      </c>
      <c r="F238" s="5">
        <v>0</v>
      </c>
      <c r="G238" s="6">
        <f t="shared" si="3"/>
        <v>0</v>
      </c>
      <c r="H238" s="5">
        <v>2.5</v>
      </c>
      <c r="I238" s="6">
        <f>D238/(VLOOKUP(B238,'[1]2021 Team'!$B$2:$G$33,3,FALSE))</f>
        <v>9.2807424593967514E-3</v>
      </c>
    </row>
    <row r="239" spans="1:9" x14ac:dyDescent="0.25">
      <c r="A239" s="5" t="s">
        <v>1717</v>
      </c>
      <c r="B239" s="5" t="s">
        <v>26</v>
      </c>
      <c r="C239" s="5" t="s">
        <v>159</v>
      </c>
      <c r="D239" s="5">
        <v>4</v>
      </c>
      <c r="E239" s="5">
        <v>35</v>
      </c>
      <c r="F239" s="5">
        <v>0</v>
      </c>
      <c r="G239" s="6">
        <f t="shared" si="3"/>
        <v>0</v>
      </c>
      <c r="H239" s="5">
        <v>8.8000000000000007</v>
      </c>
      <c r="I239" s="6">
        <f>D239/(VLOOKUP(B239,'[1]2021 Team'!$B$2:$G$33,3,FALSE))</f>
        <v>8.7912087912087912E-3</v>
      </c>
    </row>
    <row r="240" spans="1:9" x14ac:dyDescent="0.25">
      <c r="A240" s="5" t="s">
        <v>942</v>
      </c>
      <c r="B240" s="5" t="s">
        <v>64</v>
      </c>
      <c r="C240" s="5" t="s">
        <v>163</v>
      </c>
      <c r="D240" s="5">
        <v>4</v>
      </c>
      <c r="E240" s="5">
        <v>59</v>
      </c>
      <c r="F240" s="5">
        <v>0</v>
      </c>
      <c r="G240" s="6">
        <f t="shared" si="3"/>
        <v>0</v>
      </c>
      <c r="H240" s="5">
        <v>14.8</v>
      </c>
      <c r="I240" s="6">
        <f>D240/(VLOOKUP(B240,'[1]2021 Team'!$B$2:$G$33,3,FALSE))</f>
        <v>9.6852300242130755E-3</v>
      </c>
    </row>
    <row r="241" spans="1:9" x14ac:dyDescent="0.25">
      <c r="A241" s="5" t="s">
        <v>2372</v>
      </c>
      <c r="B241" s="5" t="s">
        <v>18</v>
      </c>
      <c r="C241" s="5" t="s">
        <v>82</v>
      </c>
      <c r="D241" s="5">
        <v>4</v>
      </c>
      <c r="E241" s="5">
        <v>8</v>
      </c>
      <c r="F241" s="5">
        <v>0</v>
      </c>
      <c r="G241" s="6">
        <f t="shared" si="3"/>
        <v>0</v>
      </c>
      <c r="H241" s="5">
        <v>2</v>
      </c>
      <c r="I241" s="6">
        <f>D241/(VLOOKUP(B241,'[1]2021 Team'!$B$2:$G$33,3,FALSE))</f>
        <v>8.4210526315789472E-3</v>
      </c>
    </row>
    <row r="242" spans="1:9" x14ac:dyDescent="0.25">
      <c r="A242" s="5" t="s">
        <v>1025</v>
      </c>
      <c r="B242" s="5" t="s">
        <v>66</v>
      </c>
      <c r="C242" s="5" t="s">
        <v>163</v>
      </c>
      <c r="D242" s="5">
        <v>4</v>
      </c>
      <c r="E242" s="5">
        <v>21</v>
      </c>
      <c r="F242" s="5">
        <v>1</v>
      </c>
      <c r="G242" s="6">
        <f t="shared" si="3"/>
        <v>0.25</v>
      </c>
      <c r="H242" s="5">
        <v>5.3</v>
      </c>
      <c r="I242" s="6">
        <f>D242/(VLOOKUP(B242,'[1]2021 Team'!$B$2:$G$33,3,FALSE))</f>
        <v>1.038961038961039E-2</v>
      </c>
    </row>
    <row r="243" spans="1:9" x14ac:dyDescent="0.25">
      <c r="A243" s="5" t="s">
        <v>2557</v>
      </c>
      <c r="B243" s="5" t="s">
        <v>24</v>
      </c>
      <c r="C243" s="5" t="s">
        <v>159</v>
      </c>
      <c r="D243" s="5">
        <v>4</v>
      </c>
      <c r="E243" s="5">
        <v>29</v>
      </c>
      <c r="F243" s="5">
        <v>1</v>
      </c>
      <c r="G243" s="6">
        <f t="shared" si="3"/>
        <v>0.25</v>
      </c>
      <c r="H243" s="5">
        <v>7.3</v>
      </c>
      <c r="I243" s="6">
        <f>D243/(VLOOKUP(B243,'[1]2021 Team'!$B$2:$G$33,3,FALSE))</f>
        <v>8.4566596194503175E-3</v>
      </c>
    </row>
    <row r="244" spans="1:9" x14ac:dyDescent="0.25">
      <c r="A244" s="5" t="s">
        <v>181</v>
      </c>
      <c r="B244" s="5" t="s">
        <v>44</v>
      </c>
      <c r="C244" s="5" t="s">
        <v>163</v>
      </c>
      <c r="D244" s="5">
        <v>4</v>
      </c>
      <c r="E244" s="5">
        <v>18</v>
      </c>
      <c r="F244" s="5">
        <v>0</v>
      </c>
      <c r="G244" s="6">
        <f t="shared" si="3"/>
        <v>0</v>
      </c>
      <c r="H244" s="5">
        <v>4.5</v>
      </c>
      <c r="I244" s="6">
        <f>D244/(VLOOKUP(B244,'[1]2021 Team'!$B$2:$G$33,3,FALSE))</f>
        <v>9.5238095238095247E-3</v>
      </c>
    </row>
    <row r="245" spans="1:9" x14ac:dyDescent="0.25">
      <c r="A245" s="5" t="s">
        <v>722</v>
      </c>
      <c r="B245" s="5" t="s">
        <v>28</v>
      </c>
      <c r="C245" s="5" t="s">
        <v>163</v>
      </c>
      <c r="D245" s="5">
        <v>4</v>
      </c>
      <c r="E245" s="5">
        <v>28</v>
      </c>
      <c r="F245" s="5">
        <v>0</v>
      </c>
      <c r="G245" s="6">
        <f t="shared" si="3"/>
        <v>0</v>
      </c>
      <c r="H245" s="5">
        <v>7</v>
      </c>
      <c r="I245" s="6">
        <f>D245/(VLOOKUP(B245,'[1]2021 Team'!$B$2:$G$33,3,FALSE))</f>
        <v>9.3676814988290398E-3</v>
      </c>
    </row>
    <row r="246" spans="1:9" x14ac:dyDescent="0.25">
      <c r="A246" s="5" t="s">
        <v>828</v>
      </c>
      <c r="B246" s="5" t="s">
        <v>70</v>
      </c>
      <c r="C246" s="5" t="s">
        <v>163</v>
      </c>
      <c r="D246" s="5">
        <v>4</v>
      </c>
      <c r="E246" s="5">
        <v>11</v>
      </c>
      <c r="F246" s="5">
        <v>0</v>
      </c>
      <c r="G246" s="6">
        <f t="shared" si="3"/>
        <v>0</v>
      </c>
      <c r="H246" s="5">
        <v>2.8</v>
      </c>
      <c r="I246" s="6">
        <f>D246/(VLOOKUP(B246,'[1]2021 Team'!$B$2:$G$33,3,FALSE))</f>
        <v>8.385744234800839E-3</v>
      </c>
    </row>
    <row r="247" spans="1:9" x14ac:dyDescent="0.25">
      <c r="A247" s="5" t="s">
        <v>2428</v>
      </c>
      <c r="B247" s="5" t="s">
        <v>52</v>
      </c>
      <c r="C247" s="5" t="s">
        <v>159</v>
      </c>
      <c r="D247" s="5">
        <v>4</v>
      </c>
      <c r="E247" s="5">
        <v>16</v>
      </c>
      <c r="F247" s="5">
        <v>0</v>
      </c>
      <c r="G247" s="6">
        <f t="shared" si="3"/>
        <v>0</v>
      </c>
      <c r="H247" s="5">
        <v>4</v>
      </c>
      <c r="I247" s="6">
        <f>D247/(VLOOKUP(B247,'[1]2021 Team'!$B$2:$G$33,3,FALSE))</f>
        <v>7.8431372549019607E-3</v>
      </c>
    </row>
    <row r="248" spans="1:9" x14ac:dyDescent="0.25">
      <c r="A248" s="5" t="s">
        <v>2405</v>
      </c>
      <c r="B248" s="5" t="s">
        <v>46</v>
      </c>
      <c r="C248" s="5" t="s">
        <v>163</v>
      </c>
      <c r="D248" s="5">
        <v>4</v>
      </c>
      <c r="E248" s="5">
        <v>17</v>
      </c>
      <c r="F248" s="5">
        <v>0</v>
      </c>
      <c r="G248" s="6">
        <f t="shared" si="3"/>
        <v>0</v>
      </c>
      <c r="H248" s="5">
        <v>4.3</v>
      </c>
      <c r="I248" s="6">
        <f>D248/(VLOOKUP(B248,'[1]2021 Team'!$B$2:$G$33,3,FALSE))</f>
        <v>9.0497737556561094E-3</v>
      </c>
    </row>
    <row r="249" spans="1:9" x14ac:dyDescent="0.25">
      <c r="A249" s="5" t="s">
        <v>1770</v>
      </c>
      <c r="B249" s="5" t="s">
        <v>50</v>
      </c>
      <c r="C249" s="5" t="s">
        <v>163</v>
      </c>
      <c r="D249" s="5">
        <v>3</v>
      </c>
      <c r="E249" s="5">
        <v>11</v>
      </c>
      <c r="F249" s="5">
        <v>0</v>
      </c>
      <c r="G249" s="6">
        <f t="shared" ref="G249:G309" si="4">F249/D249</f>
        <v>0</v>
      </c>
      <c r="H249" s="5">
        <v>3.7</v>
      </c>
      <c r="I249" s="6">
        <f>D249/(VLOOKUP(B249,'[1]2021 Team'!$B$2:$G$33,3,FALSE))</f>
        <v>6.1349693251533744E-3</v>
      </c>
    </row>
    <row r="250" spans="1:9" x14ac:dyDescent="0.25">
      <c r="A250" s="5" t="s">
        <v>2558</v>
      </c>
      <c r="B250" s="5" t="s">
        <v>36</v>
      </c>
      <c r="C250" s="5" t="s">
        <v>163</v>
      </c>
      <c r="D250" s="5">
        <v>3</v>
      </c>
      <c r="E250" s="5">
        <v>21</v>
      </c>
      <c r="F250" s="5">
        <v>0</v>
      </c>
      <c r="G250" s="6">
        <f t="shared" si="4"/>
        <v>0</v>
      </c>
      <c r="H250" s="5">
        <v>7</v>
      </c>
      <c r="I250" s="6">
        <f>D250/(VLOOKUP(B250,'[1]2021 Team'!$B$2:$G$33,3,FALSE))</f>
        <v>7.6530612244897957E-3</v>
      </c>
    </row>
    <row r="251" spans="1:9" x14ac:dyDescent="0.25">
      <c r="A251" s="5" t="s">
        <v>1712</v>
      </c>
      <c r="B251" s="5" t="s">
        <v>68</v>
      </c>
      <c r="C251" s="5" t="s">
        <v>159</v>
      </c>
      <c r="D251" s="5">
        <v>3</v>
      </c>
      <c r="E251" s="5">
        <v>6</v>
      </c>
      <c r="F251" s="5">
        <v>0</v>
      </c>
      <c r="G251" s="6">
        <f t="shared" si="4"/>
        <v>0</v>
      </c>
      <c r="H251" s="5">
        <v>2</v>
      </c>
      <c r="I251" s="6">
        <f>D251/(VLOOKUP(B251,'[1]2021 Team'!$B$2:$G$33,3,FALSE))</f>
        <v>5.4446460980036296E-3</v>
      </c>
    </row>
    <row r="252" spans="1:9" x14ac:dyDescent="0.25">
      <c r="A252" s="5" t="s">
        <v>2390</v>
      </c>
      <c r="B252" s="5" t="s">
        <v>52</v>
      </c>
      <c r="C252" s="5" t="s">
        <v>82</v>
      </c>
      <c r="D252" s="5">
        <v>3</v>
      </c>
      <c r="E252" s="5">
        <v>6</v>
      </c>
      <c r="F252" s="5">
        <v>0</v>
      </c>
      <c r="G252" s="6">
        <f t="shared" si="4"/>
        <v>0</v>
      </c>
      <c r="H252" s="5">
        <v>2</v>
      </c>
      <c r="I252" s="6">
        <f>D252/(VLOOKUP(B252,'[1]2021 Team'!$B$2:$G$33,3,FALSE))</f>
        <v>5.8823529411764705E-3</v>
      </c>
    </row>
    <row r="253" spans="1:9" x14ac:dyDescent="0.25">
      <c r="A253" s="5" t="s">
        <v>1743</v>
      </c>
      <c r="B253" s="5" t="s">
        <v>28</v>
      </c>
      <c r="C253" s="5" t="s">
        <v>186</v>
      </c>
      <c r="D253" s="5">
        <v>3</v>
      </c>
      <c r="E253" s="5">
        <v>23</v>
      </c>
      <c r="F253" s="5">
        <v>0</v>
      </c>
      <c r="G253" s="6">
        <f t="shared" si="4"/>
        <v>0</v>
      </c>
      <c r="H253" s="5">
        <v>7.7</v>
      </c>
      <c r="I253" s="6">
        <f>D253/(VLOOKUP(B253,'[1]2021 Team'!$B$2:$G$33,3,FALSE))</f>
        <v>7.0257611241217799E-3</v>
      </c>
    </row>
    <row r="254" spans="1:9" x14ac:dyDescent="0.25">
      <c r="A254" s="5" t="s">
        <v>1043</v>
      </c>
      <c r="B254" s="5" t="s">
        <v>16</v>
      </c>
      <c r="C254" s="5" t="s">
        <v>163</v>
      </c>
      <c r="D254" s="5">
        <v>3</v>
      </c>
      <c r="E254" s="5">
        <v>36</v>
      </c>
      <c r="F254" s="5">
        <v>0</v>
      </c>
      <c r="G254" s="6">
        <f t="shared" si="4"/>
        <v>0</v>
      </c>
      <c r="H254" s="5">
        <v>12</v>
      </c>
      <c r="I254" s="6">
        <f>D254/(VLOOKUP(B254,'[1]2021 Team'!$B$2:$G$33,3,FALSE))</f>
        <v>6.5934065934065934E-3</v>
      </c>
    </row>
    <row r="255" spans="1:9" x14ac:dyDescent="0.25">
      <c r="A255" s="5" t="s">
        <v>2559</v>
      </c>
      <c r="B255" s="5" t="s">
        <v>26</v>
      </c>
      <c r="C255" s="5" t="s">
        <v>159</v>
      </c>
      <c r="D255" s="5">
        <v>3</v>
      </c>
      <c r="E255" s="5">
        <v>7</v>
      </c>
      <c r="F255" s="5">
        <v>0</v>
      </c>
      <c r="G255" s="6">
        <f t="shared" si="4"/>
        <v>0</v>
      </c>
      <c r="H255" s="5">
        <v>2.2999999999999998</v>
      </c>
      <c r="I255" s="6">
        <f>D255/(VLOOKUP(B255,'[1]2021 Team'!$B$2:$G$33,3,FALSE))</f>
        <v>6.5934065934065934E-3</v>
      </c>
    </row>
    <row r="256" spans="1:9" x14ac:dyDescent="0.25">
      <c r="A256" s="5" t="s">
        <v>682</v>
      </c>
      <c r="B256" s="5" t="s">
        <v>34</v>
      </c>
      <c r="C256" s="5" t="s">
        <v>163</v>
      </c>
      <c r="D256" s="5">
        <v>3</v>
      </c>
      <c r="E256" s="5">
        <v>32</v>
      </c>
      <c r="F256" s="5">
        <v>0</v>
      </c>
      <c r="G256" s="6">
        <f t="shared" si="4"/>
        <v>0</v>
      </c>
      <c r="H256" s="5">
        <v>10.7</v>
      </c>
      <c r="I256" s="6">
        <f>D256/(VLOOKUP(B256,'[1]2021 Team'!$B$2:$G$33,3,FALSE))</f>
        <v>6.0120240480961923E-3</v>
      </c>
    </row>
    <row r="257" spans="1:9" x14ac:dyDescent="0.25">
      <c r="A257" s="5" t="s">
        <v>2367</v>
      </c>
      <c r="B257" s="5" t="s">
        <v>34</v>
      </c>
      <c r="C257" s="5" t="s">
        <v>82</v>
      </c>
      <c r="D257" s="5">
        <v>3</v>
      </c>
      <c r="E257" s="5">
        <v>9</v>
      </c>
      <c r="F257" s="5">
        <v>0</v>
      </c>
      <c r="G257" s="6">
        <f t="shared" si="4"/>
        <v>0</v>
      </c>
      <c r="H257" s="5">
        <v>3</v>
      </c>
      <c r="I257" s="6">
        <f>D257/(VLOOKUP(B257,'[1]2021 Team'!$B$2:$G$33,3,FALSE))</f>
        <v>6.0120240480961923E-3</v>
      </c>
    </row>
    <row r="258" spans="1:9" x14ac:dyDescent="0.25">
      <c r="A258" s="5" t="s">
        <v>1729</v>
      </c>
      <c r="B258" s="5" t="s">
        <v>64</v>
      </c>
      <c r="C258" s="5" t="s">
        <v>153</v>
      </c>
      <c r="D258" s="5">
        <v>3</v>
      </c>
      <c r="E258" s="5">
        <v>20</v>
      </c>
      <c r="F258" s="5">
        <v>0</v>
      </c>
      <c r="G258" s="6">
        <f t="shared" si="4"/>
        <v>0</v>
      </c>
      <c r="H258" s="5">
        <v>6.7</v>
      </c>
      <c r="I258" s="6">
        <f>D258/(VLOOKUP(B258,'[1]2021 Team'!$B$2:$G$33,3,FALSE))</f>
        <v>7.2639225181598066E-3</v>
      </c>
    </row>
    <row r="259" spans="1:9" x14ac:dyDescent="0.25">
      <c r="A259" s="5" t="s">
        <v>705</v>
      </c>
      <c r="B259" s="5" t="s">
        <v>10</v>
      </c>
      <c r="C259" s="5" t="s">
        <v>82</v>
      </c>
      <c r="D259" s="5">
        <v>3</v>
      </c>
      <c r="E259" s="5">
        <v>6</v>
      </c>
      <c r="F259" s="5">
        <v>0</v>
      </c>
      <c r="G259" s="6">
        <f t="shared" si="4"/>
        <v>0</v>
      </c>
      <c r="H259" s="5">
        <v>2</v>
      </c>
      <c r="I259" s="6">
        <f>D259/(VLOOKUP(B259,'[1]2021 Team'!$B$2:$G$33,3,FALSE))</f>
        <v>7.6335877862595417E-3</v>
      </c>
    </row>
    <row r="260" spans="1:9" x14ac:dyDescent="0.25">
      <c r="A260" s="5" t="s">
        <v>702</v>
      </c>
      <c r="B260" s="5" t="s">
        <v>14</v>
      </c>
      <c r="C260" s="5" t="s">
        <v>613</v>
      </c>
      <c r="D260" s="5">
        <v>3</v>
      </c>
      <c r="E260" s="5">
        <v>3</v>
      </c>
      <c r="F260" s="5">
        <v>0</v>
      </c>
      <c r="G260" s="6">
        <f t="shared" si="4"/>
        <v>0</v>
      </c>
      <c r="H260" s="5">
        <v>1</v>
      </c>
      <c r="I260" s="6">
        <f>D260/(VLOOKUP(B260,'[1]2021 Team'!$B$2:$G$33,3,FALSE))</f>
        <v>6.5075921908893707E-3</v>
      </c>
    </row>
    <row r="261" spans="1:9" x14ac:dyDescent="0.25">
      <c r="A261" s="5" t="s">
        <v>770</v>
      </c>
      <c r="B261" s="5" t="s">
        <v>62</v>
      </c>
      <c r="C261" s="5" t="s">
        <v>153</v>
      </c>
      <c r="D261" s="5">
        <v>3</v>
      </c>
      <c r="E261" s="5">
        <v>20</v>
      </c>
      <c r="F261" s="5">
        <v>0</v>
      </c>
      <c r="G261" s="6">
        <f t="shared" si="4"/>
        <v>0</v>
      </c>
      <c r="H261" s="5">
        <v>6.7</v>
      </c>
      <c r="I261" s="6">
        <f>D261/(VLOOKUP(B261,'[1]2021 Team'!$B$2:$G$33,3,FALSE))</f>
        <v>6.0120240480961923E-3</v>
      </c>
    </row>
    <row r="262" spans="1:9" x14ac:dyDescent="0.25">
      <c r="A262" s="5" t="s">
        <v>978</v>
      </c>
      <c r="B262" s="5" t="s">
        <v>30</v>
      </c>
      <c r="C262" s="5" t="s">
        <v>163</v>
      </c>
      <c r="D262" s="5">
        <v>3</v>
      </c>
      <c r="E262" s="5">
        <v>32</v>
      </c>
      <c r="F262" s="5">
        <v>0</v>
      </c>
      <c r="G262" s="6">
        <f t="shared" si="4"/>
        <v>0</v>
      </c>
      <c r="H262" s="5">
        <v>10.7</v>
      </c>
      <c r="I262" s="6">
        <f>D262/(VLOOKUP(B262,'[1]2021 Team'!$B$2:$G$33,3,FALSE))</f>
        <v>6.7264573991031393E-3</v>
      </c>
    </row>
    <row r="263" spans="1:9" x14ac:dyDescent="0.25">
      <c r="A263" s="5" t="s">
        <v>1822</v>
      </c>
      <c r="B263" s="5" t="s">
        <v>60</v>
      </c>
      <c r="C263" s="5" t="s">
        <v>159</v>
      </c>
      <c r="D263" s="5">
        <v>3</v>
      </c>
      <c r="E263" s="5">
        <v>3</v>
      </c>
      <c r="F263" s="5">
        <v>0</v>
      </c>
      <c r="G263" s="6">
        <f t="shared" si="4"/>
        <v>0</v>
      </c>
      <c r="H263" s="5">
        <v>1</v>
      </c>
      <c r="I263" s="6">
        <f>D263/(VLOOKUP(B263,'[1]2021 Team'!$B$2:$G$33,3,FALSE))</f>
        <v>7.2992700729927005E-3</v>
      </c>
    </row>
    <row r="264" spans="1:9" x14ac:dyDescent="0.25">
      <c r="A264" s="5" t="s">
        <v>2560</v>
      </c>
      <c r="B264" s="5" t="s">
        <v>42</v>
      </c>
      <c r="C264" s="5" t="s">
        <v>613</v>
      </c>
      <c r="D264" s="5">
        <v>3</v>
      </c>
      <c r="E264" s="5">
        <v>8</v>
      </c>
      <c r="F264" s="5">
        <v>0</v>
      </c>
      <c r="G264" s="6">
        <f t="shared" si="4"/>
        <v>0</v>
      </c>
      <c r="H264" s="5">
        <v>2.7</v>
      </c>
      <c r="I264" s="6">
        <f>D264/(VLOOKUP(B264,'[1]2021 Team'!$B$2:$G$33,3,FALSE))</f>
        <v>7.0921985815602835E-3</v>
      </c>
    </row>
    <row r="265" spans="1:9" x14ac:dyDescent="0.25">
      <c r="A265" s="5" t="s">
        <v>612</v>
      </c>
      <c r="B265" s="5" t="s">
        <v>52</v>
      </c>
      <c r="C265" s="5" t="s">
        <v>613</v>
      </c>
      <c r="D265" s="5">
        <v>3</v>
      </c>
      <c r="E265" s="5">
        <v>5</v>
      </c>
      <c r="F265" s="5">
        <v>0</v>
      </c>
      <c r="G265" s="6">
        <f t="shared" si="4"/>
        <v>0</v>
      </c>
      <c r="H265" s="5">
        <v>1.7</v>
      </c>
      <c r="I265" s="6">
        <f>D265/(VLOOKUP(B265,'[1]2021 Team'!$B$2:$G$33,3,FALSE))</f>
        <v>5.8823529411764705E-3</v>
      </c>
    </row>
    <row r="266" spans="1:9" x14ac:dyDescent="0.25">
      <c r="A266" s="5" t="s">
        <v>833</v>
      </c>
      <c r="B266" s="5" t="s">
        <v>40</v>
      </c>
      <c r="C266" s="5" t="s">
        <v>163</v>
      </c>
      <c r="D266" s="5">
        <v>3</v>
      </c>
      <c r="E266" s="5">
        <v>3</v>
      </c>
      <c r="F266" s="5">
        <v>0</v>
      </c>
      <c r="G266" s="6">
        <f t="shared" si="4"/>
        <v>0</v>
      </c>
      <c r="H266" s="5">
        <v>1</v>
      </c>
      <c r="I266" s="6">
        <f>D266/(VLOOKUP(B266,'[1]2021 Team'!$B$2:$G$33,3,FALSE))</f>
        <v>7.246376811594203E-3</v>
      </c>
    </row>
    <row r="267" spans="1:9" x14ac:dyDescent="0.25">
      <c r="A267" s="5" t="s">
        <v>2561</v>
      </c>
      <c r="B267" s="5" t="s">
        <v>32</v>
      </c>
      <c r="C267" s="5" t="s">
        <v>163</v>
      </c>
      <c r="D267" s="5">
        <v>0</v>
      </c>
      <c r="E267" s="5">
        <v>0</v>
      </c>
      <c r="F267" s="5">
        <v>0</v>
      </c>
      <c r="G267" s="6" t="e">
        <f t="shared" si="4"/>
        <v>#DIV/0!</v>
      </c>
      <c r="H267" s="5"/>
      <c r="I267" s="6">
        <f>D267/(VLOOKUP(B267,'[1]2021 Team'!$B$2:$G$33,3,FALSE))</f>
        <v>0</v>
      </c>
    </row>
    <row r="268" spans="1:9" x14ac:dyDescent="0.25">
      <c r="A268" s="5" t="s">
        <v>2561</v>
      </c>
      <c r="B268" s="5" t="s">
        <v>42</v>
      </c>
      <c r="C268" s="5" t="s">
        <v>163</v>
      </c>
      <c r="D268" s="5">
        <v>3</v>
      </c>
      <c r="E268" s="5">
        <v>19</v>
      </c>
      <c r="F268" s="5">
        <v>0</v>
      </c>
      <c r="G268" s="6">
        <f t="shared" si="4"/>
        <v>0</v>
      </c>
      <c r="H268" s="5">
        <v>6.3</v>
      </c>
      <c r="I268" s="6">
        <f>D268/(VLOOKUP(B268,'[1]2021 Team'!$B$2:$G$33,3,FALSE))</f>
        <v>7.0921985815602835E-3</v>
      </c>
    </row>
    <row r="269" spans="1:9" x14ac:dyDescent="0.25">
      <c r="A269" s="5" t="s">
        <v>2562</v>
      </c>
      <c r="B269" s="5" t="s">
        <v>40</v>
      </c>
      <c r="C269" s="5" t="s">
        <v>163</v>
      </c>
      <c r="D269" s="5">
        <v>3</v>
      </c>
      <c r="E269" s="5">
        <v>16</v>
      </c>
      <c r="F269" s="5">
        <v>0</v>
      </c>
      <c r="G269" s="6">
        <f t="shared" si="4"/>
        <v>0</v>
      </c>
      <c r="H269" s="5">
        <v>5.3</v>
      </c>
      <c r="I269" s="6">
        <f>D269/(VLOOKUP(B269,'[1]2021 Team'!$B$2:$G$33,3,FALSE))</f>
        <v>7.246376811594203E-3</v>
      </c>
    </row>
    <row r="270" spans="1:9" x14ac:dyDescent="0.25">
      <c r="A270" s="5" t="s">
        <v>912</v>
      </c>
      <c r="B270" s="5" t="s">
        <v>60</v>
      </c>
      <c r="C270" s="5" t="s">
        <v>163</v>
      </c>
      <c r="D270" s="5">
        <v>3</v>
      </c>
      <c r="E270" s="5">
        <v>9</v>
      </c>
      <c r="F270" s="5">
        <v>1</v>
      </c>
      <c r="G270" s="6">
        <f t="shared" si="4"/>
        <v>0.33333333333333331</v>
      </c>
      <c r="H270" s="5">
        <v>3</v>
      </c>
      <c r="I270" s="6">
        <f>D270/(VLOOKUP(B270,'[1]2021 Team'!$B$2:$G$33,3,FALSE))</f>
        <v>7.2992700729927005E-3</v>
      </c>
    </row>
    <row r="271" spans="1:9" x14ac:dyDescent="0.25">
      <c r="A271" s="5" t="s">
        <v>1847</v>
      </c>
      <c r="B271" s="5" t="s">
        <v>30</v>
      </c>
      <c r="C271" s="5" t="s">
        <v>163</v>
      </c>
      <c r="D271" s="5">
        <v>3</v>
      </c>
      <c r="E271" s="5">
        <v>14</v>
      </c>
      <c r="F271" s="5">
        <v>0</v>
      </c>
      <c r="G271" s="6">
        <f t="shared" si="4"/>
        <v>0</v>
      </c>
      <c r="H271" s="5">
        <v>4.7</v>
      </c>
      <c r="I271" s="6">
        <f>D271/(VLOOKUP(B271,'[1]2021 Team'!$B$2:$G$33,3,FALSE))</f>
        <v>6.7264573991031393E-3</v>
      </c>
    </row>
    <row r="272" spans="1:9" x14ac:dyDescent="0.25">
      <c r="A272" s="5" t="s">
        <v>2563</v>
      </c>
      <c r="B272" s="5" t="s">
        <v>22</v>
      </c>
      <c r="C272" s="5" t="s">
        <v>159</v>
      </c>
      <c r="D272" s="5">
        <v>3</v>
      </c>
      <c r="E272" s="5">
        <v>5</v>
      </c>
      <c r="F272" s="5">
        <v>0</v>
      </c>
      <c r="G272" s="6">
        <f t="shared" si="4"/>
        <v>0</v>
      </c>
      <c r="H272" s="5">
        <v>1.7</v>
      </c>
      <c r="I272" s="6">
        <f>D272/(VLOOKUP(B272,'[1]2021 Team'!$B$2:$G$33,3,FALSE))</f>
        <v>6.1855670103092781E-3</v>
      </c>
    </row>
    <row r="273" spans="1:9" x14ac:dyDescent="0.25">
      <c r="A273" s="5" t="s">
        <v>2375</v>
      </c>
      <c r="B273" s="5" t="s">
        <v>8</v>
      </c>
      <c r="C273" s="5" t="s">
        <v>82</v>
      </c>
      <c r="D273" s="5">
        <v>3</v>
      </c>
      <c r="E273" s="5">
        <v>6</v>
      </c>
      <c r="F273" s="5">
        <v>0</v>
      </c>
      <c r="G273" s="6">
        <f t="shared" si="4"/>
        <v>0</v>
      </c>
      <c r="H273" s="5">
        <v>2</v>
      </c>
      <c r="I273" s="6">
        <f>D273/(VLOOKUP(B273,'[1]2021 Team'!$B$2:$G$33,3,FALSE))</f>
        <v>6.0483870967741934E-3</v>
      </c>
    </row>
    <row r="274" spans="1:9" x14ac:dyDescent="0.25">
      <c r="A274" s="5" t="s">
        <v>1586</v>
      </c>
      <c r="B274" s="5" t="s">
        <v>54</v>
      </c>
      <c r="C274" s="5" t="s">
        <v>163</v>
      </c>
      <c r="D274" s="5">
        <v>3</v>
      </c>
      <c r="E274" s="5">
        <v>6</v>
      </c>
      <c r="F274" s="5">
        <v>0</v>
      </c>
      <c r="G274" s="6">
        <f t="shared" si="4"/>
        <v>0</v>
      </c>
      <c r="H274" s="5">
        <v>2</v>
      </c>
      <c r="I274" s="6">
        <f>D274/(VLOOKUP(B274,'[1]2021 Team'!$B$2:$G$33,3,FALSE))</f>
        <v>7.1599045346062056E-3</v>
      </c>
    </row>
    <row r="275" spans="1:9" x14ac:dyDescent="0.25">
      <c r="A275" s="5" t="s">
        <v>836</v>
      </c>
      <c r="B275" s="5" t="s">
        <v>16</v>
      </c>
      <c r="C275" s="5" t="s">
        <v>153</v>
      </c>
      <c r="D275" s="5">
        <v>3</v>
      </c>
      <c r="E275" s="5">
        <v>11</v>
      </c>
      <c r="F275" s="5">
        <v>1</v>
      </c>
      <c r="G275" s="6">
        <f t="shared" si="4"/>
        <v>0.33333333333333331</v>
      </c>
      <c r="H275" s="5">
        <v>3.7</v>
      </c>
      <c r="I275" s="6">
        <f>D275/(VLOOKUP(B275,'[1]2021 Team'!$B$2:$G$33,3,FALSE))</f>
        <v>6.5934065934065934E-3</v>
      </c>
    </row>
    <row r="276" spans="1:9" x14ac:dyDescent="0.25">
      <c r="A276" s="5" t="s">
        <v>2564</v>
      </c>
      <c r="B276" s="5" t="s">
        <v>12</v>
      </c>
      <c r="C276" s="5" t="s">
        <v>159</v>
      </c>
      <c r="D276" s="5">
        <v>2</v>
      </c>
      <c r="E276" s="5">
        <v>5</v>
      </c>
      <c r="F276" s="5">
        <v>0</v>
      </c>
      <c r="G276" s="6">
        <f t="shared" si="4"/>
        <v>0</v>
      </c>
      <c r="H276" s="5">
        <v>2.5</v>
      </c>
      <c r="I276" s="6">
        <f>D276/(VLOOKUP(B276,'[1]2021 Team'!$B$2:$G$33,3,FALSE))</f>
        <v>3.8684719535783366E-3</v>
      </c>
    </row>
    <row r="277" spans="1:9" x14ac:dyDescent="0.25">
      <c r="A277" s="5" t="s">
        <v>2564</v>
      </c>
      <c r="B277" s="5" t="s">
        <v>62</v>
      </c>
      <c r="C277" s="5" t="s">
        <v>159</v>
      </c>
      <c r="D277" s="5">
        <v>1</v>
      </c>
      <c r="E277" s="5">
        <v>-1</v>
      </c>
      <c r="F277" s="5">
        <v>0</v>
      </c>
      <c r="G277" s="6">
        <f t="shared" si="4"/>
        <v>0</v>
      </c>
      <c r="H277" s="5">
        <v>-1</v>
      </c>
      <c r="I277" s="6">
        <f>D277/(VLOOKUP(B277,'[1]2021 Team'!$B$2:$G$33,3,FALSE))</f>
        <v>2.004008016032064E-3</v>
      </c>
    </row>
    <row r="278" spans="1:9" x14ac:dyDescent="0.25">
      <c r="A278" s="5" t="s">
        <v>160</v>
      </c>
      <c r="B278" s="5" t="s">
        <v>70</v>
      </c>
      <c r="C278" s="5" t="s">
        <v>82</v>
      </c>
      <c r="D278" s="5">
        <v>2</v>
      </c>
      <c r="E278" s="5">
        <v>11</v>
      </c>
      <c r="F278" s="5">
        <v>0</v>
      </c>
      <c r="G278" s="6">
        <f t="shared" si="4"/>
        <v>0</v>
      </c>
      <c r="H278" s="5">
        <v>5.5</v>
      </c>
      <c r="I278" s="6">
        <f>D278/(VLOOKUP(B278,'[1]2021 Team'!$B$2:$G$33,3,FALSE))</f>
        <v>4.1928721174004195E-3</v>
      </c>
    </row>
    <row r="279" spans="1:9" x14ac:dyDescent="0.25">
      <c r="A279" s="5" t="s">
        <v>2565</v>
      </c>
      <c r="B279" s="5" t="s">
        <v>68</v>
      </c>
      <c r="C279" s="5" t="s">
        <v>163</v>
      </c>
      <c r="D279" s="5">
        <v>2</v>
      </c>
      <c r="E279" s="5">
        <v>15</v>
      </c>
      <c r="F279" s="5">
        <v>0</v>
      </c>
      <c r="G279" s="6">
        <f t="shared" si="4"/>
        <v>0</v>
      </c>
      <c r="H279" s="5">
        <v>7.5</v>
      </c>
      <c r="I279" s="6">
        <f>D279/(VLOOKUP(B279,'[1]2021 Team'!$B$2:$G$33,3,FALSE))</f>
        <v>3.629764065335753E-3</v>
      </c>
    </row>
    <row r="280" spans="1:9" x14ac:dyDescent="0.25">
      <c r="A280" s="5" t="s">
        <v>1774</v>
      </c>
      <c r="B280" s="5" t="s">
        <v>22</v>
      </c>
      <c r="C280" s="5" t="s">
        <v>163</v>
      </c>
      <c r="D280" s="5">
        <v>2</v>
      </c>
      <c r="E280" s="5">
        <v>14</v>
      </c>
      <c r="F280" s="5">
        <v>0</v>
      </c>
      <c r="G280" s="6">
        <f t="shared" si="4"/>
        <v>0</v>
      </c>
      <c r="H280" s="5">
        <v>7</v>
      </c>
      <c r="I280" s="6">
        <f>D280/(VLOOKUP(B280,'[1]2021 Team'!$B$2:$G$33,3,FALSE))</f>
        <v>4.1237113402061857E-3</v>
      </c>
    </row>
    <row r="281" spans="1:9" x14ac:dyDescent="0.25">
      <c r="A281" s="5" t="s">
        <v>1774</v>
      </c>
      <c r="B281" s="5" t="s">
        <v>44</v>
      </c>
      <c r="C281" s="5" t="s">
        <v>163</v>
      </c>
      <c r="D281" s="5">
        <v>0</v>
      </c>
      <c r="E281" s="5">
        <v>0</v>
      </c>
      <c r="F281" s="5">
        <v>0</v>
      </c>
      <c r="G281" s="6" t="e">
        <f t="shared" si="4"/>
        <v>#DIV/0!</v>
      </c>
      <c r="H281" s="5"/>
      <c r="I281" s="6">
        <f>D281/(VLOOKUP(B281,'[1]2021 Team'!$B$2:$G$33,3,FALSE))</f>
        <v>0</v>
      </c>
    </row>
    <row r="282" spans="1:9" x14ac:dyDescent="0.25">
      <c r="A282" s="5" t="s">
        <v>2566</v>
      </c>
      <c r="B282" s="5" t="s">
        <v>30</v>
      </c>
      <c r="C282" s="5" t="s">
        <v>82</v>
      </c>
      <c r="D282" s="5">
        <v>2</v>
      </c>
      <c r="E282" s="5">
        <v>-1</v>
      </c>
      <c r="F282" s="5">
        <v>0</v>
      </c>
      <c r="G282" s="6">
        <f t="shared" si="4"/>
        <v>0</v>
      </c>
      <c r="H282" s="5">
        <v>-0.5</v>
      </c>
      <c r="I282" s="6">
        <f>D282/(VLOOKUP(B282,'[1]2021 Team'!$B$2:$G$33,3,FALSE))</f>
        <v>4.4843049327354259E-3</v>
      </c>
    </row>
    <row r="283" spans="1:9" x14ac:dyDescent="0.25">
      <c r="A283" s="5" t="s">
        <v>1582</v>
      </c>
      <c r="B283" s="5" t="s">
        <v>20</v>
      </c>
      <c r="C283" s="5" t="s">
        <v>163</v>
      </c>
      <c r="D283" s="5">
        <v>2</v>
      </c>
      <c r="E283" s="5">
        <v>22</v>
      </c>
      <c r="F283" s="5">
        <v>0</v>
      </c>
      <c r="G283" s="6">
        <f t="shared" si="4"/>
        <v>0</v>
      </c>
      <c r="H283" s="5">
        <v>11</v>
      </c>
      <c r="I283" s="6">
        <f>D283/(VLOOKUP(B283,'[1]2021 Team'!$B$2:$G$33,3,FALSE))</f>
        <v>4.5871559633027525E-3</v>
      </c>
    </row>
    <row r="284" spans="1:9" x14ac:dyDescent="0.25">
      <c r="A284" s="5" t="s">
        <v>1564</v>
      </c>
      <c r="B284" s="5" t="s">
        <v>28</v>
      </c>
      <c r="C284" s="5" t="s">
        <v>82</v>
      </c>
      <c r="D284" s="5">
        <v>2</v>
      </c>
      <c r="E284" s="5">
        <v>13</v>
      </c>
      <c r="F284" s="5">
        <v>0</v>
      </c>
      <c r="G284" s="6">
        <f t="shared" si="4"/>
        <v>0</v>
      </c>
      <c r="H284" s="5">
        <v>6.5</v>
      </c>
      <c r="I284" s="6">
        <f>D284/(VLOOKUP(B284,'[1]2021 Team'!$B$2:$G$33,3,FALSE))</f>
        <v>4.6838407494145199E-3</v>
      </c>
    </row>
    <row r="285" spans="1:9" x14ac:dyDescent="0.25">
      <c r="A285" s="5" t="s">
        <v>988</v>
      </c>
      <c r="B285" s="5" t="s">
        <v>68</v>
      </c>
      <c r="C285" s="5" t="s">
        <v>163</v>
      </c>
      <c r="D285" s="5">
        <v>2</v>
      </c>
      <c r="E285" s="5">
        <v>10</v>
      </c>
      <c r="F285" s="5">
        <v>0</v>
      </c>
      <c r="G285" s="6">
        <f t="shared" si="4"/>
        <v>0</v>
      </c>
      <c r="H285" s="5">
        <v>5</v>
      </c>
      <c r="I285" s="6">
        <f>D285/(VLOOKUP(B285,'[1]2021 Team'!$B$2:$G$33,3,FALSE))</f>
        <v>3.629764065335753E-3</v>
      </c>
    </row>
    <row r="286" spans="1:9" x14ac:dyDescent="0.25">
      <c r="A286" s="5" t="s">
        <v>820</v>
      </c>
      <c r="B286" s="5" t="s">
        <v>32</v>
      </c>
      <c r="C286" s="5" t="s">
        <v>163</v>
      </c>
      <c r="D286" s="5">
        <v>2</v>
      </c>
      <c r="E286" s="5">
        <v>21</v>
      </c>
      <c r="F286" s="5">
        <v>0</v>
      </c>
      <c r="G286" s="6">
        <f t="shared" si="4"/>
        <v>0</v>
      </c>
      <c r="H286" s="5">
        <v>10.5</v>
      </c>
      <c r="I286" s="6">
        <f>D286/(VLOOKUP(B286,'[1]2021 Team'!$B$2:$G$33,3,FALSE))</f>
        <v>4.7619047619047623E-3</v>
      </c>
    </row>
    <row r="287" spans="1:9" x14ac:dyDescent="0.25">
      <c r="A287" s="5" t="s">
        <v>2377</v>
      </c>
      <c r="B287" s="5" t="s">
        <v>42</v>
      </c>
      <c r="C287" s="5" t="s">
        <v>82</v>
      </c>
      <c r="D287" s="5">
        <v>2</v>
      </c>
      <c r="E287" s="5">
        <v>-2</v>
      </c>
      <c r="F287" s="5">
        <v>0</v>
      </c>
      <c r="G287" s="6">
        <f t="shared" si="4"/>
        <v>0</v>
      </c>
      <c r="H287" s="5">
        <v>-1</v>
      </c>
      <c r="I287" s="6">
        <f>D287/(VLOOKUP(B287,'[1]2021 Team'!$B$2:$G$33,3,FALSE))</f>
        <v>4.7281323877068557E-3</v>
      </c>
    </row>
    <row r="288" spans="1:9" x14ac:dyDescent="0.25">
      <c r="A288" s="5" t="s">
        <v>1684</v>
      </c>
      <c r="B288" s="5" t="s">
        <v>68</v>
      </c>
      <c r="C288" s="5" t="s">
        <v>159</v>
      </c>
      <c r="D288" s="5">
        <v>2</v>
      </c>
      <c r="E288" s="5">
        <v>7</v>
      </c>
      <c r="F288" s="5">
        <v>0</v>
      </c>
      <c r="G288" s="6">
        <f t="shared" si="4"/>
        <v>0</v>
      </c>
      <c r="H288" s="5">
        <v>3.5</v>
      </c>
      <c r="I288" s="6">
        <f>D288/(VLOOKUP(B288,'[1]2021 Team'!$B$2:$G$33,3,FALSE))</f>
        <v>3.629764065335753E-3</v>
      </c>
    </row>
    <row r="289" spans="1:9" x14ac:dyDescent="0.25">
      <c r="A289" s="5" t="s">
        <v>113</v>
      </c>
      <c r="B289" s="5" t="s">
        <v>56</v>
      </c>
      <c r="C289" s="5" t="s">
        <v>82</v>
      </c>
      <c r="D289" s="5">
        <v>2</v>
      </c>
      <c r="E289" s="5">
        <v>3</v>
      </c>
      <c r="F289" s="5">
        <v>0</v>
      </c>
      <c r="G289" s="6">
        <f t="shared" si="4"/>
        <v>0</v>
      </c>
      <c r="H289" s="5">
        <v>1.5</v>
      </c>
      <c r="I289" s="6">
        <f>D289/(VLOOKUP(B289,'[1]2021 Team'!$B$2:$G$33,3,FALSE))</f>
        <v>5.263157894736842E-3</v>
      </c>
    </row>
    <row r="290" spans="1:9" x14ac:dyDescent="0.25">
      <c r="A290" s="5" t="s">
        <v>1739</v>
      </c>
      <c r="B290" s="5" t="s">
        <v>44</v>
      </c>
      <c r="C290" s="5" t="s">
        <v>159</v>
      </c>
      <c r="D290" s="5">
        <v>2</v>
      </c>
      <c r="E290" s="5">
        <v>5</v>
      </c>
      <c r="F290" s="5">
        <v>0</v>
      </c>
      <c r="G290" s="6">
        <f t="shared" si="4"/>
        <v>0</v>
      </c>
      <c r="H290" s="5">
        <v>2.5</v>
      </c>
      <c r="I290" s="6">
        <f>D290/(VLOOKUP(B290,'[1]2021 Team'!$B$2:$G$33,3,FALSE))</f>
        <v>4.7619047619047623E-3</v>
      </c>
    </row>
    <row r="291" spans="1:9" x14ac:dyDescent="0.25">
      <c r="A291" s="5" t="s">
        <v>1725</v>
      </c>
      <c r="B291" s="5" t="s">
        <v>18</v>
      </c>
      <c r="C291" s="5" t="s">
        <v>163</v>
      </c>
      <c r="D291" s="5">
        <v>2</v>
      </c>
      <c r="E291" s="5">
        <v>-1</v>
      </c>
      <c r="F291" s="5">
        <v>0</v>
      </c>
      <c r="G291" s="6">
        <f t="shared" si="4"/>
        <v>0</v>
      </c>
      <c r="H291" s="5">
        <v>-0.5</v>
      </c>
      <c r="I291" s="6">
        <f>D291/(VLOOKUP(B291,'[1]2021 Team'!$B$2:$G$33,3,FALSE))</f>
        <v>4.2105263157894736E-3</v>
      </c>
    </row>
    <row r="292" spans="1:9" x14ac:dyDescent="0.25">
      <c r="A292" s="5" t="s">
        <v>695</v>
      </c>
      <c r="B292" s="5" t="s">
        <v>40</v>
      </c>
      <c r="C292" s="5" t="s">
        <v>613</v>
      </c>
      <c r="D292" s="5">
        <v>2</v>
      </c>
      <c r="E292" s="5">
        <v>1</v>
      </c>
      <c r="F292" s="5">
        <v>0</v>
      </c>
      <c r="G292" s="6">
        <f t="shared" si="4"/>
        <v>0</v>
      </c>
      <c r="H292" s="5">
        <v>0.5</v>
      </c>
      <c r="I292" s="6">
        <f>D292/(VLOOKUP(B292,'[1]2021 Team'!$B$2:$G$33,3,FALSE))</f>
        <v>4.830917874396135E-3</v>
      </c>
    </row>
    <row r="293" spans="1:9" x14ac:dyDescent="0.25">
      <c r="A293" s="5" t="s">
        <v>2567</v>
      </c>
      <c r="B293" s="5" t="s">
        <v>22</v>
      </c>
      <c r="C293" s="5" t="s">
        <v>159</v>
      </c>
      <c r="D293" s="5">
        <v>2</v>
      </c>
      <c r="E293" s="5">
        <v>0</v>
      </c>
      <c r="F293" s="5">
        <v>1</v>
      </c>
      <c r="G293" s="6">
        <f t="shared" si="4"/>
        <v>0.5</v>
      </c>
      <c r="H293" s="5">
        <v>0</v>
      </c>
      <c r="I293" s="6">
        <f>D293/(VLOOKUP(B293,'[1]2021 Team'!$B$2:$G$33,3,FALSE))</f>
        <v>4.1237113402061857E-3</v>
      </c>
    </row>
    <row r="294" spans="1:9" x14ac:dyDescent="0.25">
      <c r="A294" s="5" t="s">
        <v>1031</v>
      </c>
      <c r="B294" s="5" t="s">
        <v>44</v>
      </c>
      <c r="C294" s="5" t="s">
        <v>163</v>
      </c>
      <c r="D294" s="5">
        <v>2</v>
      </c>
      <c r="E294" s="5">
        <v>20</v>
      </c>
      <c r="F294" s="5">
        <v>0</v>
      </c>
      <c r="G294" s="6">
        <f t="shared" si="4"/>
        <v>0</v>
      </c>
      <c r="H294" s="5">
        <v>10</v>
      </c>
      <c r="I294" s="6">
        <f>D294/(VLOOKUP(B294,'[1]2021 Team'!$B$2:$G$33,3,FALSE))</f>
        <v>4.7619047619047623E-3</v>
      </c>
    </row>
    <row r="295" spans="1:9" x14ac:dyDescent="0.25">
      <c r="A295" s="5" t="s">
        <v>762</v>
      </c>
      <c r="B295" s="5" t="s">
        <v>26</v>
      </c>
      <c r="C295" s="5" t="s">
        <v>163</v>
      </c>
      <c r="D295" s="5">
        <v>2</v>
      </c>
      <c r="E295" s="5">
        <v>3</v>
      </c>
      <c r="F295" s="5">
        <v>0</v>
      </c>
      <c r="G295" s="6">
        <f t="shared" si="4"/>
        <v>0</v>
      </c>
      <c r="H295" s="5">
        <v>1.5</v>
      </c>
      <c r="I295" s="6">
        <f>D295/(VLOOKUP(B295,'[1]2021 Team'!$B$2:$G$33,3,FALSE))</f>
        <v>4.3956043956043956E-3</v>
      </c>
    </row>
    <row r="296" spans="1:9" x14ac:dyDescent="0.25">
      <c r="A296" s="5" t="s">
        <v>2501</v>
      </c>
      <c r="B296" s="5" t="s">
        <v>68</v>
      </c>
      <c r="C296" s="5" t="s">
        <v>163</v>
      </c>
      <c r="D296" s="5">
        <v>2</v>
      </c>
      <c r="E296" s="5">
        <v>-2</v>
      </c>
      <c r="F296" s="5">
        <v>0</v>
      </c>
      <c r="G296" s="6">
        <f t="shared" si="4"/>
        <v>0</v>
      </c>
      <c r="H296" s="5">
        <v>-1</v>
      </c>
      <c r="I296" s="6">
        <f>D296/(VLOOKUP(B296,'[1]2021 Team'!$B$2:$G$33,3,FALSE))</f>
        <v>3.629764065335753E-3</v>
      </c>
    </row>
    <row r="297" spans="1:9" x14ac:dyDescent="0.25">
      <c r="A297" s="5" t="s">
        <v>794</v>
      </c>
      <c r="B297" s="5" t="s">
        <v>40</v>
      </c>
      <c r="C297" s="5" t="s">
        <v>163</v>
      </c>
      <c r="D297" s="5">
        <v>2</v>
      </c>
      <c r="E297" s="5">
        <v>3</v>
      </c>
      <c r="F297" s="5">
        <v>0</v>
      </c>
      <c r="G297" s="6">
        <f t="shared" si="4"/>
        <v>0</v>
      </c>
      <c r="H297" s="5">
        <v>1.5</v>
      </c>
      <c r="I297" s="6">
        <f>D297/(VLOOKUP(B297,'[1]2021 Team'!$B$2:$G$33,3,FALSE))</f>
        <v>4.830917874396135E-3</v>
      </c>
    </row>
    <row r="298" spans="1:9" x14ac:dyDescent="0.25">
      <c r="A298" s="5" t="s">
        <v>777</v>
      </c>
      <c r="B298" s="5" t="s">
        <v>38</v>
      </c>
      <c r="C298" s="5" t="s">
        <v>153</v>
      </c>
      <c r="D298" s="5">
        <v>2</v>
      </c>
      <c r="E298" s="5">
        <v>3</v>
      </c>
      <c r="F298" s="5">
        <v>1</v>
      </c>
      <c r="G298" s="6">
        <f t="shared" si="4"/>
        <v>0.5</v>
      </c>
      <c r="H298" s="5">
        <v>1.5</v>
      </c>
      <c r="I298" s="6">
        <f>D298/(VLOOKUP(B298,'[1]2021 Team'!$B$2:$G$33,3,FALSE))</f>
        <v>4.6403712296983757E-3</v>
      </c>
    </row>
    <row r="299" spans="1:9" x14ac:dyDescent="0.25">
      <c r="A299" s="5" t="s">
        <v>2568</v>
      </c>
      <c r="B299" s="5" t="s">
        <v>22</v>
      </c>
      <c r="C299" s="5" t="s">
        <v>159</v>
      </c>
      <c r="D299" s="5">
        <v>2</v>
      </c>
      <c r="E299" s="5">
        <v>13</v>
      </c>
      <c r="F299" s="5">
        <v>0</v>
      </c>
      <c r="G299" s="6">
        <f t="shared" si="4"/>
        <v>0</v>
      </c>
      <c r="H299" s="5">
        <v>6.5</v>
      </c>
      <c r="I299" s="6">
        <f>D299/(VLOOKUP(B299,'[1]2021 Team'!$B$2:$G$33,3,FALSE))</f>
        <v>4.1237113402061857E-3</v>
      </c>
    </row>
    <row r="300" spans="1:9" x14ac:dyDescent="0.25">
      <c r="A300" s="5" t="s">
        <v>2455</v>
      </c>
      <c r="B300" s="5" t="s">
        <v>40</v>
      </c>
      <c r="C300" s="5" t="s">
        <v>980</v>
      </c>
      <c r="D300" s="5">
        <v>2</v>
      </c>
      <c r="E300" s="5">
        <v>6</v>
      </c>
      <c r="F300" s="5">
        <v>0</v>
      </c>
      <c r="G300" s="6">
        <f t="shared" si="4"/>
        <v>0</v>
      </c>
      <c r="H300" s="5">
        <v>3</v>
      </c>
      <c r="I300" s="6">
        <f>D300/(VLOOKUP(B300,'[1]2021 Team'!$B$2:$G$33,3,FALSE))</f>
        <v>4.830917874396135E-3</v>
      </c>
    </row>
    <row r="301" spans="1:9" x14ac:dyDescent="0.25">
      <c r="A301" s="5" t="s">
        <v>935</v>
      </c>
      <c r="B301" s="5" t="s">
        <v>64</v>
      </c>
      <c r="C301" s="5" t="s">
        <v>163</v>
      </c>
      <c r="D301" s="5">
        <v>2</v>
      </c>
      <c r="E301" s="5">
        <v>9</v>
      </c>
      <c r="F301" s="5">
        <v>0</v>
      </c>
      <c r="G301" s="6">
        <f t="shared" si="4"/>
        <v>0</v>
      </c>
      <c r="H301" s="5">
        <v>4.5</v>
      </c>
      <c r="I301" s="6">
        <f>D301/(VLOOKUP(B301,'[1]2021 Team'!$B$2:$G$33,3,FALSE))</f>
        <v>4.8426150121065378E-3</v>
      </c>
    </row>
    <row r="302" spans="1:9" x14ac:dyDescent="0.25">
      <c r="A302" s="5" t="s">
        <v>2389</v>
      </c>
      <c r="B302" s="5" t="s">
        <v>48</v>
      </c>
      <c r="C302" s="5" t="s">
        <v>82</v>
      </c>
      <c r="D302" s="5">
        <v>2</v>
      </c>
      <c r="E302" s="5">
        <v>14</v>
      </c>
      <c r="F302" s="5">
        <v>0</v>
      </c>
      <c r="G302" s="6">
        <f t="shared" si="4"/>
        <v>0</v>
      </c>
      <c r="H302" s="5">
        <v>7</v>
      </c>
      <c r="I302" s="6">
        <f>D302/(VLOOKUP(B302,'[1]2021 Team'!$B$2:$G$33,3,FALSE))</f>
        <v>4.4543429844097994E-3</v>
      </c>
    </row>
    <row r="303" spans="1:9" x14ac:dyDescent="0.25">
      <c r="A303" s="5" t="s">
        <v>806</v>
      </c>
      <c r="B303" s="5" t="s">
        <v>60</v>
      </c>
      <c r="C303" s="5" t="s">
        <v>163</v>
      </c>
      <c r="D303" s="5">
        <v>2</v>
      </c>
      <c r="E303" s="5">
        <v>15</v>
      </c>
      <c r="F303" s="5">
        <v>0</v>
      </c>
      <c r="G303" s="6">
        <f t="shared" si="4"/>
        <v>0</v>
      </c>
      <c r="H303" s="5">
        <v>7.5</v>
      </c>
      <c r="I303" s="6">
        <f>D303/(VLOOKUP(B303,'[1]2021 Team'!$B$2:$G$33,3,FALSE))</f>
        <v>4.8661800486618006E-3</v>
      </c>
    </row>
    <row r="304" spans="1:9" x14ac:dyDescent="0.25">
      <c r="A304" s="5" t="s">
        <v>1001</v>
      </c>
      <c r="B304" s="5" t="s">
        <v>66</v>
      </c>
      <c r="C304" s="5" t="s">
        <v>163</v>
      </c>
      <c r="D304" s="5">
        <v>2</v>
      </c>
      <c r="E304" s="5">
        <v>43</v>
      </c>
      <c r="F304" s="5">
        <v>1</v>
      </c>
      <c r="G304" s="6">
        <f t="shared" si="4"/>
        <v>0.5</v>
      </c>
      <c r="H304" s="5">
        <v>21.5</v>
      </c>
      <c r="I304" s="6">
        <f>D304/(VLOOKUP(B304,'[1]2021 Team'!$B$2:$G$33,3,FALSE))</f>
        <v>5.1948051948051948E-3</v>
      </c>
    </row>
    <row r="305" spans="1:9" x14ac:dyDescent="0.25">
      <c r="A305" s="5" t="s">
        <v>520</v>
      </c>
      <c r="B305" s="5" t="s">
        <v>62</v>
      </c>
      <c r="C305" s="5" t="s">
        <v>159</v>
      </c>
      <c r="D305" s="5">
        <v>2</v>
      </c>
      <c r="E305" s="5">
        <v>20</v>
      </c>
      <c r="F305" s="5">
        <v>0</v>
      </c>
      <c r="G305" s="6">
        <f t="shared" si="4"/>
        <v>0</v>
      </c>
      <c r="H305" s="5">
        <v>10</v>
      </c>
      <c r="I305" s="6">
        <f>D305/(VLOOKUP(B305,'[1]2021 Team'!$B$2:$G$33,3,FALSE))</f>
        <v>4.0080160320641279E-3</v>
      </c>
    </row>
    <row r="306" spans="1:9" x14ac:dyDescent="0.25">
      <c r="A306" s="5" t="s">
        <v>1830</v>
      </c>
      <c r="B306" s="5" t="s">
        <v>34</v>
      </c>
      <c r="C306" s="5" t="s">
        <v>163</v>
      </c>
      <c r="D306" s="5">
        <v>2</v>
      </c>
      <c r="E306" s="5">
        <v>21</v>
      </c>
      <c r="F306" s="5">
        <v>0</v>
      </c>
      <c r="G306" s="6">
        <f t="shared" si="4"/>
        <v>0</v>
      </c>
      <c r="H306" s="5">
        <v>10.5</v>
      </c>
      <c r="I306" s="6">
        <f>D306/(VLOOKUP(B306,'[1]2021 Team'!$B$2:$G$33,3,FALSE))</f>
        <v>4.0080160320641279E-3</v>
      </c>
    </row>
    <row r="307" spans="1:9" x14ac:dyDescent="0.25">
      <c r="A307" s="5" t="s">
        <v>2569</v>
      </c>
      <c r="B307" s="5" t="s">
        <v>62</v>
      </c>
      <c r="C307" s="5" t="s">
        <v>159</v>
      </c>
      <c r="D307" s="5">
        <v>2</v>
      </c>
      <c r="E307" s="5">
        <v>12</v>
      </c>
      <c r="F307" s="5">
        <v>0</v>
      </c>
      <c r="G307" s="6">
        <f t="shared" si="4"/>
        <v>0</v>
      </c>
      <c r="H307" s="5">
        <v>6</v>
      </c>
      <c r="I307" s="6">
        <f>D307/(VLOOKUP(B307,'[1]2021 Team'!$B$2:$G$33,3,FALSE))</f>
        <v>4.0080160320641279E-3</v>
      </c>
    </row>
    <row r="308" spans="1:9" x14ac:dyDescent="0.25">
      <c r="A308" s="5" t="s">
        <v>1585</v>
      </c>
      <c r="B308" s="5" t="s">
        <v>40</v>
      </c>
      <c r="C308" s="5" t="s">
        <v>82</v>
      </c>
      <c r="D308" s="5">
        <v>2</v>
      </c>
      <c r="E308" s="5">
        <v>2</v>
      </c>
      <c r="F308" s="5">
        <v>0</v>
      </c>
      <c r="G308" s="6">
        <f t="shared" si="4"/>
        <v>0</v>
      </c>
      <c r="H308" s="5">
        <v>1</v>
      </c>
      <c r="I308" s="6">
        <f>D308/(VLOOKUP(B308,'[1]2021 Team'!$B$2:$G$33,3,FALSE))</f>
        <v>4.830917874396135E-3</v>
      </c>
    </row>
    <row r="309" spans="1:9" x14ac:dyDescent="0.25">
      <c r="A309" s="5" t="s">
        <v>729</v>
      </c>
      <c r="B309" s="5" t="s">
        <v>12</v>
      </c>
      <c r="C309" s="5" t="s">
        <v>613</v>
      </c>
      <c r="D309" s="5">
        <v>2</v>
      </c>
      <c r="E309" s="5">
        <v>4</v>
      </c>
      <c r="F309" s="5">
        <v>0</v>
      </c>
      <c r="G309" s="6">
        <f t="shared" si="4"/>
        <v>0</v>
      </c>
      <c r="H309" s="5">
        <v>2</v>
      </c>
      <c r="I309" s="6">
        <f>D309/(VLOOKUP(B309,'[1]2021 Team'!$B$2:$G$33,3,FALSE))</f>
        <v>3.8684719535783366E-3</v>
      </c>
    </row>
    <row r="310" spans="1:9" x14ac:dyDescent="0.25">
      <c r="A310" s="5" t="s">
        <v>2570</v>
      </c>
      <c r="B310" s="5" t="s">
        <v>14</v>
      </c>
      <c r="C310" s="5" t="s">
        <v>163</v>
      </c>
      <c r="D310" s="5">
        <v>2</v>
      </c>
      <c r="E310" s="5">
        <v>31</v>
      </c>
      <c r="F310" s="5">
        <v>0</v>
      </c>
      <c r="G310" s="6">
        <f t="shared" ref="G310:G370" si="5">F310/D310</f>
        <v>0</v>
      </c>
      <c r="H310" s="5">
        <v>15.5</v>
      </c>
      <c r="I310" s="6">
        <f>D310/(VLOOKUP(B310,'[1]2021 Team'!$B$2:$G$33,3,FALSE))</f>
        <v>4.3383947939262474E-3</v>
      </c>
    </row>
    <row r="311" spans="1:9" x14ac:dyDescent="0.25">
      <c r="A311" s="5" t="s">
        <v>839</v>
      </c>
      <c r="B311" s="5" t="s">
        <v>46</v>
      </c>
      <c r="C311" s="5" t="s">
        <v>153</v>
      </c>
      <c r="D311" s="5">
        <v>2</v>
      </c>
      <c r="E311" s="5">
        <v>3</v>
      </c>
      <c r="F311" s="5">
        <v>0</v>
      </c>
      <c r="G311" s="6">
        <f t="shared" si="5"/>
        <v>0</v>
      </c>
      <c r="H311" s="5">
        <v>1.5</v>
      </c>
      <c r="I311" s="6">
        <f>D311/(VLOOKUP(B311,'[1]2021 Team'!$B$2:$G$33,3,FALSE))</f>
        <v>4.5248868778280547E-3</v>
      </c>
    </row>
    <row r="312" spans="1:9" x14ac:dyDescent="0.25">
      <c r="A312" s="5" t="s">
        <v>175</v>
      </c>
      <c r="B312" s="5" t="s">
        <v>46</v>
      </c>
      <c r="C312" s="5" t="s">
        <v>163</v>
      </c>
      <c r="D312" s="5">
        <v>2</v>
      </c>
      <c r="E312" s="5">
        <v>3</v>
      </c>
      <c r="F312" s="5">
        <v>1</v>
      </c>
      <c r="G312" s="6">
        <f t="shared" si="5"/>
        <v>0.5</v>
      </c>
      <c r="H312" s="5">
        <v>1.5</v>
      </c>
      <c r="I312" s="6">
        <f>D312/(VLOOKUP(B312,'[1]2021 Team'!$B$2:$G$33,3,FALSE))</f>
        <v>4.5248868778280547E-3</v>
      </c>
    </row>
    <row r="313" spans="1:9" x14ac:dyDescent="0.25">
      <c r="A313" s="5" t="s">
        <v>2527</v>
      </c>
      <c r="B313" s="5" t="s">
        <v>60</v>
      </c>
      <c r="C313" s="5" t="s">
        <v>163</v>
      </c>
      <c r="D313" s="5">
        <v>2</v>
      </c>
      <c r="E313" s="5">
        <v>13</v>
      </c>
      <c r="F313" s="5">
        <v>0</v>
      </c>
      <c r="G313" s="6">
        <f t="shared" si="5"/>
        <v>0</v>
      </c>
      <c r="H313" s="5">
        <v>6.5</v>
      </c>
      <c r="I313" s="6">
        <f>D313/(VLOOKUP(B313,'[1]2021 Team'!$B$2:$G$33,3,FALSE))</f>
        <v>4.8661800486618006E-3</v>
      </c>
    </row>
    <row r="314" spans="1:9" x14ac:dyDescent="0.25">
      <c r="A314" s="5" t="s">
        <v>2373</v>
      </c>
      <c r="B314" s="5" t="s">
        <v>14</v>
      </c>
      <c r="C314" s="5" t="s">
        <v>82</v>
      </c>
      <c r="D314" s="5">
        <v>2</v>
      </c>
      <c r="E314" s="5">
        <v>-3</v>
      </c>
      <c r="F314" s="5">
        <v>0</v>
      </c>
      <c r="G314" s="6">
        <f t="shared" si="5"/>
        <v>0</v>
      </c>
      <c r="H314" s="5">
        <v>-1.5</v>
      </c>
      <c r="I314" s="6">
        <f>D314/(VLOOKUP(B314,'[1]2021 Team'!$B$2:$G$33,3,FALSE))</f>
        <v>4.3383947939262474E-3</v>
      </c>
    </row>
    <row r="315" spans="1:9" x14ac:dyDescent="0.25">
      <c r="A315" s="5" t="s">
        <v>948</v>
      </c>
      <c r="B315" s="5" t="s">
        <v>24</v>
      </c>
      <c r="C315" s="5" t="s">
        <v>163</v>
      </c>
      <c r="D315" s="5">
        <v>2</v>
      </c>
      <c r="E315" s="5">
        <v>11</v>
      </c>
      <c r="F315" s="5">
        <v>0</v>
      </c>
      <c r="G315" s="6">
        <f t="shared" si="5"/>
        <v>0</v>
      </c>
      <c r="H315" s="5">
        <v>5.5</v>
      </c>
      <c r="I315" s="6">
        <f>D315/(VLOOKUP(B315,'[1]2021 Team'!$B$2:$G$33,3,FALSE))</f>
        <v>4.2283298097251587E-3</v>
      </c>
    </row>
    <row r="316" spans="1:9" x14ac:dyDescent="0.25">
      <c r="A316" s="5" t="s">
        <v>2370</v>
      </c>
      <c r="B316" s="5" t="s">
        <v>44</v>
      </c>
      <c r="C316" s="5" t="s">
        <v>82</v>
      </c>
      <c r="D316" s="5">
        <v>2</v>
      </c>
      <c r="E316" s="5">
        <v>-1</v>
      </c>
      <c r="F316" s="5">
        <v>0</v>
      </c>
      <c r="G316" s="6">
        <f t="shared" si="5"/>
        <v>0</v>
      </c>
      <c r="H316" s="5">
        <v>-0.5</v>
      </c>
      <c r="I316" s="6">
        <f>D316/(VLOOKUP(B316,'[1]2021 Team'!$B$2:$G$33,3,FALSE))</f>
        <v>4.7619047619047623E-3</v>
      </c>
    </row>
    <row r="317" spans="1:9" x14ac:dyDescent="0.25">
      <c r="A317" s="5" t="s">
        <v>1772</v>
      </c>
      <c r="B317" s="5" t="s">
        <v>32</v>
      </c>
      <c r="C317" s="5" t="s">
        <v>153</v>
      </c>
      <c r="D317" s="5">
        <v>1</v>
      </c>
      <c r="E317" s="5">
        <v>3</v>
      </c>
      <c r="F317" s="5">
        <v>0</v>
      </c>
      <c r="G317" s="6">
        <f t="shared" si="5"/>
        <v>0</v>
      </c>
      <c r="H317" s="5">
        <v>3</v>
      </c>
      <c r="I317" s="6">
        <f>D317/(VLOOKUP(B317,'[1]2021 Team'!$B$2:$G$33,3,FALSE))</f>
        <v>2.3809523809523812E-3</v>
      </c>
    </row>
    <row r="318" spans="1:9" x14ac:dyDescent="0.25">
      <c r="A318" s="5" t="s">
        <v>571</v>
      </c>
      <c r="B318" s="5" t="s">
        <v>12</v>
      </c>
      <c r="C318" s="5" t="s">
        <v>153</v>
      </c>
      <c r="D318" s="5">
        <v>1</v>
      </c>
      <c r="E318" s="5">
        <v>0</v>
      </c>
      <c r="F318" s="5">
        <v>0</v>
      </c>
      <c r="G318" s="6">
        <f t="shared" si="5"/>
        <v>0</v>
      </c>
      <c r="H318" s="5">
        <v>0</v>
      </c>
      <c r="I318" s="6">
        <f>D318/(VLOOKUP(B318,'[1]2021 Team'!$B$2:$G$33,3,FALSE))</f>
        <v>1.9342359767891683E-3</v>
      </c>
    </row>
    <row r="319" spans="1:9" x14ac:dyDescent="0.25">
      <c r="A319" s="5" t="s">
        <v>931</v>
      </c>
      <c r="B319" s="5" t="s">
        <v>54</v>
      </c>
      <c r="C319" s="5" t="s">
        <v>163</v>
      </c>
      <c r="D319" s="5">
        <v>1</v>
      </c>
      <c r="E319" s="5">
        <v>-3</v>
      </c>
      <c r="F319" s="5">
        <v>0</v>
      </c>
      <c r="G319" s="6">
        <f t="shared" si="5"/>
        <v>0</v>
      </c>
      <c r="H319" s="5">
        <v>-3</v>
      </c>
      <c r="I319" s="6">
        <f>D319/(VLOOKUP(B319,'[1]2021 Team'!$B$2:$G$33,3,FALSE))</f>
        <v>2.3866348448687352E-3</v>
      </c>
    </row>
    <row r="320" spans="1:9" x14ac:dyDescent="0.25">
      <c r="A320" s="5" t="s">
        <v>1565</v>
      </c>
      <c r="B320" s="5" t="s">
        <v>36</v>
      </c>
      <c r="C320" s="5" t="s">
        <v>82</v>
      </c>
      <c r="D320" s="5">
        <v>1</v>
      </c>
      <c r="E320" s="5">
        <v>2</v>
      </c>
      <c r="F320" s="5">
        <v>0</v>
      </c>
      <c r="G320" s="6">
        <f t="shared" si="5"/>
        <v>0</v>
      </c>
      <c r="H320" s="5">
        <v>2</v>
      </c>
      <c r="I320" s="6">
        <f>D320/(VLOOKUP(B320,'[1]2021 Team'!$B$2:$G$33,3,FALSE))</f>
        <v>2.5510204081632651E-3</v>
      </c>
    </row>
    <row r="321" spans="1:9" x14ac:dyDescent="0.25">
      <c r="A321" s="5" t="s">
        <v>2369</v>
      </c>
      <c r="B321" s="5" t="s">
        <v>28</v>
      </c>
      <c r="C321" s="5" t="s">
        <v>82</v>
      </c>
      <c r="D321" s="5">
        <v>1</v>
      </c>
      <c r="E321" s="5">
        <v>6</v>
      </c>
      <c r="F321" s="5">
        <v>0</v>
      </c>
      <c r="G321" s="6">
        <f t="shared" si="5"/>
        <v>0</v>
      </c>
      <c r="H321" s="5">
        <v>6</v>
      </c>
      <c r="I321" s="6">
        <f>D321/(VLOOKUP(B321,'[1]2021 Team'!$B$2:$G$33,3,FALSE))</f>
        <v>2.34192037470726E-3</v>
      </c>
    </row>
    <row r="322" spans="1:9" x14ac:dyDescent="0.25">
      <c r="A322" s="5" t="s">
        <v>2466</v>
      </c>
      <c r="B322" s="5" t="s">
        <v>54</v>
      </c>
      <c r="C322" s="5" t="s">
        <v>163</v>
      </c>
      <c r="D322" s="5">
        <v>1</v>
      </c>
      <c r="E322" s="5">
        <v>6</v>
      </c>
      <c r="F322" s="5">
        <v>0</v>
      </c>
      <c r="G322" s="6">
        <f t="shared" si="5"/>
        <v>0</v>
      </c>
      <c r="H322" s="5">
        <v>6</v>
      </c>
      <c r="I322" s="6">
        <f>D322/(VLOOKUP(B322,'[1]2021 Team'!$B$2:$G$33,3,FALSE))</f>
        <v>2.3866348448687352E-3</v>
      </c>
    </row>
    <row r="323" spans="1:9" x14ac:dyDescent="0.25">
      <c r="A323" s="5" t="s">
        <v>2437</v>
      </c>
      <c r="B323" s="5" t="s">
        <v>16</v>
      </c>
      <c r="C323" s="5" t="s">
        <v>159</v>
      </c>
      <c r="D323" s="5">
        <v>1</v>
      </c>
      <c r="E323" s="5">
        <v>4</v>
      </c>
      <c r="F323" s="5">
        <v>0</v>
      </c>
      <c r="G323" s="6">
        <f t="shared" si="5"/>
        <v>0</v>
      </c>
      <c r="H323" s="5">
        <v>4</v>
      </c>
      <c r="I323" s="6">
        <f>D323/(VLOOKUP(B323,'[1]2021 Team'!$B$2:$G$33,3,FALSE))</f>
        <v>2.1978021978021978E-3</v>
      </c>
    </row>
    <row r="324" spans="1:9" x14ac:dyDescent="0.25">
      <c r="A324" s="5" t="s">
        <v>1708</v>
      </c>
      <c r="B324" s="5" t="s">
        <v>54</v>
      </c>
      <c r="C324" s="5" t="s">
        <v>159</v>
      </c>
      <c r="D324" s="5">
        <v>1</v>
      </c>
      <c r="E324" s="5">
        <v>4</v>
      </c>
      <c r="F324" s="5">
        <v>0</v>
      </c>
      <c r="G324" s="6">
        <f t="shared" si="5"/>
        <v>0</v>
      </c>
      <c r="H324" s="5">
        <v>4</v>
      </c>
      <c r="I324" s="6">
        <f>D324/(VLOOKUP(B324,'[1]2021 Team'!$B$2:$G$33,3,FALSE))</f>
        <v>2.3866348448687352E-3</v>
      </c>
    </row>
    <row r="325" spans="1:9" x14ac:dyDescent="0.25">
      <c r="A325" s="5" t="s">
        <v>2571</v>
      </c>
      <c r="B325" s="5" t="s">
        <v>66</v>
      </c>
      <c r="C325" s="5" t="s">
        <v>163</v>
      </c>
      <c r="D325" s="5">
        <v>1</v>
      </c>
      <c r="E325" s="5">
        <v>6</v>
      </c>
      <c r="F325" s="5">
        <v>0</v>
      </c>
      <c r="G325" s="6">
        <f t="shared" si="5"/>
        <v>0</v>
      </c>
      <c r="H325" s="5">
        <v>6</v>
      </c>
      <c r="I325" s="6">
        <f>D325/(VLOOKUP(B325,'[1]2021 Team'!$B$2:$G$33,3,FALSE))</f>
        <v>2.5974025974025974E-3</v>
      </c>
    </row>
    <row r="326" spans="1:9" x14ac:dyDescent="0.25">
      <c r="A326" s="5" t="s">
        <v>638</v>
      </c>
      <c r="B326" s="5" t="s">
        <v>70</v>
      </c>
      <c r="C326" s="5" t="s">
        <v>163</v>
      </c>
      <c r="D326" s="5">
        <v>1</v>
      </c>
      <c r="E326" s="5">
        <v>-4</v>
      </c>
      <c r="F326" s="5">
        <v>0</v>
      </c>
      <c r="G326" s="6">
        <f t="shared" si="5"/>
        <v>0</v>
      </c>
      <c r="H326" s="5">
        <v>-4</v>
      </c>
      <c r="I326" s="6">
        <f>D326/(VLOOKUP(B326,'[1]2021 Team'!$B$2:$G$33,3,FALSE))</f>
        <v>2.0964360587002098E-3</v>
      </c>
    </row>
    <row r="327" spans="1:9" x14ac:dyDescent="0.25">
      <c r="A327" s="5" t="s">
        <v>907</v>
      </c>
      <c r="B327" s="5" t="s">
        <v>12</v>
      </c>
      <c r="C327" s="5" t="s">
        <v>163</v>
      </c>
      <c r="D327" s="5">
        <v>1</v>
      </c>
      <c r="E327" s="5">
        <v>5</v>
      </c>
      <c r="F327" s="5">
        <v>0</v>
      </c>
      <c r="G327" s="6">
        <f t="shared" si="5"/>
        <v>0</v>
      </c>
      <c r="H327" s="5">
        <v>5</v>
      </c>
      <c r="I327" s="6">
        <f>D327/(VLOOKUP(B327,'[1]2021 Team'!$B$2:$G$33,3,FALSE))</f>
        <v>1.9342359767891683E-3</v>
      </c>
    </row>
    <row r="328" spans="1:9" x14ac:dyDescent="0.25">
      <c r="A328" s="5" t="s">
        <v>2447</v>
      </c>
      <c r="B328" s="5" t="s">
        <v>16</v>
      </c>
      <c r="C328" s="5" t="s">
        <v>2572</v>
      </c>
      <c r="D328" s="5">
        <v>1</v>
      </c>
      <c r="E328" s="5">
        <v>14</v>
      </c>
      <c r="F328" s="5">
        <v>0</v>
      </c>
      <c r="G328" s="6">
        <f t="shared" si="5"/>
        <v>0</v>
      </c>
      <c r="H328" s="5">
        <v>14</v>
      </c>
      <c r="I328" s="6">
        <f>D328/(VLOOKUP(B328,'[1]2021 Team'!$B$2:$G$33,3,FALSE))</f>
        <v>2.1978021978021978E-3</v>
      </c>
    </row>
    <row r="329" spans="1:9" x14ac:dyDescent="0.25">
      <c r="A329" s="5" t="s">
        <v>1784</v>
      </c>
      <c r="B329" s="5" t="s">
        <v>30</v>
      </c>
      <c r="C329" s="5" t="s">
        <v>163</v>
      </c>
      <c r="D329" s="5">
        <v>1</v>
      </c>
      <c r="E329" s="5">
        <v>1</v>
      </c>
      <c r="F329" s="5">
        <v>0</v>
      </c>
      <c r="G329" s="6">
        <f t="shared" si="5"/>
        <v>0</v>
      </c>
      <c r="H329" s="5">
        <v>1</v>
      </c>
      <c r="I329" s="6">
        <f>D329/(VLOOKUP(B329,'[1]2021 Team'!$B$2:$G$33,3,FALSE))</f>
        <v>2.242152466367713E-3</v>
      </c>
    </row>
    <row r="330" spans="1:9" x14ac:dyDescent="0.25">
      <c r="A330" s="5" t="s">
        <v>1785</v>
      </c>
      <c r="B330" s="5" t="s">
        <v>32</v>
      </c>
      <c r="C330" s="5" t="s">
        <v>163</v>
      </c>
      <c r="D330" s="5">
        <v>1</v>
      </c>
      <c r="E330" s="5">
        <v>3</v>
      </c>
      <c r="F330" s="5">
        <v>0</v>
      </c>
      <c r="G330" s="6">
        <f t="shared" si="5"/>
        <v>0</v>
      </c>
      <c r="H330" s="5">
        <v>3</v>
      </c>
      <c r="I330" s="6">
        <f>D330/(VLOOKUP(B330,'[1]2021 Team'!$B$2:$G$33,3,FALSE))</f>
        <v>2.3809523809523812E-3</v>
      </c>
    </row>
    <row r="331" spans="1:9" x14ac:dyDescent="0.25">
      <c r="A331" s="5" t="s">
        <v>2434</v>
      </c>
      <c r="B331" s="5" t="s">
        <v>54</v>
      </c>
      <c r="C331" s="5" t="s">
        <v>163</v>
      </c>
      <c r="D331" s="5">
        <v>1</v>
      </c>
      <c r="E331" s="5">
        <v>3</v>
      </c>
      <c r="F331" s="5">
        <v>0</v>
      </c>
      <c r="G331" s="6">
        <f t="shared" si="5"/>
        <v>0</v>
      </c>
      <c r="H331" s="5">
        <v>3</v>
      </c>
      <c r="I331" s="6">
        <f>D331/(VLOOKUP(B331,'[1]2021 Team'!$B$2:$G$33,3,FALSE))</f>
        <v>2.3866348448687352E-3</v>
      </c>
    </row>
    <row r="332" spans="1:9" x14ac:dyDescent="0.25">
      <c r="A332" s="5" t="s">
        <v>2573</v>
      </c>
      <c r="B332" s="5" t="s">
        <v>36</v>
      </c>
      <c r="C332" s="5" t="s">
        <v>159</v>
      </c>
      <c r="D332" s="5">
        <v>1</v>
      </c>
      <c r="E332" s="5">
        <v>3</v>
      </c>
      <c r="F332" s="5">
        <v>0</v>
      </c>
      <c r="G332" s="6">
        <f t="shared" si="5"/>
        <v>0</v>
      </c>
      <c r="H332" s="5">
        <v>3</v>
      </c>
      <c r="I332" s="6">
        <f>D332/(VLOOKUP(B332,'[1]2021 Team'!$B$2:$G$33,3,FALSE))</f>
        <v>2.5510204081632651E-3</v>
      </c>
    </row>
    <row r="333" spans="1:9" x14ac:dyDescent="0.25">
      <c r="A333" s="5" t="s">
        <v>2179</v>
      </c>
      <c r="B333" s="5" t="s">
        <v>66</v>
      </c>
      <c r="C333" s="5" t="s">
        <v>163</v>
      </c>
      <c r="D333" s="5">
        <v>1</v>
      </c>
      <c r="E333" s="5">
        <v>11</v>
      </c>
      <c r="F333" s="5">
        <v>0</v>
      </c>
      <c r="G333" s="6">
        <f t="shared" si="5"/>
        <v>0</v>
      </c>
      <c r="H333" s="5">
        <v>11</v>
      </c>
      <c r="I333" s="6">
        <f>D333/(VLOOKUP(B333,'[1]2021 Team'!$B$2:$G$33,3,FALSE))</f>
        <v>2.5974025974025974E-3</v>
      </c>
    </row>
    <row r="334" spans="1:9" x14ac:dyDescent="0.25">
      <c r="A334" s="5" t="s">
        <v>1790</v>
      </c>
      <c r="B334" s="5" t="s">
        <v>36</v>
      </c>
      <c r="C334" s="5" t="s">
        <v>163</v>
      </c>
      <c r="D334" s="5">
        <v>0</v>
      </c>
      <c r="E334" s="5">
        <v>0</v>
      </c>
      <c r="F334" s="5">
        <v>0</v>
      </c>
      <c r="G334" s="6" t="e">
        <f t="shared" si="5"/>
        <v>#DIV/0!</v>
      </c>
      <c r="H334" s="5"/>
      <c r="I334" s="6">
        <f>D334/(VLOOKUP(B334,'[1]2021 Team'!$B$2:$G$33,3,FALSE))</f>
        <v>0</v>
      </c>
    </row>
    <row r="335" spans="1:9" x14ac:dyDescent="0.25">
      <c r="A335" s="5" t="s">
        <v>1790</v>
      </c>
      <c r="B335" s="5" t="s">
        <v>64</v>
      </c>
      <c r="C335" s="5" t="s">
        <v>163</v>
      </c>
      <c r="D335" s="5">
        <v>0</v>
      </c>
      <c r="E335" s="5">
        <v>0</v>
      </c>
      <c r="F335" s="5">
        <v>0</v>
      </c>
      <c r="G335" s="6" t="e">
        <f t="shared" si="5"/>
        <v>#DIV/0!</v>
      </c>
      <c r="H335" s="5"/>
      <c r="I335" s="6">
        <f>D335/(VLOOKUP(B335,'[1]2021 Team'!$B$2:$G$33,3,FALSE))</f>
        <v>0</v>
      </c>
    </row>
    <row r="336" spans="1:9" x14ac:dyDescent="0.25">
      <c r="A336" s="5" t="s">
        <v>1790</v>
      </c>
      <c r="B336" s="5" t="s">
        <v>32</v>
      </c>
      <c r="C336" s="5" t="s">
        <v>163</v>
      </c>
      <c r="D336" s="5">
        <v>1</v>
      </c>
      <c r="E336" s="5">
        <v>0</v>
      </c>
      <c r="F336" s="5">
        <v>0</v>
      </c>
      <c r="G336" s="6">
        <f t="shared" si="5"/>
        <v>0</v>
      </c>
      <c r="H336" s="5">
        <v>0</v>
      </c>
      <c r="I336" s="6">
        <f>D336/(VLOOKUP(B336,'[1]2021 Team'!$B$2:$G$33,3,FALSE))</f>
        <v>2.3809523809523812E-3</v>
      </c>
    </row>
    <row r="337" spans="1:9" x14ac:dyDescent="0.25">
      <c r="A337" s="5" t="s">
        <v>636</v>
      </c>
      <c r="B337" s="5" t="s">
        <v>8</v>
      </c>
      <c r="C337" s="5" t="s">
        <v>163</v>
      </c>
      <c r="D337" s="5">
        <v>1</v>
      </c>
      <c r="E337" s="5">
        <v>24</v>
      </c>
      <c r="F337" s="5">
        <v>0</v>
      </c>
      <c r="G337" s="6">
        <f t="shared" si="5"/>
        <v>0</v>
      </c>
      <c r="H337" s="5">
        <v>24</v>
      </c>
      <c r="I337" s="6">
        <f>D337/(VLOOKUP(B337,'[1]2021 Team'!$B$2:$G$33,3,FALSE))</f>
        <v>2.0161290322580645E-3</v>
      </c>
    </row>
    <row r="338" spans="1:9" x14ac:dyDescent="0.25">
      <c r="A338" s="5" t="s">
        <v>2574</v>
      </c>
      <c r="B338" s="5" t="s">
        <v>60</v>
      </c>
      <c r="C338" s="5" t="s">
        <v>153</v>
      </c>
      <c r="D338" s="5">
        <v>1</v>
      </c>
      <c r="E338" s="5">
        <v>1</v>
      </c>
      <c r="F338" s="5">
        <v>1</v>
      </c>
      <c r="G338" s="6">
        <f t="shared" si="5"/>
        <v>1</v>
      </c>
      <c r="H338" s="5">
        <v>1</v>
      </c>
      <c r="I338" s="6">
        <f>D338/(VLOOKUP(B338,'[1]2021 Team'!$B$2:$G$33,3,FALSE))</f>
        <v>2.4330900243309003E-3</v>
      </c>
    </row>
    <row r="339" spans="1:9" x14ac:dyDescent="0.25">
      <c r="A339" s="5" t="s">
        <v>2478</v>
      </c>
      <c r="B339" s="5" t="s">
        <v>40</v>
      </c>
      <c r="C339" s="5" t="s">
        <v>163</v>
      </c>
      <c r="D339" s="5">
        <v>1</v>
      </c>
      <c r="E339" s="5">
        <v>0</v>
      </c>
      <c r="F339" s="5">
        <v>0</v>
      </c>
      <c r="G339" s="6">
        <f t="shared" si="5"/>
        <v>0</v>
      </c>
      <c r="H339" s="5">
        <v>0</v>
      </c>
      <c r="I339" s="6">
        <f>D339/(VLOOKUP(B339,'[1]2021 Team'!$B$2:$G$33,3,FALSE))</f>
        <v>2.4154589371980675E-3</v>
      </c>
    </row>
    <row r="340" spans="1:9" x14ac:dyDescent="0.25">
      <c r="A340" s="5" t="s">
        <v>781</v>
      </c>
      <c r="B340" s="5" t="s">
        <v>54</v>
      </c>
      <c r="C340" s="5" t="s">
        <v>153</v>
      </c>
      <c r="D340" s="5">
        <v>1</v>
      </c>
      <c r="E340" s="5">
        <v>-3</v>
      </c>
      <c r="F340" s="5">
        <v>0</v>
      </c>
      <c r="G340" s="6">
        <f t="shared" si="5"/>
        <v>0</v>
      </c>
      <c r="H340" s="5">
        <v>-3</v>
      </c>
      <c r="I340" s="6">
        <f>D340/(VLOOKUP(B340,'[1]2021 Team'!$B$2:$G$33,3,FALSE))</f>
        <v>2.3866348448687352E-3</v>
      </c>
    </row>
    <row r="341" spans="1:9" x14ac:dyDescent="0.25">
      <c r="A341" s="5" t="s">
        <v>1044</v>
      </c>
      <c r="B341" s="5" t="s">
        <v>58</v>
      </c>
      <c r="C341" s="5" t="s">
        <v>153</v>
      </c>
      <c r="D341" s="5">
        <v>0</v>
      </c>
      <c r="E341" s="5">
        <v>0</v>
      </c>
      <c r="F341" s="5">
        <v>0</v>
      </c>
      <c r="G341" s="6" t="e">
        <f t="shared" si="5"/>
        <v>#DIV/0!</v>
      </c>
      <c r="H341" s="5"/>
      <c r="I341" s="6">
        <f>D341/(VLOOKUP(B341,'[1]2021 Team'!$B$2:$G$33,3,FALSE))</f>
        <v>0</v>
      </c>
    </row>
    <row r="342" spans="1:9" x14ac:dyDescent="0.25">
      <c r="A342" s="5" t="s">
        <v>1044</v>
      </c>
      <c r="B342" s="5" t="s">
        <v>8</v>
      </c>
      <c r="C342" s="5" t="s">
        <v>153</v>
      </c>
      <c r="D342" s="5">
        <v>1</v>
      </c>
      <c r="E342" s="5">
        <v>4</v>
      </c>
      <c r="F342" s="5">
        <v>0</v>
      </c>
      <c r="G342" s="6">
        <f t="shared" si="5"/>
        <v>0</v>
      </c>
      <c r="H342" s="5">
        <v>4</v>
      </c>
      <c r="I342" s="6">
        <f>D342/(VLOOKUP(B342,'[1]2021 Team'!$B$2:$G$33,3,FALSE))</f>
        <v>2.0161290322580645E-3</v>
      </c>
    </row>
    <row r="343" spans="1:9" x14ac:dyDescent="0.25">
      <c r="A343" s="5" t="s">
        <v>1024</v>
      </c>
      <c r="B343" s="5" t="s">
        <v>66</v>
      </c>
      <c r="C343" s="5" t="s">
        <v>163</v>
      </c>
      <c r="D343" s="5">
        <v>1</v>
      </c>
      <c r="E343" s="5">
        <v>10</v>
      </c>
      <c r="F343" s="5">
        <v>0</v>
      </c>
      <c r="G343" s="6">
        <f t="shared" si="5"/>
        <v>0</v>
      </c>
      <c r="H343" s="5">
        <v>10</v>
      </c>
      <c r="I343" s="6">
        <f>D343/(VLOOKUP(B343,'[1]2021 Team'!$B$2:$G$33,3,FALSE))</f>
        <v>2.5974025974025974E-3</v>
      </c>
    </row>
    <row r="344" spans="1:9" x14ac:dyDescent="0.25">
      <c r="A344" s="5" t="s">
        <v>2448</v>
      </c>
      <c r="B344" s="5" t="s">
        <v>46</v>
      </c>
      <c r="C344" s="5" t="s">
        <v>980</v>
      </c>
      <c r="D344" s="5">
        <v>1</v>
      </c>
      <c r="E344" s="5">
        <v>0</v>
      </c>
      <c r="F344" s="5">
        <v>0</v>
      </c>
      <c r="G344" s="6">
        <f t="shared" si="5"/>
        <v>0</v>
      </c>
      <c r="H344" s="5">
        <v>0</v>
      </c>
      <c r="I344" s="6">
        <f>D344/(VLOOKUP(B344,'[1]2021 Team'!$B$2:$G$33,3,FALSE))</f>
        <v>2.2624434389140274E-3</v>
      </c>
    </row>
    <row r="345" spans="1:9" x14ac:dyDescent="0.25">
      <c r="A345" s="5" t="s">
        <v>2575</v>
      </c>
      <c r="B345" s="5" t="s">
        <v>42</v>
      </c>
      <c r="C345" s="5" t="s">
        <v>163</v>
      </c>
      <c r="D345" s="5">
        <v>1</v>
      </c>
      <c r="E345" s="5">
        <v>3</v>
      </c>
      <c r="F345" s="5">
        <v>0</v>
      </c>
      <c r="G345" s="6">
        <f t="shared" si="5"/>
        <v>0</v>
      </c>
      <c r="H345" s="5">
        <v>3</v>
      </c>
      <c r="I345" s="6">
        <f>D345/(VLOOKUP(B345,'[1]2021 Team'!$B$2:$G$33,3,FALSE))</f>
        <v>2.3640661938534278E-3</v>
      </c>
    </row>
    <row r="346" spans="1:9" x14ac:dyDescent="0.25">
      <c r="A346" s="5" t="s">
        <v>2393</v>
      </c>
      <c r="B346" s="5" t="s">
        <v>70</v>
      </c>
      <c r="C346" s="5" t="s">
        <v>82</v>
      </c>
      <c r="D346" s="5">
        <v>1</v>
      </c>
      <c r="E346" s="5">
        <v>2</v>
      </c>
      <c r="F346" s="5">
        <v>0</v>
      </c>
      <c r="G346" s="6">
        <f t="shared" si="5"/>
        <v>0</v>
      </c>
      <c r="H346" s="5">
        <v>2</v>
      </c>
      <c r="I346" s="6">
        <f>D346/(VLOOKUP(B346,'[1]2021 Team'!$B$2:$G$33,3,FALSE))</f>
        <v>2.0964360587002098E-3</v>
      </c>
    </row>
    <row r="347" spans="1:9" x14ac:dyDescent="0.25">
      <c r="A347" s="5" t="s">
        <v>756</v>
      </c>
      <c r="B347" s="5" t="s">
        <v>22</v>
      </c>
      <c r="C347" s="5" t="s">
        <v>165</v>
      </c>
      <c r="D347" s="5">
        <v>1</v>
      </c>
      <c r="E347" s="5">
        <v>0</v>
      </c>
      <c r="F347" s="5">
        <v>0</v>
      </c>
      <c r="G347" s="6">
        <f t="shared" si="5"/>
        <v>0</v>
      </c>
      <c r="H347" s="5">
        <v>0</v>
      </c>
      <c r="I347" s="6">
        <f>D347/(VLOOKUP(B347,'[1]2021 Team'!$B$2:$G$33,3,FALSE))</f>
        <v>2.0618556701030928E-3</v>
      </c>
    </row>
    <row r="348" spans="1:9" x14ac:dyDescent="0.25">
      <c r="A348" s="5" t="s">
        <v>2576</v>
      </c>
      <c r="B348" s="5" t="s">
        <v>66</v>
      </c>
      <c r="C348" s="5" t="s">
        <v>163</v>
      </c>
      <c r="D348" s="5">
        <v>1</v>
      </c>
      <c r="E348" s="5">
        <v>14</v>
      </c>
      <c r="F348" s="5">
        <v>0</v>
      </c>
      <c r="G348" s="6">
        <f t="shared" si="5"/>
        <v>0</v>
      </c>
      <c r="H348" s="5">
        <v>14</v>
      </c>
      <c r="I348" s="6">
        <f>D348/(VLOOKUP(B348,'[1]2021 Team'!$B$2:$G$33,3,FALSE))</f>
        <v>2.5974025974025974E-3</v>
      </c>
    </row>
    <row r="349" spans="1:9" x14ac:dyDescent="0.25">
      <c r="A349" s="5" t="s">
        <v>1580</v>
      </c>
      <c r="B349" s="5" t="s">
        <v>44</v>
      </c>
      <c r="C349" s="5" t="s">
        <v>165</v>
      </c>
      <c r="D349" s="5">
        <v>1</v>
      </c>
      <c r="E349" s="5">
        <v>0</v>
      </c>
      <c r="F349" s="5">
        <v>0</v>
      </c>
      <c r="G349" s="6">
        <f t="shared" si="5"/>
        <v>0</v>
      </c>
      <c r="H349" s="5">
        <v>0</v>
      </c>
      <c r="I349" s="6">
        <f>D349/(VLOOKUP(B349,'[1]2021 Team'!$B$2:$G$33,3,FALSE))</f>
        <v>2.3809523809523812E-3</v>
      </c>
    </row>
    <row r="350" spans="1:9" x14ac:dyDescent="0.25">
      <c r="A350" s="5" t="s">
        <v>2499</v>
      </c>
      <c r="B350" s="5" t="s">
        <v>44</v>
      </c>
      <c r="C350" s="5" t="s">
        <v>163</v>
      </c>
      <c r="D350" s="5">
        <v>0</v>
      </c>
      <c r="E350" s="5">
        <v>0</v>
      </c>
      <c r="F350" s="5">
        <v>0</v>
      </c>
      <c r="G350" s="6" t="e">
        <f t="shared" si="5"/>
        <v>#DIV/0!</v>
      </c>
      <c r="H350" s="5"/>
      <c r="I350" s="6">
        <f>D350/(VLOOKUP(B350,'[1]2021 Team'!$B$2:$G$33,3,FALSE))</f>
        <v>0</v>
      </c>
    </row>
    <row r="351" spans="1:9" x14ac:dyDescent="0.25">
      <c r="A351" s="5" t="s">
        <v>2499</v>
      </c>
      <c r="B351" s="5" t="s">
        <v>40</v>
      </c>
      <c r="C351" s="5" t="s">
        <v>163</v>
      </c>
      <c r="D351" s="5">
        <v>1</v>
      </c>
      <c r="E351" s="5">
        <v>4</v>
      </c>
      <c r="F351" s="5">
        <v>0</v>
      </c>
      <c r="G351" s="6">
        <f t="shared" si="5"/>
        <v>0</v>
      </c>
      <c r="H351" s="5">
        <v>4</v>
      </c>
      <c r="I351" s="6">
        <f>D351/(VLOOKUP(B351,'[1]2021 Team'!$B$2:$G$33,3,FALSE))</f>
        <v>2.4154589371980675E-3</v>
      </c>
    </row>
    <row r="352" spans="1:9" x14ac:dyDescent="0.25">
      <c r="A352" s="5" t="s">
        <v>888</v>
      </c>
      <c r="B352" s="5" t="s">
        <v>8</v>
      </c>
      <c r="C352" s="5" t="s">
        <v>163</v>
      </c>
      <c r="D352" s="5">
        <v>1</v>
      </c>
      <c r="E352" s="5">
        <v>11</v>
      </c>
      <c r="F352" s="5">
        <v>0</v>
      </c>
      <c r="G352" s="6">
        <f t="shared" si="5"/>
        <v>0</v>
      </c>
      <c r="H352" s="5">
        <v>11</v>
      </c>
      <c r="I352" s="6">
        <f>D352/(VLOOKUP(B352,'[1]2021 Team'!$B$2:$G$33,3,FALSE))</f>
        <v>2.0161290322580645E-3</v>
      </c>
    </row>
    <row r="353" spans="1:9" x14ac:dyDescent="0.25">
      <c r="A353" s="5" t="s">
        <v>168</v>
      </c>
      <c r="B353" s="5" t="s">
        <v>18</v>
      </c>
      <c r="C353" s="5" t="s">
        <v>153</v>
      </c>
      <c r="D353" s="5">
        <v>1</v>
      </c>
      <c r="E353" s="5">
        <v>0</v>
      </c>
      <c r="F353" s="5">
        <v>0</v>
      </c>
      <c r="G353" s="6">
        <f t="shared" si="5"/>
        <v>0</v>
      </c>
      <c r="H353" s="5">
        <v>0</v>
      </c>
      <c r="I353" s="6">
        <f>D353/(VLOOKUP(B353,'[1]2021 Team'!$B$2:$G$33,3,FALSE))</f>
        <v>2.1052631578947368E-3</v>
      </c>
    </row>
    <row r="354" spans="1:9" x14ac:dyDescent="0.25">
      <c r="A354" s="5" t="s">
        <v>2577</v>
      </c>
      <c r="B354" s="5" t="s">
        <v>46</v>
      </c>
      <c r="C354" s="5" t="s">
        <v>159</v>
      </c>
      <c r="D354" s="5">
        <v>1</v>
      </c>
      <c r="E354" s="5">
        <v>4</v>
      </c>
      <c r="F354" s="5">
        <v>0</v>
      </c>
      <c r="G354" s="6">
        <f t="shared" si="5"/>
        <v>0</v>
      </c>
      <c r="H354" s="5">
        <v>4</v>
      </c>
      <c r="I354" s="6">
        <f>D354/(VLOOKUP(B354,'[1]2021 Team'!$B$2:$G$33,3,FALSE))</f>
        <v>2.2624434389140274E-3</v>
      </c>
    </row>
    <row r="355" spans="1:9" x14ac:dyDescent="0.25">
      <c r="A355" s="5" t="s">
        <v>2379</v>
      </c>
      <c r="B355" s="5" t="s">
        <v>8</v>
      </c>
      <c r="C355" s="5" t="s">
        <v>165</v>
      </c>
      <c r="D355" s="5">
        <v>1</v>
      </c>
      <c r="E355" s="5">
        <v>0</v>
      </c>
      <c r="F355" s="5">
        <v>0</v>
      </c>
      <c r="G355" s="6">
        <f t="shared" si="5"/>
        <v>0</v>
      </c>
      <c r="H355" s="5">
        <v>0</v>
      </c>
      <c r="I355" s="6">
        <f>D355/(VLOOKUP(B355,'[1]2021 Team'!$B$2:$G$33,3,FALSE))</f>
        <v>2.0161290322580645E-3</v>
      </c>
    </row>
    <row r="356" spans="1:9" x14ac:dyDescent="0.25">
      <c r="A356" s="5" t="s">
        <v>745</v>
      </c>
      <c r="B356" s="5" t="s">
        <v>56</v>
      </c>
      <c r="C356" s="5" t="s">
        <v>165</v>
      </c>
      <c r="D356" s="5">
        <v>1</v>
      </c>
      <c r="E356" s="5">
        <v>4</v>
      </c>
      <c r="F356" s="5">
        <v>0</v>
      </c>
      <c r="G356" s="6">
        <f t="shared" si="5"/>
        <v>0</v>
      </c>
      <c r="H356" s="5">
        <v>4</v>
      </c>
      <c r="I356" s="6">
        <f>D356/(VLOOKUP(B356,'[1]2021 Team'!$B$2:$G$33,3,FALSE))</f>
        <v>2.631578947368421E-3</v>
      </c>
    </row>
    <row r="357" spans="1:9" x14ac:dyDescent="0.25">
      <c r="A357" s="5" t="s">
        <v>2578</v>
      </c>
      <c r="B357" s="5" t="s">
        <v>12</v>
      </c>
      <c r="C357" s="5" t="s">
        <v>159</v>
      </c>
      <c r="D357" s="5">
        <v>1</v>
      </c>
      <c r="E357" s="5">
        <v>-1</v>
      </c>
      <c r="F357" s="5">
        <v>0</v>
      </c>
      <c r="G357" s="6">
        <f t="shared" si="5"/>
        <v>0</v>
      </c>
      <c r="H357" s="5">
        <v>-1</v>
      </c>
      <c r="I357" s="6">
        <f>D357/(VLOOKUP(B357,'[1]2021 Team'!$B$2:$G$33,3,FALSE))</f>
        <v>1.9342359767891683E-3</v>
      </c>
    </row>
    <row r="358" spans="1:9" x14ac:dyDescent="0.25">
      <c r="A358" s="5" t="s">
        <v>1048</v>
      </c>
      <c r="B358" s="5" t="s">
        <v>70</v>
      </c>
      <c r="C358" s="5" t="s">
        <v>163</v>
      </c>
      <c r="D358" s="5">
        <v>1</v>
      </c>
      <c r="E358" s="5">
        <v>12</v>
      </c>
      <c r="F358" s="5">
        <v>0</v>
      </c>
      <c r="G358" s="6">
        <f t="shared" si="5"/>
        <v>0</v>
      </c>
      <c r="H358" s="5">
        <v>12</v>
      </c>
      <c r="I358" s="6">
        <f>D358/(VLOOKUP(B358,'[1]2021 Team'!$B$2:$G$33,3,FALSE))</f>
        <v>2.0964360587002098E-3</v>
      </c>
    </row>
    <row r="359" spans="1:9" x14ac:dyDescent="0.25">
      <c r="A359" s="5" t="s">
        <v>707</v>
      </c>
      <c r="B359" s="5" t="s">
        <v>64</v>
      </c>
      <c r="C359" s="5" t="s">
        <v>163</v>
      </c>
      <c r="D359" s="5">
        <v>1</v>
      </c>
      <c r="E359" s="5">
        <v>6</v>
      </c>
      <c r="F359" s="5">
        <v>0</v>
      </c>
      <c r="G359" s="6">
        <f t="shared" si="5"/>
        <v>0</v>
      </c>
      <c r="H359" s="5">
        <v>6</v>
      </c>
      <c r="I359" s="6">
        <f>D359/(VLOOKUP(B359,'[1]2021 Team'!$B$2:$G$33,3,FALSE))</f>
        <v>2.4213075060532689E-3</v>
      </c>
    </row>
    <row r="360" spans="1:9" x14ac:dyDescent="0.25">
      <c r="A360" s="5" t="s">
        <v>654</v>
      </c>
      <c r="B360" s="5" t="s">
        <v>50</v>
      </c>
      <c r="C360" s="5" t="s">
        <v>163</v>
      </c>
      <c r="D360" s="5">
        <v>1</v>
      </c>
      <c r="E360" s="5">
        <v>9</v>
      </c>
      <c r="F360" s="5">
        <v>0</v>
      </c>
      <c r="G360" s="6">
        <f t="shared" si="5"/>
        <v>0</v>
      </c>
      <c r="H360" s="5">
        <v>9</v>
      </c>
      <c r="I360" s="6">
        <f>D360/(VLOOKUP(B360,'[1]2021 Team'!$B$2:$G$33,3,FALSE))</f>
        <v>2.0449897750511249E-3</v>
      </c>
    </row>
    <row r="361" spans="1:9" x14ac:dyDescent="0.25">
      <c r="A361" s="5" t="s">
        <v>2508</v>
      </c>
      <c r="B361" s="5" t="s">
        <v>70</v>
      </c>
      <c r="C361" s="5" t="s">
        <v>163</v>
      </c>
      <c r="D361" s="5">
        <v>1</v>
      </c>
      <c r="E361" s="5">
        <v>1</v>
      </c>
      <c r="F361" s="5">
        <v>0</v>
      </c>
      <c r="G361" s="6">
        <f t="shared" si="5"/>
        <v>0</v>
      </c>
      <c r="H361" s="5">
        <v>1</v>
      </c>
      <c r="I361" s="6">
        <f>D361/(VLOOKUP(B361,'[1]2021 Team'!$B$2:$G$33,3,FALSE))</f>
        <v>2.0964360587002098E-3</v>
      </c>
    </row>
    <row r="362" spans="1:9" x14ac:dyDescent="0.25">
      <c r="A362" s="5" t="s">
        <v>2442</v>
      </c>
      <c r="B362" s="5" t="s">
        <v>28</v>
      </c>
      <c r="C362" s="5" t="s">
        <v>980</v>
      </c>
      <c r="D362" s="5">
        <v>1</v>
      </c>
      <c r="E362" s="5">
        <v>28</v>
      </c>
      <c r="F362" s="5">
        <v>0</v>
      </c>
      <c r="G362" s="6">
        <f t="shared" si="5"/>
        <v>0</v>
      </c>
      <c r="H362" s="5">
        <v>28</v>
      </c>
      <c r="I362" s="6">
        <f>D362/(VLOOKUP(B362,'[1]2021 Team'!$B$2:$G$33,3,FALSE))</f>
        <v>2.34192037470726E-3</v>
      </c>
    </row>
    <row r="363" spans="1:9" x14ac:dyDescent="0.25">
      <c r="A363" s="5" t="s">
        <v>2511</v>
      </c>
      <c r="B363" s="5" t="s">
        <v>20</v>
      </c>
      <c r="C363" s="5" t="s">
        <v>163</v>
      </c>
      <c r="D363" s="5">
        <v>1</v>
      </c>
      <c r="E363" s="5">
        <v>3</v>
      </c>
      <c r="F363" s="5">
        <v>0</v>
      </c>
      <c r="G363" s="6">
        <f t="shared" si="5"/>
        <v>0</v>
      </c>
      <c r="H363" s="5">
        <v>3</v>
      </c>
      <c r="I363" s="6">
        <f>D363/(VLOOKUP(B363,'[1]2021 Team'!$B$2:$G$33,3,FALSE))</f>
        <v>2.2935779816513763E-3</v>
      </c>
    </row>
    <row r="364" spans="1:9" x14ac:dyDescent="0.25">
      <c r="A364" s="5" t="s">
        <v>2579</v>
      </c>
      <c r="B364" s="5" t="s">
        <v>18</v>
      </c>
      <c r="C364" s="5" t="s">
        <v>159</v>
      </c>
      <c r="D364" s="5">
        <v>1</v>
      </c>
      <c r="E364" s="5">
        <v>4</v>
      </c>
      <c r="F364" s="5">
        <v>0</v>
      </c>
      <c r="G364" s="6">
        <f t="shared" si="5"/>
        <v>0</v>
      </c>
      <c r="H364" s="5">
        <v>4</v>
      </c>
      <c r="I364" s="6">
        <f>D364/(VLOOKUP(B364,'[1]2021 Team'!$B$2:$G$33,3,FALSE))</f>
        <v>2.1052631578947368E-3</v>
      </c>
    </row>
    <row r="365" spans="1:9" x14ac:dyDescent="0.25">
      <c r="A365" s="5" t="s">
        <v>852</v>
      </c>
      <c r="B365" s="5" t="s">
        <v>22</v>
      </c>
      <c r="C365" s="5" t="s">
        <v>153</v>
      </c>
      <c r="D365" s="5">
        <v>1</v>
      </c>
      <c r="E365" s="5">
        <v>1</v>
      </c>
      <c r="F365" s="5">
        <v>0</v>
      </c>
      <c r="G365" s="6">
        <f t="shared" si="5"/>
        <v>0</v>
      </c>
      <c r="H365" s="5">
        <v>1</v>
      </c>
      <c r="I365" s="6">
        <f>D365/(VLOOKUP(B365,'[1]2021 Team'!$B$2:$G$33,3,FALSE))</f>
        <v>2.0618556701030928E-3</v>
      </c>
    </row>
    <row r="366" spans="1:9" x14ac:dyDescent="0.25">
      <c r="A366" s="5" t="s">
        <v>162</v>
      </c>
      <c r="B366" s="5" t="s">
        <v>50</v>
      </c>
      <c r="C366" s="5" t="s">
        <v>163</v>
      </c>
      <c r="D366" s="5">
        <v>1</v>
      </c>
      <c r="E366" s="5">
        <v>9</v>
      </c>
      <c r="F366" s="5">
        <v>0</v>
      </c>
      <c r="G366" s="6">
        <f t="shared" si="5"/>
        <v>0</v>
      </c>
      <c r="H366" s="5">
        <v>9</v>
      </c>
      <c r="I366" s="6">
        <f>D366/(VLOOKUP(B366,'[1]2021 Team'!$B$2:$G$33,3,FALSE))</f>
        <v>2.0449897750511249E-3</v>
      </c>
    </row>
    <row r="367" spans="1:9" x14ac:dyDescent="0.25">
      <c r="A367" s="5" t="s">
        <v>1827</v>
      </c>
      <c r="B367" s="5" t="s">
        <v>48</v>
      </c>
      <c r="C367" s="5" t="s">
        <v>163</v>
      </c>
      <c r="D367" s="5">
        <v>1</v>
      </c>
      <c r="E367" s="5">
        <v>10</v>
      </c>
      <c r="F367" s="5">
        <v>0</v>
      </c>
      <c r="G367" s="6">
        <f t="shared" si="5"/>
        <v>0</v>
      </c>
      <c r="H367" s="5">
        <v>10</v>
      </c>
      <c r="I367" s="6">
        <f>D367/(VLOOKUP(B367,'[1]2021 Team'!$B$2:$G$33,3,FALSE))</f>
        <v>2.2271714922048997E-3</v>
      </c>
    </row>
    <row r="368" spans="1:9" x14ac:dyDescent="0.25">
      <c r="A368" s="5" t="s">
        <v>1733</v>
      </c>
      <c r="B368" s="5" t="s">
        <v>52</v>
      </c>
      <c r="C368" s="5" t="s">
        <v>159</v>
      </c>
      <c r="D368" s="5">
        <v>1</v>
      </c>
      <c r="E368" s="5">
        <v>-3</v>
      </c>
      <c r="F368" s="5">
        <v>0</v>
      </c>
      <c r="G368" s="6">
        <f t="shared" si="5"/>
        <v>0</v>
      </c>
      <c r="H368" s="5">
        <v>-3</v>
      </c>
      <c r="I368" s="6">
        <f>D368/(VLOOKUP(B368,'[1]2021 Team'!$B$2:$G$33,3,FALSE))</f>
        <v>1.9607843137254902E-3</v>
      </c>
    </row>
    <row r="369" spans="1:9" x14ac:dyDescent="0.25">
      <c r="A369" s="5" t="s">
        <v>2580</v>
      </c>
      <c r="B369" s="5" t="s">
        <v>46</v>
      </c>
      <c r="C369" s="5" t="s">
        <v>165</v>
      </c>
      <c r="D369" s="5">
        <v>1</v>
      </c>
      <c r="E369" s="5">
        <v>1</v>
      </c>
      <c r="F369" s="5">
        <v>0</v>
      </c>
      <c r="G369" s="6">
        <f t="shared" si="5"/>
        <v>0</v>
      </c>
      <c r="H369" s="5">
        <v>1</v>
      </c>
      <c r="I369" s="6">
        <f>D369/(VLOOKUP(B369,'[1]2021 Team'!$B$2:$G$33,3,FALSE))</f>
        <v>2.2624434389140274E-3</v>
      </c>
    </row>
    <row r="370" spans="1:9" x14ac:dyDescent="0.25">
      <c r="A370" s="5" t="s">
        <v>827</v>
      </c>
      <c r="B370" s="5" t="s">
        <v>42</v>
      </c>
      <c r="C370" s="5" t="s">
        <v>163</v>
      </c>
      <c r="D370" s="5">
        <v>1</v>
      </c>
      <c r="E370" s="5">
        <v>6</v>
      </c>
      <c r="F370" s="5">
        <v>0</v>
      </c>
      <c r="G370" s="6">
        <f t="shared" si="5"/>
        <v>0</v>
      </c>
      <c r="H370" s="5">
        <v>6</v>
      </c>
      <c r="I370" s="6">
        <f>D370/(VLOOKUP(B370,'[1]2021 Team'!$B$2:$G$33,3,FALSE))</f>
        <v>2.3640661938534278E-3</v>
      </c>
    </row>
    <row r="371" spans="1:9" x14ac:dyDescent="0.25">
      <c r="A371" s="5" t="s">
        <v>2443</v>
      </c>
      <c r="B371" s="5" t="s">
        <v>66</v>
      </c>
      <c r="C371" s="5" t="s">
        <v>163</v>
      </c>
      <c r="D371" s="5">
        <v>1</v>
      </c>
      <c r="E371" s="5">
        <v>-3</v>
      </c>
      <c r="F371" s="5">
        <v>0</v>
      </c>
      <c r="G371" s="6">
        <f t="shared" ref="G371:G432" si="6">F371/D371</f>
        <v>0</v>
      </c>
      <c r="H371" s="5">
        <v>-3</v>
      </c>
      <c r="I371" s="6">
        <f>D371/(VLOOKUP(B371,'[1]2021 Team'!$B$2:$G$33,3,FALSE))</f>
        <v>2.5974025974025974E-3</v>
      </c>
    </row>
    <row r="372" spans="1:9" x14ac:dyDescent="0.25">
      <c r="A372" s="5" t="s">
        <v>2581</v>
      </c>
      <c r="B372" s="5" t="s">
        <v>40</v>
      </c>
      <c r="C372" s="5" t="s">
        <v>159</v>
      </c>
      <c r="D372" s="5">
        <v>1</v>
      </c>
      <c r="E372" s="5">
        <v>9</v>
      </c>
      <c r="F372" s="5">
        <v>0</v>
      </c>
      <c r="G372" s="6">
        <f t="shared" si="6"/>
        <v>0</v>
      </c>
      <c r="H372" s="5">
        <v>9</v>
      </c>
      <c r="I372" s="6">
        <f>D372/(VLOOKUP(B372,'[1]2021 Team'!$B$2:$G$33,3,FALSE))</f>
        <v>2.4154589371980675E-3</v>
      </c>
    </row>
    <row r="373" spans="1:9" x14ac:dyDescent="0.25">
      <c r="A373" s="5" t="s">
        <v>1839</v>
      </c>
      <c r="B373" s="5" t="s">
        <v>30</v>
      </c>
      <c r="C373" s="5" t="s">
        <v>163</v>
      </c>
      <c r="D373" s="5">
        <v>1</v>
      </c>
      <c r="E373" s="5">
        <v>11</v>
      </c>
      <c r="F373" s="5">
        <v>0</v>
      </c>
      <c r="G373" s="6">
        <f t="shared" si="6"/>
        <v>0</v>
      </c>
      <c r="H373" s="5">
        <v>11</v>
      </c>
      <c r="I373" s="6">
        <f>D373/(VLOOKUP(B373,'[1]2021 Team'!$B$2:$G$33,3,FALSE))</f>
        <v>2.242152466367713E-3</v>
      </c>
    </row>
    <row r="374" spans="1:9" x14ac:dyDescent="0.25">
      <c r="A374" s="5" t="s">
        <v>2582</v>
      </c>
      <c r="B374" s="5" t="s">
        <v>68</v>
      </c>
      <c r="C374" s="5" t="s">
        <v>163</v>
      </c>
      <c r="D374" s="5">
        <v>1</v>
      </c>
      <c r="E374" s="5">
        <v>9</v>
      </c>
      <c r="F374" s="5">
        <v>0</v>
      </c>
      <c r="G374" s="6">
        <f t="shared" si="6"/>
        <v>0</v>
      </c>
      <c r="H374" s="5">
        <v>9</v>
      </c>
      <c r="I374" s="6">
        <f>D374/(VLOOKUP(B374,'[1]2021 Team'!$B$2:$G$33,3,FALSE))</f>
        <v>1.8148820326678765E-3</v>
      </c>
    </row>
    <row r="375" spans="1:9" x14ac:dyDescent="0.25">
      <c r="A375" s="5" t="s">
        <v>2206</v>
      </c>
      <c r="B375" s="5" t="s">
        <v>54</v>
      </c>
      <c r="C375" s="5" t="s">
        <v>163</v>
      </c>
      <c r="D375" s="5">
        <v>1</v>
      </c>
      <c r="E375" s="5">
        <v>16</v>
      </c>
      <c r="F375" s="5">
        <v>0</v>
      </c>
      <c r="G375" s="6">
        <f t="shared" si="6"/>
        <v>0</v>
      </c>
      <c r="H375" s="5">
        <v>16</v>
      </c>
      <c r="I375" s="6">
        <f>D375/(VLOOKUP(B375,'[1]2021 Team'!$B$2:$G$33,3,FALSE))</f>
        <v>2.3866348448687352E-3</v>
      </c>
    </row>
    <row r="376" spans="1:9" x14ac:dyDescent="0.25">
      <c r="A376" s="5" t="s">
        <v>665</v>
      </c>
      <c r="B376" s="5" t="s">
        <v>54</v>
      </c>
      <c r="C376" s="5" t="s">
        <v>163</v>
      </c>
      <c r="D376" s="5">
        <v>1</v>
      </c>
      <c r="E376" s="5">
        <v>-9</v>
      </c>
      <c r="F376" s="5">
        <v>0</v>
      </c>
      <c r="G376" s="6">
        <f t="shared" si="6"/>
        <v>0</v>
      </c>
      <c r="H376" s="5">
        <v>-9</v>
      </c>
      <c r="I376" s="6">
        <f>D376/(VLOOKUP(B376,'[1]2021 Team'!$B$2:$G$33,3,FALSE))</f>
        <v>2.3866348448687352E-3</v>
      </c>
    </row>
    <row r="377" spans="1:9" x14ac:dyDescent="0.25">
      <c r="A377" s="5" t="s">
        <v>2518</v>
      </c>
      <c r="B377" s="5" t="s">
        <v>70</v>
      </c>
      <c r="C377" s="5" t="s">
        <v>163</v>
      </c>
      <c r="D377" s="5">
        <v>1</v>
      </c>
      <c r="E377" s="5">
        <v>7</v>
      </c>
      <c r="F377" s="5">
        <v>0</v>
      </c>
      <c r="G377" s="6">
        <f t="shared" si="6"/>
        <v>0</v>
      </c>
      <c r="H377" s="5">
        <v>7</v>
      </c>
      <c r="I377" s="6">
        <f>D377/(VLOOKUP(B377,'[1]2021 Team'!$B$2:$G$33,3,FALSE))</f>
        <v>2.0964360587002098E-3</v>
      </c>
    </row>
    <row r="378" spans="1:9" x14ac:dyDescent="0.25">
      <c r="A378" s="5" t="s">
        <v>976</v>
      </c>
      <c r="B378" s="5" t="s">
        <v>54</v>
      </c>
      <c r="C378" s="5" t="s">
        <v>163</v>
      </c>
      <c r="D378" s="5">
        <v>1</v>
      </c>
      <c r="E378" s="5">
        <v>-13</v>
      </c>
      <c r="F378" s="5">
        <v>0</v>
      </c>
      <c r="G378" s="6">
        <f t="shared" si="6"/>
        <v>0</v>
      </c>
      <c r="H378" s="5">
        <v>-13</v>
      </c>
      <c r="I378" s="6">
        <f>D378/(VLOOKUP(B378,'[1]2021 Team'!$B$2:$G$33,3,FALSE))</f>
        <v>2.3866348448687352E-3</v>
      </c>
    </row>
    <row r="379" spans="1:9" x14ac:dyDescent="0.25">
      <c r="A379" s="5" t="s">
        <v>2583</v>
      </c>
      <c r="B379" s="5" t="s">
        <v>24</v>
      </c>
      <c r="C379" s="5" t="s">
        <v>159</v>
      </c>
      <c r="D379" s="5">
        <v>1</v>
      </c>
      <c r="E379" s="5">
        <v>4</v>
      </c>
      <c r="F379" s="5">
        <v>1</v>
      </c>
      <c r="G379" s="6">
        <f t="shared" si="6"/>
        <v>1</v>
      </c>
      <c r="H379" s="5">
        <v>4</v>
      </c>
      <c r="I379" s="6">
        <f>D379/(VLOOKUP(B379,'[1]2021 Team'!$B$2:$G$33,3,FALSE))</f>
        <v>2.1141649048625794E-3</v>
      </c>
    </row>
    <row r="380" spans="1:9" x14ac:dyDescent="0.25">
      <c r="A380" s="5" t="s">
        <v>2519</v>
      </c>
      <c r="B380" s="5" t="s">
        <v>56</v>
      </c>
      <c r="C380" s="5" t="s">
        <v>163</v>
      </c>
      <c r="D380" s="5">
        <v>1</v>
      </c>
      <c r="E380" s="5">
        <v>-1</v>
      </c>
      <c r="F380" s="5">
        <v>0</v>
      </c>
      <c r="G380" s="6">
        <f t="shared" si="6"/>
        <v>0</v>
      </c>
      <c r="H380" s="5">
        <v>-1</v>
      </c>
      <c r="I380" s="6">
        <f>D380/(VLOOKUP(B380,'[1]2021 Team'!$B$2:$G$33,3,FALSE))</f>
        <v>2.631578947368421E-3</v>
      </c>
    </row>
    <row r="381" spans="1:9" x14ac:dyDescent="0.25">
      <c r="A381" s="5" t="s">
        <v>2520</v>
      </c>
      <c r="B381" s="5" t="s">
        <v>16</v>
      </c>
      <c r="C381" s="5" t="s">
        <v>163</v>
      </c>
      <c r="D381" s="5">
        <v>1</v>
      </c>
      <c r="E381" s="5">
        <v>-3</v>
      </c>
      <c r="F381" s="5">
        <v>0</v>
      </c>
      <c r="G381" s="6">
        <f t="shared" si="6"/>
        <v>0</v>
      </c>
      <c r="H381" s="5">
        <v>-3</v>
      </c>
      <c r="I381" s="6">
        <f>D381/(VLOOKUP(B381,'[1]2021 Team'!$B$2:$G$33,3,FALSE))</f>
        <v>2.1978021978021978E-3</v>
      </c>
    </row>
    <row r="382" spans="1:9" x14ac:dyDescent="0.25">
      <c r="A382" s="5" t="s">
        <v>2584</v>
      </c>
      <c r="B382" s="5" t="s">
        <v>32</v>
      </c>
      <c r="C382" s="5" t="s">
        <v>980</v>
      </c>
      <c r="D382" s="5">
        <v>1</v>
      </c>
      <c r="E382" s="5">
        <v>7</v>
      </c>
      <c r="F382" s="5">
        <v>0</v>
      </c>
      <c r="G382" s="6">
        <f t="shared" si="6"/>
        <v>0</v>
      </c>
      <c r="H382" s="5">
        <v>7</v>
      </c>
      <c r="I382" s="6">
        <f>D382/(VLOOKUP(B382,'[1]2021 Team'!$B$2:$G$33,3,FALSE))</f>
        <v>2.3809523809523812E-3</v>
      </c>
    </row>
    <row r="383" spans="1:9" x14ac:dyDescent="0.25">
      <c r="A383" s="5" t="s">
        <v>2585</v>
      </c>
      <c r="B383" s="5" t="s">
        <v>52</v>
      </c>
      <c r="C383" s="5" t="s">
        <v>163</v>
      </c>
      <c r="D383" s="5">
        <v>1</v>
      </c>
      <c r="E383" s="5">
        <v>1</v>
      </c>
      <c r="F383" s="5">
        <v>0</v>
      </c>
      <c r="G383" s="6">
        <f t="shared" si="6"/>
        <v>0</v>
      </c>
      <c r="H383" s="5">
        <v>1</v>
      </c>
      <c r="I383" s="6">
        <f>D383/(VLOOKUP(B383,'[1]2021 Team'!$B$2:$G$33,3,FALSE))</f>
        <v>1.9607843137254902E-3</v>
      </c>
    </row>
    <row r="384" spans="1:9" x14ac:dyDescent="0.25">
      <c r="A384" s="5" t="s">
        <v>952</v>
      </c>
      <c r="B384" s="5" t="s">
        <v>48</v>
      </c>
      <c r="C384" s="5" t="s">
        <v>163</v>
      </c>
      <c r="D384" s="5">
        <v>1</v>
      </c>
      <c r="E384" s="5">
        <v>2</v>
      </c>
      <c r="F384" s="5">
        <v>0</v>
      </c>
      <c r="G384" s="6">
        <f t="shared" si="6"/>
        <v>0</v>
      </c>
      <c r="H384" s="5">
        <v>2</v>
      </c>
      <c r="I384" s="6">
        <f>D384/(VLOOKUP(B384,'[1]2021 Team'!$B$2:$G$33,3,FALSE))</f>
        <v>2.2271714922048997E-3</v>
      </c>
    </row>
    <row r="385" spans="1:9" x14ac:dyDescent="0.25">
      <c r="A385" s="5" t="s">
        <v>1860</v>
      </c>
      <c r="B385" s="5" t="s">
        <v>58</v>
      </c>
      <c r="C385" s="5" t="s">
        <v>163</v>
      </c>
      <c r="D385" s="5">
        <v>1</v>
      </c>
      <c r="E385" s="5">
        <v>3</v>
      </c>
      <c r="F385" s="5">
        <v>0</v>
      </c>
      <c r="G385" s="6">
        <f t="shared" si="6"/>
        <v>0</v>
      </c>
      <c r="H385" s="5">
        <v>3</v>
      </c>
      <c r="I385" s="6">
        <f>D385/(VLOOKUP(B385,'[1]2021 Team'!$B$2:$G$33,3,FALSE))</f>
        <v>1.8181818181818182E-3</v>
      </c>
    </row>
    <row r="386" spans="1:9" x14ac:dyDescent="0.25">
      <c r="A386" s="5" t="s">
        <v>2430</v>
      </c>
      <c r="B386" s="5" t="s">
        <v>60</v>
      </c>
      <c r="C386" s="5" t="s">
        <v>613</v>
      </c>
      <c r="D386" s="5">
        <v>1</v>
      </c>
      <c r="E386" s="5">
        <v>1</v>
      </c>
      <c r="F386" s="5">
        <v>0</v>
      </c>
      <c r="G386" s="6">
        <f t="shared" si="6"/>
        <v>0</v>
      </c>
      <c r="H386" s="5">
        <v>1</v>
      </c>
      <c r="I386" s="6">
        <f>D386/(VLOOKUP(B386,'[1]2021 Team'!$B$2:$G$33,3,FALSE))</f>
        <v>2.4330900243309003E-3</v>
      </c>
    </row>
    <row r="387" spans="1:9" x14ac:dyDescent="0.25">
      <c r="A387" s="5" t="s">
        <v>2586</v>
      </c>
      <c r="B387" s="5" t="s">
        <v>46</v>
      </c>
      <c r="C387" s="5" t="s">
        <v>163</v>
      </c>
      <c r="D387" s="5">
        <v>1</v>
      </c>
      <c r="E387" s="5">
        <v>7</v>
      </c>
      <c r="F387" s="5">
        <v>0</v>
      </c>
      <c r="G387" s="6">
        <f t="shared" si="6"/>
        <v>0</v>
      </c>
      <c r="H387" s="5">
        <v>7</v>
      </c>
      <c r="I387" s="6">
        <f>D387/(VLOOKUP(B387,'[1]2021 Team'!$B$2:$G$33,3,FALSE))</f>
        <v>2.2624434389140274E-3</v>
      </c>
    </row>
    <row r="388" spans="1:9" x14ac:dyDescent="0.25">
      <c r="A388" s="5" t="s">
        <v>2587</v>
      </c>
      <c r="B388" s="5" t="s">
        <v>36</v>
      </c>
      <c r="C388" s="5" t="s">
        <v>2572</v>
      </c>
      <c r="D388" s="5">
        <v>1</v>
      </c>
      <c r="E388" s="5">
        <v>4</v>
      </c>
      <c r="F388" s="5">
        <v>0</v>
      </c>
      <c r="G388" s="6">
        <f t="shared" si="6"/>
        <v>0</v>
      </c>
      <c r="H388" s="5">
        <v>4</v>
      </c>
      <c r="I388" s="6">
        <f>D388/(VLOOKUP(B388,'[1]2021 Team'!$B$2:$G$33,3,FALSE))</f>
        <v>2.5510204081632651E-3</v>
      </c>
    </row>
    <row r="389" spans="1:9" x14ac:dyDescent="0.25">
      <c r="A389" s="5" t="s">
        <v>667</v>
      </c>
      <c r="B389" s="5" t="s">
        <v>10</v>
      </c>
      <c r="C389" s="5" t="s">
        <v>163</v>
      </c>
      <c r="D389" s="5">
        <v>1</v>
      </c>
      <c r="E389" s="5">
        <v>2</v>
      </c>
      <c r="F389" s="5">
        <v>0</v>
      </c>
      <c r="G389" s="6">
        <f t="shared" si="6"/>
        <v>0</v>
      </c>
      <c r="H389" s="5">
        <v>2</v>
      </c>
      <c r="I389" s="6">
        <f>D389/(VLOOKUP(B389,'[1]2021 Team'!$B$2:$G$33,3,FALSE))</f>
        <v>2.5445292620865142E-3</v>
      </c>
    </row>
    <row r="390" spans="1:9" x14ac:dyDescent="0.25">
      <c r="A390" s="5" t="s">
        <v>924</v>
      </c>
      <c r="B390" s="5" t="s">
        <v>30</v>
      </c>
      <c r="C390" s="5" t="s">
        <v>163</v>
      </c>
      <c r="D390" s="5">
        <v>0</v>
      </c>
      <c r="E390" s="5">
        <v>0</v>
      </c>
      <c r="F390" s="5">
        <v>0</v>
      </c>
      <c r="G390" s="6" t="e">
        <f t="shared" si="6"/>
        <v>#DIV/0!</v>
      </c>
      <c r="H390" s="5"/>
      <c r="I390" s="6">
        <f>D390/(VLOOKUP(B390,'[1]2021 Team'!$B$2:$G$33,3,FALSE))</f>
        <v>0</v>
      </c>
    </row>
    <row r="391" spans="1:9" x14ac:dyDescent="0.25">
      <c r="A391" s="5" t="s">
        <v>2588</v>
      </c>
      <c r="B391" s="5" t="s">
        <v>18</v>
      </c>
      <c r="C391" s="5" t="s">
        <v>163</v>
      </c>
      <c r="D391" s="5">
        <v>0</v>
      </c>
      <c r="E391" s="5">
        <v>0</v>
      </c>
      <c r="F391" s="5">
        <v>0</v>
      </c>
      <c r="G391" s="6" t="e">
        <f t="shared" si="6"/>
        <v>#DIV/0!</v>
      </c>
      <c r="H391" s="5"/>
      <c r="I391" s="6">
        <f>D391/(VLOOKUP(B391,'[1]2021 Team'!$B$2:$G$33,3,FALSE))</f>
        <v>0</v>
      </c>
    </row>
    <row r="392" spans="1:9" x14ac:dyDescent="0.25">
      <c r="A392" s="5" t="s">
        <v>892</v>
      </c>
      <c r="B392" s="5" t="s">
        <v>34</v>
      </c>
      <c r="C392" s="5" t="s">
        <v>153</v>
      </c>
      <c r="D392" s="5">
        <v>0</v>
      </c>
      <c r="E392" s="5">
        <v>0</v>
      </c>
      <c r="F392" s="5">
        <v>0</v>
      </c>
      <c r="G392" s="6" t="e">
        <f t="shared" si="6"/>
        <v>#DIV/0!</v>
      </c>
      <c r="H392" s="5"/>
      <c r="I392" s="6">
        <f>D392/(VLOOKUP(B392,'[1]2021 Team'!$B$2:$G$33,3,FALSE))</f>
        <v>0</v>
      </c>
    </row>
    <row r="393" spans="1:9" x14ac:dyDescent="0.25">
      <c r="A393" s="5" t="s">
        <v>916</v>
      </c>
      <c r="B393" s="5" t="s">
        <v>42</v>
      </c>
      <c r="C393" s="5" t="s">
        <v>163</v>
      </c>
      <c r="D393" s="5">
        <v>0</v>
      </c>
      <c r="E393" s="5">
        <v>0</v>
      </c>
      <c r="F393" s="5">
        <v>0</v>
      </c>
      <c r="G393" s="6" t="e">
        <f t="shared" si="6"/>
        <v>#DIV/0!</v>
      </c>
      <c r="H393" s="5"/>
      <c r="I393" s="6">
        <f>D393/(VLOOKUP(B393,'[1]2021 Team'!$B$2:$G$33,3,FALSE))</f>
        <v>0</v>
      </c>
    </row>
    <row r="394" spans="1:9" x14ac:dyDescent="0.25">
      <c r="A394" s="5" t="s">
        <v>2589</v>
      </c>
      <c r="B394" s="5" t="s">
        <v>28</v>
      </c>
      <c r="C394" s="5" t="s">
        <v>163</v>
      </c>
      <c r="D394" s="5">
        <v>0</v>
      </c>
      <c r="E394" s="5">
        <v>0</v>
      </c>
      <c r="F394" s="5">
        <v>0</v>
      </c>
      <c r="G394" s="6" t="e">
        <f t="shared" si="6"/>
        <v>#DIV/0!</v>
      </c>
      <c r="H394" s="5"/>
      <c r="I394" s="6">
        <f>D394/(VLOOKUP(B394,'[1]2021 Team'!$B$2:$G$33,3,FALSE))</f>
        <v>0</v>
      </c>
    </row>
    <row r="395" spans="1:9" x14ac:dyDescent="0.25">
      <c r="A395" s="5" t="s">
        <v>2398</v>
      </c>
      <c r="B395" s="5" t="s">
        <v>32</v>
      </c>
      <c r="C395" s="5" t="s">
        <v>163</v>
      </c>
      <c r="D395" s="5">
        <v>0</v>
      </c>
      <c r="E395" s="5">
        <v>0</v>
      </c>
      <c r="F395" s="5">
        <v>0</v>
      </c>
      <c r="G395" s="6" t="e">
        <f t="shared" si="6"/>
        <v>#DIV/0!</v>
      </c>
      <c r="H395" s="5"/>
      <c r="I395" s="6">
        <f>D395/(VLOOKUP(B395,'[1]2021 Team'!$B$2:$G$33,3,FALSE))</f>
        <v>0</v>
      </c>
    </row>
    <row r="396" spans="1:9" x14ac:dyDescent="0.25">
      <c r="A396" s="5" t="s">
        <v>2460</v>
      </c>
      <c r="B396" s="5" t="s">
        <v>42</v>
      </c>
      <c r="C396" s="5" t="s">
        <v>153</v>
      </c>
      <c r="D396" s="5">
        <v>0</v>
      </c>
      <c r="E396" s="5">
        <v>0</v>
      </c>
      <c r="F396" s="5">
        <v>0</v>
      </c>
      <c r="G396" s="6" t="e">
        <f t="shared" si="6"/>
        <v>#DIV/0!</v>
      </c>
      <c r="H396" s="5"/>
      <c r="I396" s="6">
        <f>D396/(VLOOKUP(B396,'[1]2021 Team'!$B$2:$G$33,3,FALSE))</f>
        <v>0</v>
      </c>
    </row>
    <row r="397" spans="1:9" x14ac:dyDescent="0.25">
      <c r="A397" s="5" t="s">
        <v>2590</v>
      </c>
      <c r="B397" s="5" t="s">
        <v>58</v>
      </c>
      <c r="C397" s="5" t="s">
        <v>163</v>
      </c>
      <c r="D397" s="5">
        <v>0</v>
      </c>
      <c r="E397" s="5">
        <v>0</v>
      </c>
      <c r="F397" s="5">
        <v>0</v>
      </c>
      <c r="G397" s="6" t="e">
        <f t="shared" si="6"/>
        <v>#DIV/0!</v>
      </c>
      <c r="H397" s="5"/>
      <c r="I397" s="6">
        <f>D397/(VLOOKUP(B397,'[1]2021 Team'!$B$2:$G$33,3,FALSE))</f>
        <v>0</v>
      </c>
    </row>
    <row r="398" spans="1:9" x14ac:dyDescent="0.25">
      <c r="A398" s="5" t="s">
        <v>2461</v>
      </c>
      <c r="B398" s="5" t="s">
        <v>16</v>
      </c>
      <c r="C398" s="5" t="s">
        <v>163</v>
      </c>
      <c r="D398" s="5">
        <v>0</v>
      </c>
      <c r="E398" s="5">
        <v>0</v>
      </c>
      <c r="F398" s="5">
        <v>0</v>
      </c>
      <c r="G398" s="6" t="e">
        <f t="shared" si="6"/>
        <v>#DIV/0!</v>
      </c>
      <c r="H398" s="5"/>
      <c r="I398" s="6">
        <f>D398/(VLOOKUP(B398,'[1]2021 Team'!$B$2:$G$33,3,FALSE))</f>
        <v>0</v>
      </c>
    </row>
    <row r="399" spans="1:9" x14ac:dyDescent="0.25">
      <c r="A399" s="5" t="s">
        <v>2461</v>
      </c>
      <c r="B399" s="5" t="s">
        <v>36</v>
      </c>
      <c r="C399" s="5" t="s">
        <v>163</v>
      </c>
      <c r="D399" s="5">
        <v>0</v>
      </c>
      <c r="E399" s="5">
        <v>0</v>
      </c>
      <c r="F399" s="5">
        <v>0</v>
      </c>
      <c r="G399" s="6" t="e">
        <f t="shared" si="6"/>
        <v>#DIV/0!</v>
      </c>
      <c r="H399" s="5"/>
      <c r="I399" s="6">
        <f>D399/(VLOOKUP(B399,'[1]2021 Team'!$B$2:$G$33,3,FALSE))</f>
        <v>0</v>
      </c>
    </row>
    <row r="400" spans="1:9" x14ac:dyDescent="0.25">
      <c r="A400" s="5" t="s">
        <v>2591</v>
      </c>
      <c r="B400" s="5" t="s">
        <v>32</v>
      </c>
      <c r="C400" s="5" t="s">
        <v>153</v>
      </c>
      <c r="D400" s="5">
        <v>0</v>
      </c>
      <c r="E400" s="5">
        <v>0</v>
      </c>
      <c r="F400" s="5">
        <v>0</v>
      </c>
      <c r="G400" s="6" t="e">
        <f t="shared" si="6"/>
        <v>#DIV/0!</v>
      </c>
      <c r="H400" s="5"/>
      <c r="I400" s="6">
        <f>D400/(VLOOKUP(B400,'[1]2021 Team'!$B$2:$G$33,3,FALSE))</f>
        <v>0</v>
      </c>
    </row>
    <row r="401" spans="1:9" x14ac:dyDescent="0.25">
      <c r="A401" s="5" t="s">
        <v>812</v>
      </c>
      <c r="B401" s="5" t="s">
        <v>12</v>
      </c>
      <c r="C401" s="5" t="s">
        <v>163</v>
      </c>
      <c r="D401" s="5">
        <v>0</v>
      </c>
      <c r="E401" s="5">
        <v>0</v>
      </c>
      <c r="F401" s="5">
        <v>0</v>
      </c>
      <c r="G401" s="6" t="e">
        <f t="shared" si="6"/>
        <v>#DIV/0!</v>
      </c>
      <c r="H401" s="5"/>
      <c r="I401" s="6">
        <f>D401/(VLOOKUP(B401,'[1]2021 Team'!$B$2:$G$33,3,FALSE))</f>
        <v>0</v>
      </c>
    </row>
    <row r="402" spans="1:9" x14ac:dyDescent="0.25">
      <c r="A402" s="5" t="s">
        <v>1041</v>
      </c>
      <c r="B402" s="5" t="s">
        <v>70</v>
      </c>
      <c r="C402" s="5" t="s">
        <v>153</v>
      </c>
      <c r="D402" s="5">
        <v>0</v>
      </c>
      <c r="E402" s="5">
        <v>0</v>
      </c>
      <c r="F402" s="5">
        <v>0</v>
      </c>
      <c r="G402" s="6" t="e">
        <f t="shared" si="6"/>
        <v>#DIV/0!</v>
      </c>
      <c r="H402" s="5"/>
      <c r="I402" s="6">
        <f>D402/(VLOOKUP(B402,'[1]2021 Team'!$B$2:$G$33,3,FALSE))</f>
        <v>0</v>
      </c>
    </row>
    <row r="403" spans="1:9" x14ac:dyDescent="0.25">
      <c r="A403" s="5" t="s">
        <v>1736</v>
      </c>
      <c r="B403" s="5" t="s">
        <v>56</v>
      </c>
      <c r="C403" s="5" t="s">
        <v>159</v>
      </c>
      <c r="D403" s="5">
        <v>0</v>
      </c>
      <c r="E403" s="5">
        <v>0</v>
      </c>
      <c r="F403" s="5">
        <v>0</v>
      </c>
      <c r="G403" s="6" t="e">
        <f t="shared" si="6"/>
        <v>#DIV/0!</v>
      </c>
      <c r="H403" s="5"/>
      <c r="I403" s="6">
        <f>D403/(VLOOKUP(B403,'[1]2021 Team'!$B$2:$G$33,3,FALSE))</f>
        <v>0</v>
      </c>
    </row>
    <row r="404" spans="1:9" x14ac:dyDescent="0.25">
      <c r="A404" s="5" t="s">
        <v>2399</v>
      </c>
      <c r="B404" s="5" t="s">
        <v>14</v>
      </c>
      <c r="C404" s="5" t="s">
        <v>163</v>
      </c>
      <c r="D404" s="5">
        <v>0</v>
      </c>
      <c r="E404" s="5">
        <v>0</v>
      </c>
      <c r="F404" s="5">
        <v>0</v>
      </c>
      <c r="G404" s="6" t="e">
        <f t="shared" si="6"/>
        <v>#DIV/0!</v>
      </c>
      <c r="H404" s="5"/>
      <c r="I404" s="6">
        <f>D404/(VLOOKUP(B404,'[1]2021 Team'!$B$2:$G$33,3,FALSE))</f>
        <v>0</v>
      </c>
    </row>
    <row r="405" spans="1:9" x14ac:dyDescent="0.25">
      <c r="A405" s="5" t="s">
        <v>2446</v>
      </c>
      <c r="B405" s="5" t="s">
        <v>64</v>
      </c>
      <c r="C405" s="5" t="s">
        <v>186</v>
      </c>
      <c r="D405" s="5">
        <v>0</v>
      </c>
      <c r="E405" s="5">
        <v>0</v>
      </c>
      <c r="F405" s="5">
        <v>0</v>
      </c>
      <c r="G405" s="6" t="e">
        <f t="shared" si="6"/>
        <v>#DIV/0!</v>
      </c>
      <c r="H405" s="5"/>
      <c r="I405" s="6">
        <f>D405/(VLOOKUP(B405,'[1]2021 Team'!$B$2:$G$33,3,FALSE))</f>
        <v>0</v>
      </c>
    </row>
    <row r="406" spans="1:9" x14ac:dyDescent="0.25">
      <c r="A406" s="5" t="s">
        <v>2592</v>
      </c>
      <c r="B406" s="5" t="s">
        <v>62</v>
      </c>
      <c r="C406" s="5" t="s">
        <v>163</v>
      </c>
      <c r="D406" s="5">
        <v>0</v>
      </c>
      <c r="E406" s="5">
        <v>0</v>
      </c>
      <c r="F406" s="5">
        <v>0</v>
      </c>
      <c r="G406" s="6" t="e">
        <f t="shared" si="6"/>
        <v>#DIV/0!</v>
      </c>
      <c r="H406" s="5"/>
      <c r="I406" s="6">
        <f>D406/(VLOOKUP(B406,'[1]2021 Team'!$B$2:$G$33,3,FALSE))</f>
        <v>0</v>
      </c>
    </row>
    <row r="407" spans="1:9" x14ac:dyDescent="0.25">
      <c r="A407" s="5" t="s">
        <v>2593</v>
      </c>
      <c r="B407" s="5" t="s">
        <v>28</v>
      </c>
      <c r="C407" s="5" t="s">
        <v>163</v>
      </c>
      <c r="D407" s="5">
        <v>0</v>
      </c>
      <c r="E407" s="5">
        <v>0</v>
      </c>
      <c r="F407" s="5">
        <v>0</v>
      </c>
      <c r="G407" s="6" t="e">
        <f t="shared" si="6"/>
        <v>#DIV/0!</v>
      </c>
      <c r="H407" s="5"/>
      <c r="I407" s="6">
        <f>D407/(VLOOKUP(B407,'[1]2021 Team'!$B$2:$G$33,3,FALSE))</f>
        <v>0</v>
      </c>
    </row>
    <row r="408" spans="1:9" x14ac:dyDescent="0.25">
      <c r="A408" s="5" t="s">
        <v>2594</v>
      </c>
      <c r="B408" s="5" t="s">
        <v>56</v>
      </c>
      <c r="C408" s="5" t="s">
        <v>163</v>
      </c>
      <c r="D408" s="5">
        <v>0</v>
      </c>
      <c r="E408" s="5">
        <v>0</v>
      </c>
      <c r="F408" s="5">
        <v>0</v>
      </c>
      <c r="G408" s="6" t="e">
        <f t="shared" si="6"/>
        <v>#DIV/0!</v>
      </c>
      <c r="H408" s="5"/>
      <c r="I408" s="6">
        <f>D408/(VLOOKUP(B408,'[1]2021 Team'!$B$2:$G$33,3,FALSE))</f>
        <v>0</v>
      </c>
    </row>
    <row r="409" spans="1:9" x14ac:dyDescent="0.25">
      <c r="A409" s="5" t="s">
        <v>2595</v>
      </c>
      <c r="B409" s="5" t="s">
        <v>10</v>
      </c>
      <c r="C409" s="5" t="s">
        <v>163</v>
      </c>
      <c r="D409" s="5">
        <v>0</v>
      </c>
      <c r="E409" s="5">
        <v>0</v>
      </c>
      <c r="F409" s="5">
        <v>0</v>
      </c>
      <c r="G409" s="6" t="e">
        <f t="shared" si="6"/>
        <v>#DIV/0!</v>
      </c>
      <c r="H409" s="5"/>
      <c r="I409" s="6">
        <f>D409/(VLOOKUP(B409,'[1]2021 Team'!$B$2:$G$33,3,FALSE))</f>
        <v>0</v>
      </c>
    </row>
    <row r="410" spans="1:9" x14ac:dyDescent="0.25">
      <c r="A410" s="5" t="s">
        <v>2465</v>
      </c>
      <c r="B410" s="5" t="s">
        <v>44</v>
      </c>
      <c r="C410" s="5" t="s">
        <v>153</v>
      </c>
      <c r="D410" s="5">
        <v>0</v>
      </c>
      <c r="E410" s="5">
        <v>0</v>
      </c>
      <c r="F410" s="5">
        <v>0</v>
      </c>
      <c r="G410" s="6" t="e">
        <f t="shared" si="6"/>
        <v>#DIV/0!</v>
      </c>
      <c r="H410" s="5"/>
      <c r="I410" s="6">
        <f>D410/(VLOOKUP(B410,'[1]2021 Team'!$B$2:$G$33,3,FALSE))</f>
        <v>0</v>
      </c>
    </row>
    <row r="411" spans="1:9" x14ac:dyDescent="0.25">
      <c r="A411" s="5" t="s">
        <v>1777</v>
      </c>
      <c r="B411" s="5" t="s">
        <v>12</v>
      </c>
      <c r="C411" s="5" t="s">
        <v>163</v>
      </c>
      <c r="D411" s="5">
        <v>0</v>
      </c>
      <c r="E411" s="5">
        <v>0</v>
      </c>
      <c r="F411" s="5">
        <v>0</v>
      </c>
      <c r="G411" s="6" t="e">
        <f t="shared" si="6"/>
        <v>#DIV/0!</v>
      </c>
      <c r="H411" s="5"/>
      <c r="I411" s="6">
        <f>D411/(VLOOKUP(B411,'[1]2021 Team'!$B$2:$G$33,3,FALSE))</f>
        <v>0</v>
      </c>
    </row>
    <row r="412" spans="1:9" x14ac:dyDescent="0.25">
      <c r="A412" s="5" t="s">
        <v>2596</v>
      </c>
      <c r="B412" s="5" t="s">
        <v>12</v>
      </c>
      <c r="C412" s="5" t="s">
        <v>153</v>
      </c>
      <c r="D412" s="5">
        <v>0</v>
      </c>
      <c r="E412" s="5">
        <v>0</v>
      </c>
      <c r="F412" s="5">
        <v>0</v>
      </c>
      <c r="G412" s="6" t="e">
        <f t="shared" si="6"/>
        <v>#DIV/0!</v>
      </c>
      <c r="H412" s="5"/>
      <c r="I412" s="6">
        <f>D412/(VLOOKUP(B412,'[1]2021 Team'!$B$2:$G$33,3,FALSE))</f>
        <v>0</v>
      </c>
    </row>
    <row r="413" spans="1:9" x14ac:dyDescent="0.25">
      <c r="A413" s="5" t="s">
        <v>2597</v>
      </c>
      <c r="B413" s="5" t="s">
        <v>48</v>
      </c>
      <c r="C413" s="5" t="s">
        <v>857</v>
      </c>
      <c r="D413" s="5">
        <v>0</v>
      </c>
      <c r="E413" s="5">
        <v>0</v>
      </c>
      <c r="F413" s="5">
        <v>0</v>
      </c>
      <c r="G413" s="6" t="e">
        <f t="shared" si="6"/>
        <v>#DIV/0!</v>
      </c>
      <c r="H413" s="5"/>
      <c r="I413" s="6">
        <f>D413/(VLOOKUP(B413,'[1]2021 Team'!$B$2:$G$33,3,FALSE))</f>
        <v>0</v>
      </c>
    </row>
    <row r="414" spans="1:9" x14ac:dyDescent="0.25">
      <c r="A414" s="5" t="s">
        <v>2598</v>
      </c>
      <c r="B414" s="5" t="s">
        <v>22</v>
      </c>
      <c r="C414" s="5" t="s">
        <v>163</v>
      </c>
      <c r="D414" s="5">
        <v>0</v>
      </c>
      <c r="E414" s="5">
        <v>0</v>
      </c>
      <c r="F414" s="5">
        <v>0</v>
      </c>
      <c r="G414" s="6" t="e">
        <f t="shared" si="6"/>
        <v>#DIV/0!</v>
      </c>
      <c r="H414" s="5"/>
      <c r="I414" s="6">
        <f>D414/(VLOOKUP(B414,'[1]2021 Team'!$B$2:$G$33,3,FALSE))</f>
        <v>0</v>
      </c>
    </row>
    <row r="415" spans="1:9" x14ac:dyDescent="0.25">
      <c r="A415" s="5" t="s">
        <v>2599</v>
      </c>
      <c r="B415" s="5" t="s">
        <v>42</v>
      </c>
      <c r="C415" s="5" t="s">
        <v>613</v>
      </c>
      <c r="D415" s="5">
        <v>0</v>
      </c>
      <c r="E415" s="5">
        <v>0</v>
      </c>
      <c r="F415" s="5">
        <v>0</v>
      </c>
      <c r="G415" s="6" t="e">
        <f t="shared" si="6"/>
        <v>#DIV/0!</v>
      </c>
      <c r="H415" s="5"/>
      <c r="I415" s="6">
        <f>D415/(VLOOKUP(B415,'[1]2021 Team'!$B$2:$G$33,3,FALSE))</f>
        <v>0</v>
      </c>
    </row>
    <row r="416" spans="1:9" x14ac:dyDescent="0.25">
      <c r="A416" s="5" t="s">
        <v>2467</v>
      </c>
      <c r="B416" s="5" t="s">
        <v>66</v>
      </c>
      <c r="C416" s="5" t="s">
        <v>153</v>
      </c>
      <c r="D416" s="5">
        <v>0</v>
      </c>
      <c r="E416" s="5">
        <v>0</v>
      </c>
      <c r="F416" s="5">
        <v>0</v>
      </c>
      <c r="G416" s="6" t="e">
        <f t="shared" si="6"/>
        <v>#DIV/0!</v>
      </c>
      <c r="H416" s="5"/>
      <c r="I416" s="6">
        <f>D416/(VLOOKUP(B416,'[1]2021 Team'!$B$2:$G$33,3,FALSE))</f>
        <v>0</v>
      </c>
    </row>
    <row r="417" spans="1:9" x14ac:dyDescent="0.25">
      <c r="A417" s="5" t="s">
        <v>2600</v>
      </c>
      <c r="B417" s="5" t="s">
        <v>56</v>
      </c>
      <c r="C417" s="5" t="s">
        <v>163</v>
      </c>
      <c r="D417" s="5">
        <v>0</v>
      </c>
      <c r="E417" s="5">
        <v>0</v>
      </c>
      <c r="F417" s="5">
        <v>0</v>
      </c>
      <c r="G417" s="6" t="e">
        <f t="shared" si="6"/>
        <v>#DIV/0!</v>
      </c>
      <c r="H417" s="5"/>
      <c r="I417" s="6">
        <f>D417/(VLOOKUP(B417,'[1]2021 Team'!$B$2:$G$33,3,FALSE))</f>
        <v>0</v>
      </c>
    </row>
    <row r="418" spans="1:9" x14ac:dyDescent="0.25">
      <c r="A418" s="5" t="s">
        <v>2468</v>
      </c>
      <c r="B418" s="5" t="s">
        <v>26</v>
      </c>
      <c r="C418" s="5" t="s">
        <v>163</v>
      </c>
      <c r="D418" s="5">
        <v>0</v>
      </c>
      <c r="E418" s="5">
        <v>0</v>
      </c>
      <c r="F418" s="5">
        <v>0</v>
      </c>
      <c r="G418" s="6" t="e">
        <f t="shared" si="6"/>
        <v>#DIV/0!</v>
      </c>
      <c r="H418" s="5"/>
      <c r="I418" s="6">
        <f>D418/(VLOOKUP(B418,'[1]2021 Team'!$B$2:$G$33,3,FALSE))</f>
        <v>0</v>
      </c>
    </row>
    <row r="419" spans="1:9" x14ac:dyDescent="0.25">
      <c r="A419" s="5" t="s">
        <v>2468</v>
      </c>
      <c r="B419" s="5" t="s">
        <v>36</v>
      </c>
      <c r="C419" s="5" t="s">
        <v>163</v>
      </c>
      <c r="D419" s="5">
        <v>0</v>
      </c>
      <c r="E419" s="5">
        <v>0</v>
      </c>
      <c r="F419" s="5">
        <v>0</v>
      </c>
      <c r="G419" s="6" t="e">
        <f t="shared" si="6"/>
        <v>#DIV/0!</v>
      </c>
      <c r="H419" s="5"/>
      <c r="I419" s="6">
        <f>D419/(VLOOKUP(B419,'[1]2021 Team'!$B$2:$G$33,3,FALSE))</f>
        <v>0</v>
      </c>
    </row>
    <row r="420" spans="1:9" x14ac:dyDescent="0.25">
      <c r="A420" s="5" t="s">
        <v>1042</v>
      </c>
      <c r="B420" s="5" t="s">
        <v>24</v>
      </c>
      <c r="C420" s="5" t="s">
        <v>163</v>
      </c>
      <c r="D420" s="5">
        <v>0</v>
      </c>
      <c r="E420" s="5">
        <v>0</v>
      </c>
      <c r="F420" s="5">
        <v>0</v>
      </c>
      <c r="G420" s="6" t="e">
        <f t="shared" si="6"/>
        <v>#DIV/0!</v>
      </c>
      <c r="H420" s="5"/>
      <c r="I420" s="6">
        <f>D420/(VLOOKUP(B420,'[1]2021 Team'!$B$2:$G$33,3,FALSE))</f>
        <v>0</v>
      </c>
    </row>
    <row r="421" spans="1:9" x14ac:dyDescent="0.25">
      <c r="A421" s="5" t="s">
        <v>790</v>
      </c>
      <c r="B421" s="5" t="s">
        <v>32</v>
      </c>
      <c r="C421" s="5" t="s">
        <v>153</v>
      </c>
      <c r="D421" s="5">
        <v>0</v>
      </c>
      <c r="E421" s="5">
        <v>0</v>
      </c>
      <c r="F421" s="5">
        <v>0</v>
      </c>
      <c r="G421" s="6" t="e">
        <f t="shared" si="6"/>
        <v>#DIV/0!</v>
      </c>
      <c r="H421" s="5"/>
      <c r="I421" s="6">
        <f>D421/(VLOOKUP(B421,'[1]2021 Team'!$B$2:$G$33,3,FALSE))</f>
        <v>0</v>
      </c>
    </row>
    <row r="422" spans="1:9" x14ac:dyDescent="0.25">
      <c r="A422" s="5" t="s">
        <v>886</v>
      </c>
      <c r="B422" s="5" t="s">
        <v>22</v>
      </c>
      <c r="C422" s="5" t="s">
        <v>153</v>
      </c>
      <c r="D422" s="5">
        <v>0</v>
      </c>
      <c r="E422" s="5">
        <v>0</v>
      </c>
      <c r="F422" s="5">
        <v>0</v>
      </c>
      <c r="G422" s="6" t="e">
        <f t="shared" si="6"/>
        <v>#DIV/0!</v>
      </c>
      <c r="H422" s="5"/>
      <c r="I422" s="6">
        <f>D422/(VLOOKUP(B422,'[1]2021 Team'!$B$2:$G$33,3,FALSE))</f>
        <v>0</v>
      </c>
    </row>
    <row r="423" spans="1:9" x14ac:dyDescent="0.25">
      <c r="A423" s="5" t="s">
        <v>1779</v>
      </c>
      <c r="B423" s="5" t="s">
        <v>18</v>
      </c>
      <c r="C423" s="5" t="s">
        <v>163</v>
      </c>
      <c r="D423" s="5">
        <v>0</v>
      </c>
      <c r="E423" s="5">
        <v>0</v>
      </c>
      <c r="F423" s="5">
        <v>0</v>
      </c>
      <c r="G423" s="6" t="e">
        <f t="shared" si="6"/>
        <v>#DIV/0!</v>
      </c>
      <c r="H423" s="5"/>
      <c r="I423" s="6">
        <f>D423/(VLOOKUP(B423,'[1]2021 Team'!$B$2:$G$33,3,FALSE))</f>
        <v>0</v>
      </c>
    </row>
    <row r="424" spans="1:9" x14ac:dyDescent="0.25">
      <c r="A424" s="5" t="s">
        <v>2469</v>
      </c>
      <c r="B424" s="5" t="s">
        <v>52</v>
      </c>
      <c r="C424" s="5" t="s">
        <v>163</v>
      </c>
      <c r="D424" s="5">
        <v>0</v>
      </c>
      <c r="E424" s="5">
        <v>0</v>
      </c>
      <c r="F424" s="5">
        <v>0</v>
      </c>
      <c r="G424" s="6" t="e">
        <f t="shared" si="6"/>
        <v>#DIV/0!</v>
      </c>
      <c r="H424" s="5"/>
      <c r="I424" s="6">
        <f>D424/(VLOOKUP(B424,'[1]2021 Team'!$B$2:$G$33,3,FALSE))</f>
        <v>0</v>
      </c>
    </row>
    <row r="425" spans="1:9" x14ac:dyDescent="0.25">
      <c r="A425" s="5" t="s">
        <v>1583</v>
      </c>
      <c r="B425" s="5" t="s">
        <v>34</v>
      </c>
      <c r="C425" s="5" t="s">
        <v>163</v>
      </c>
      <c r="D425" s="5">
        <v>0</v>
      </c>
      <c r="E425" s="5">
        <v>0</v>
      </c>
      <c r="F425" s="5">
        <v>0</v>
      </c>
      <c r="G425" s="6" t="e">
        <f t="shared" si="6"/>
        <v>#DIV/0!</v>
      </c>
      <c r="H425" s="5"/>
      <c r="I425" s="6">
        <f>D425/(VLOOKUP(B425,'[1]2021 Team'!$B$2:$G$33,3,FALSE))</f>
        <v>0</v>
      </c>
    </row>
    <row r="426" spans="1:9" x14ac:dyDescent="0.25">
      <c r="A426" s="5" t="s">
        <v>2601</v>
      </c>
      <c r="B426" s="5" t="s">
        <v>42</v>
      </c>
      <c r="C426" s="5" t="s">
        <v>2602</v>
      </c>
      <c r="D426" s="5">
        <v>0</v>
      </c>
      <c r="E426" s="5">
        <v>0</v>
      </c>
      <c r="F426" s="5">
        <v>0</v>
      </c>
      <c r="G426" s="6" t="e">
        <f t="shared" si="6"/>
        <v>#DIV/0!</v>
      </c>
      <c r="H426" s="5"/>
      <c r="I426" s="6">
        <f>D426/(VLOOKUP(B426,'[1]2021 Team'!$B$2:$G$33,3,FALSE))</f>
        <v>0</v>
      </c>
    </row>
    <row r="427" spans="1:9" x14ac:dyDescent="0.25">
      <c r="A427" s="5" t="s">
        <v>2603</v>
      </c>
      <c r="B427" s="5" t="s">
        <v>40</v>
      </c>
      <c r="C427" s="5" t="s">
        <v>153</v>
      </c>
      <c r="D427" s="5">
        <v>0</v>
      </c>
      <c r="E427" s="5">
        <v>0</v>
      </c>
      <c r="F427" s="5">
        <v>0</v>
      </c>
      <c r="G427" s="6" t="e">
        <f t="shared" si="6"/>
        <v>#DIV/0!</v>
      </c>
      <c r="H427" s="5"/>
      <c r="I427" s="6">
        <f>D427/(VLOOKUP(B427,'[1]2021 Team'!$B$2:$G$33,3,FALSE))</f>
        <v>0</v>
      </c>
    </row>
    <row r="428" spans="1:9" x14ac:dyDescent="0.25">
      <c r="A428" s="5" t="s">
        <v>2604</v>
      </c>
      <c r="B428" s="5" t="s">
        <v>46</v>
      </c>
      <c r="C428" s="5" t="s">
        <v>153</v>
      </c>
      <c r="D428" s="5">
        <v>0</v>
      </c>
      <c r="E428" s="5">
        <v>0</v>
      </c>
      <c r="F428" s="5">
        <v>0</v>
      </c>
      <c r="G428" s="6" t="e">
        <f t="shared" si="6"/>
        <v>#DIV/0!</v>
      </c>
      <c r="H428" s="5"/>
      <c r="I428" s="6">
        <f>D428/(VLOOKUP(B428,'[1]2021 Team'!$B$2:$G$33,3,FALSE))</f>
        <v>0</v>
      </c>
    </row>
    <row r="429" spans="1:9" x14ac:dyDescent="0.25">
      <c r="A429" s="5" t="s">
        <v>2471</v>
      </c>
      <c r="B429" s="5" t="s">
        <v>28</v>
      </c>
      <c r="C429" s="5" t="s">
        <v>163</v>
      </c>
      <c r="D429" s="5">
        <v>0</v>
      </c>
      <c r="E429" s="5">
        <v>0</v>
      </c>
      <c r="F429" s="5">
        <v>0</v>
      </c>
      <c r="G429" s="6" t="e">
        <f t="shared" si="6"/>
        <v>#DIV/0!</v>
      </c>
      <c r="H429" s="5"/>
      <c r="I429" s="6">
        <f>D429/(VLOOKUP(B429,'[1]2021 Team'!$B$2:$G$33,3,FALSE))</f>
        <v>0</v>
      </c>
    </row>
    <row r="430" spans="1:9" x14ac:dyDescent="0.25">
      <c r="A430" s="5" t="s">
        <v>1781</v>
      </c>
      <c r="B430" s="5" t="s">
        <v>36</v>
      </c>
      <c r="C430" s="5" t="s">
        <v>163</v>
      </c>
      <c r="D430" s="5">
        <v>0</v>
      </c>
      <c r="E430" s="5">
        <v>0</v>
      </c>
      <c r="F430" s="5">
        <v>0</v>
      </c>
      <c r="G430" s="6" t="e">
        <f t="shared" si="6"/>
        <v>#DIV/0!</v>
      </c>
      <c r="H430" s="5"/>
      <c r="I430" s="6">
        <f>D430/(VLOOKUP(B430,'[1]2021 Team'!$B$2:$G$33,3,FALSE))</f>
        <v>0</v>
      </c>
    </row>
    <row r="431" spans="1:9" x14ac:dyDescent="0.25">
      <c r="A431" s="5" t="s">
        <v>2472</v>
      </c>
      <c r="B431" s="5" t="s">
        <v>26</v>
      </c>
      <c r="C431" s="5" t="s">
        <v>163</v>
      </c>
      <c r="D431" s="5">
        <v>0</v>
      </c>
      <c r="E431" s="5">
        <v>0</v>
      </c>
      <c r="F431" s="5">
        <v>0</v>
      </c>
      <c r="G431" s="6" t="e">
        <f t="shared" si="6"/>
        <v>#DIV/0!</v>
      </c>
      <c r="H431" s="5"/>
      <c r="I431" s="6">
        <f>D431/(VLOOKUP(B431,'[1]2021 Team'!$B$2:$G$33,3,FALSE))</f>
        <v>0</v>
      </c>
    </row>
    <row r="432" spans="1:9" x14ac:dyDescent="0.25">
      <c r="A432" s="5" t="s">
        <v>2401</v>
      </c>
      <c r="B432" s="5" t="s">
        <v>56</v>
      </c>
      <c r="C432" s="5" t="s">
        <v>163</v>
      </c>
      <c r="D432" s="5">
        <v>0</v>
      </c>
      <c r="E432" s="5">
        <v>0</v>
      </c>
      <c r="F432" s="5">
        <v>0</v>
      </c>
      <c r="G432" s="6" t="e">
        <f t="shared" si="6"/>
        <v>#DIV/0!</v>
      </c>
      <c r="H432" s="5"/>
      <c r="I432" s="6">
        <f>D432/(VLOOKUP(B432,'[1]2021 Team'!$B$2:$G$33,3,FALSE))</f>
        <v>0</v>
      </c>
    </row>
    <row r="433" spans="1:9" x14ac:dyDescent="0.25">
      <c r="A433" s="5" t="s">
        <v>725</v>
      </c>
      <c r="B433" s="5" t="s">
        <v>32</v>
      </c>
      <c r="C433" s="5" t="s">
        <v>163</v>
      </c>
      <c r="D433" s="5">
        <v>0</v>
      </c>
      <c r="E433" s="5">
        <v>0</v>
      </c>
      <c r="F433" s="5">
        <v>0</v>
      </c>
      <c r="G433" s="6" t="e">
        <f t="shared" ref="G433:G496" si="7">F433/D433</f>
        <v>#DIV/0!</v>
      </c>
      <c r="H433" s="5"/>
      <c r="I433" s="6">
        <f>D433/(VLOOKUP(B433,'[1]2021 Team'!$B$2:$G$33,3,FALSE))</f>
        <v>0</v>
      </c>
    </row>
    <row r="434" spans="1:9" x14ac:dyDescent="0.25">
      <c r="A434" s="5" t="s">
        <v>766</v>
      </c>
      <c r="B434" s="5" t="s">
        <v>48</v>
      </c>
      <c r="C434" s="5" t="s">
        <v>153</v>
      </c>
      <c r="D434" s="5">
        <v>0</v>
      </c>
      <c r="E434" s="5">
        <v>0</v>
      </c>
      <c r="F434" s="5">
        <v>0</v>
      </c>
      <c r="G434" s="6" t="e">
        <f t="shared" si="7"/>
        <v>#DIV/0!</v>
      </c>
      <c r="H434" s="5"/>
      <c r="I434" s="6">
        <f>D434/(VLOOKUP(B434,'[1]2021 Team'!$B$2:$G$33,3,FALSE))</f>
        <v>0</v>
      </c>
    </row>
    <row r="435" spans="1:9" x14ac:dyDescent="0.25">
      <c r="A435" s="5" t="s">
        <v>2605</v>
      </c>
      <c r="B435" s="5" t="s">
        <v>42</v>
      </c>
      <c r="C435" s="5" t="s">
        <v>153</v>
      </c>
      <c r="D435" s="5">
        <v>0</v>
      </c>
      <c r="E435" s="5">
        <v>0</v>
      </c>
      <c r="F435" s="5">
        <v>0</v>
      </c>
      <c r="G435" s="6" t="e">
        <f t="shared" si="7"/>
        <v>#DIV/0!</v>
      </c>
      <c r="H435" s="5"/>
      <c r="I435" s="6">
        <f>D435/(VLOOKUP(B435,'[1]2021 Team'!$B$2:$G$33,3,FALSE))</f>
        <v>0</v>
      </c>
    </row>
    <row r="436" spans="1:9" x14ac:dyDescent="0.25">
      <c r="A436" s="5" t="s">
        <v>1787</v>
      </c>
      <c r="B436" s="5" t="s">
        <v>24</v>
      </c>
      <c r="C436" s="5" t="s">
        <v>163</v>
      </c>
      <c r="D436" s="5">
        <v>0</v>
      </c>
      <c r="E436" s="5">
        <v>0</v>
      </c>
      <c r="F436" s="5">
        <v>0</v>
      </c>
      <c r="G436" s="6" t="e">
        <f t="shared" si="7"/>
        <v>#DIV/0!</v>
      </c>
      <c r="H436" s="5"/>
      <c r="I436" s="6">
        <f>D436/(VLOOKUP(B436,'[1]2021 Team'!$B$2:$G$33,3,FALSE))</f>
        <v>0</v>
      </c>
    </row>
    <row r="437" spans="1:9" x14ac:dyDescent="0.25">
      <c r="A437" s="5" t="s">
        <v>2606</v>
      </c>
      <c r="B437" s="5" t="s">
        <v>18</v>
      </c>
      <c r="C437" s="5" t="s">
        <v>163</v>
      </c>
      <c r="D437" s="5">
        <v>0</v>
      </c>
      <c r="E437" s="5">
        <v>0</v>
      </c>
      <c r="F437" s="5">
        <v>0</v>
      </c>
      <c r="G437" s="6" t="e">
        <f t="shared" si="7"/>
        <v>#DIV/0!</v>
      </c>
      <c r="H437" s="5"/>
      <c r="I437" s="6">
        <f>D437/(VLOOKUP(B437,'[1]2021 Team'!$B$2:$G$33,3,FALSE))</f>
        <v>0</v>
      </c>
    </row>
    <row r="438" spans="1:9" x14ac:dyDescent="0.25">
      <c r="A438" s="5" t="s">
        <v>2474</v>
      </c>
      <c r="B438" s="5" t="s">
        <v>34</v>
      </c>
      <c r="C438" s="5" t="s">
        <v>163</v>
      </c>
      <c r="D438" s="5">
        <v>0</v>
      </c>
      <c r="E438" s="5">
        <v>0</v>
      </c>
      <c r="F438" s="5">
        <v>0</v>
      </c>
      <c r="G438" s="6" t="e">
        <f t="shared" si="7"/>
        <v>#DIV/0!</v>
      </c>
      <c r="H438" s="5"/>
      <c r="I438" s="6">
        <f>D438/(VLOOKUP(B438,'[1]2021 Team'!$B$2:$G$33,3,FALSE))</f>
        <v>0</v>
      </c>
    </row>
    <row r="439" spans="1:9" x14ac:dyDescent="0.25">
      <c r="A439" s="5" t="s">
        <v>2607</v>
      </c>
      <c r="B439" s="5" t="s">
        <v>54</v>
      </c>
      <c r="C439" s="5" t="s">
        <v>980</v>
      </c>
      <c r="D439" s="5">
        <v>0</v>
      </c>
      <c r="E439" s="5">
        <v>0</v>
      </c>
      <c r="F439" s="5">
        <v>0</v>
      </c>
      <c r="G439" s="6" t="e">
        <f t="shared" si="7"/>
        <v>#DIV/0!</v>
      </c>
      <c r="H439" s="5"/>
      <c r="I439" s="6">
        <f>D439/(VLOOKUP(B439,'[1]2021 Team'!$B$2:$G$33,3,FALSE))</f>
        <v>0</v>
      </c>
    </row>
    <row r="440" spans="1:9" x14ac:dyDescent="0.25">
      <c r="A440" s="5" t="s">
        <v>1789</v>
      </c>
      <c r="B440" s="5" t="s">
        <v>56</v>
      </c>
      <c r="C440" s="5" t="s">
        <v>163</v>
      </c>
      <c r="D440" s="5">
        <v>0</v>
      </c>
      <c r="E440" s="5">
        <v>0</v>
      </c>
      <c r="F440" s="5">
        <v>0</v>
      </c>
      <c r="G440" s="6" t="e">
        <f t="shared" si="7"/>
        <v>#DIV/0!</v>
      </c>
      <c r="H440" s="5"/>
      <c r="I440" s="6">
        <f>D440/(VLOOKUP(B440,'[1]2021 Team'!$B$2:$G$33,3,FALSE))</f>
        <v>0</v>
      </c>
    </row>
    <row r="441" spans="1:9" x14ac:dyDescent="0.25">
      <c r="A441" s="5" t="s">
        <v>2608</v>
      </c>
      <c r="B441" s="5" t="s">
        <v>30</v>
      </c>
      <c r="C441" s="5" t="s">
        <v>153</v>
      </c>
      <c r="D441" s="5">
        <v>0</v>
      </c>
      <c r="E441" s="5">
        <v>0</v>
      </c>
      <c r="F441" s="5">
        <v>0</v>
      </c>
      <c r="G441" s="6" t="e">
        <f t="shared" si="7"/>
        <v>#DIV/0!</v>
      </c>
      <c r="H441" s="5"/>
      <c r="I441" s="6">
        <f>D441/(VLOOKUP(B441,'[1]2021 Team'!$B$2:$G$33,3,FALSE))</f>
        <v>0</v>
      </c>
    </row>
    <row r="442" spans="1:9" x14ac:dyDescent="0.25">
      <c r="A442" s="5" t="s">
        <v>2609</v>
      </c>
      <c r="B442" s="5" t="s">
        <v>8</v>
      </c>
      <c r="C442" s="5" t="s">
        <v>153</v>
      </c>
      <c r="D442" s="5">
        <v>0</v>
      </c>
      <c r="E442" s="5">
        <v>0</v>
      </c>
      <c r="F442" s="5">
        <v>0</v>
      </c>
      <c r="G442" s="6" t="e">
        <f t="shared" si="7"/>
        <v>#DIV/0!</v>
      </c>
      <c r="H442" s="5"/>
      <c r="I442" s="6">
        <f>D442/(VLOOKUP(B442,'[1]2021 Team'!$B$2:$G$33,3,FALSE))</f>
        <v>0</v>
      </c>
    </row>
    <row r="443" spans="1:9" x14ac:dyDescent="0.25">
      <c r="A443" s="5" t="s">
        <v>2475</v>
      </c>
      <c r="B443" s="5" t="s">
        <v>10</v>
      </c>
      <c r="C443" s="5" t="s">
        <v>163</v>
      </c>
      <c r="D443" s="5">
        <v>0</v>
      </c>
      <c r="E443" s="5">
        <v>0</v>
      </c>
      <c r="F443" s="5">
        <v>0</v>
      </c>
      <c r="G443" s="6" t="e">
        <f t="shared" si="7"/>
        <v>#DIV/0!</v>
      </c>
      <c r="H443" s="5"/>
      <c r="I443" s="6">
        <f>D443/(VLOOKUP(B443,'[1]2021 Team'!$B$2:$G$33,3,FALSE))</f>
        <v>0</v>
      </c>
    </row>
    <row r="444" spans="1:9" x14ac:dyDescent="0.25">
      <c r="A444" s="5" t="s">
        <v>2476</v>
      </c>
      <c r="B444" s="5" t="s">
        <v>56</v>
      </c>
      <c r="C444" s="5" t="s">
        <v>163</v>
      </c>
      <c r="D444" s="5">
        <v>0</v>
      </c>
      <c r="E444" s="5">
        <v>0</v>
      </c>
      <c r="F444" s="5">
        <v>0</v>
      </c>
      <c r="G444" s="6" t="e">
        <f t="shared" si="7"/>
        <v>#DIV/0!</v>
      </c>
      <c r="H444" s="5"/>
      <c r="I444" s="6">
        <f>D444/(VLOOKUP(B444,'[1]2021 Team'!$B$2:$G$33,3,FALSE))</f>
        <v>0</v>
      </c>
    </row>
    <row r="445" spans="1:9" x14ac:dyDescent="0.25">
      <c r="A445" s="5" t="s">
        <v>2610</v>
      </c>
      <c r="B445" s="5" t="s">
        <v>32</v>
      </c>
      <c r="C445" s="5" t="s">
        <v>163</v>
      </c>
      <c r="D445" s="5">
        <v>0</v>
      </c>
      <c r="E445" s="5">
        <v>0</v>
      </c>
      <c r="F445" s="5">
        <v>0</v>
      </c>
      <c r="G445" s="6" t="e">
        <f t="shared" si="7"/>
        <v>#DIV/0!</v>
      </c>
      <c r="H445" s="5"/>
      <c r="I445" s="6">
        <f>D445/(VLOOKUP(B445,'[1]2021 Team'!$B$2:$G$33,3,FALSE))</f>
        <v>0</v>
      </c>
    </row>
    <row r="446" spans="1:9" x14ac:dyDescent="0.25">
      <c r="A446" s="5" t="s">
        <v>821</v>
      </c>
      <c r="B446" s="5" t="s">
        <v>14</v>
      </c>
      <c r="C446" s="5" t="s">
        <v>163</v>
      </c>
      <c r="D446" s="5">
        <v>0</v>
      </c>
      <c r="E446" s="5">
        <v>0</v>
      </c>
      <c r="F446" s="5">
        <v>0</v>
      </c>
      <c r="G446" s="6" t="e">
        <f t="shared" si="7"/>
        <v>#DIV/0!</v>
      </c>
      <c r="H446" s="5"/>
      <c r="I446" s="6">
        <f>D446/(VLOOKUP(B446,'[1]2021 Team'!$B$2:$G$33,3,FALSE))</f>
        <v>0</v>
      </c>
    </row>
    <row r="447" spans="1:9" x14ac:dyDescent="0.25">
      <c r="A447" s="5" t="s">
        <v>2477</v>
      </c>
      <c r="B447" s="5" t="s">
        <v>30</v>
      </c>
      <c r="C447" s="5" t="s">
        <v>153</v>
      </c>
      <c r="D447" s="5">
        <v>0</v>
      </c>
      <c r="E447" s="5">
        <v>0</v>
      </c>
      <c r="F447" s="5">
        <v>0</v>
      </c>
      <c r="G447" s="6" t="e">
        <f t="shared" si="7"/>
        <v>#DIV/0!</v>
      </c>
      <c r="H447" s="5"/>
      <c r="I447" s="6">
        <f>D447/(VLOOKUP(B447,'[1]2021 Team'!$B$2:$G$33,3,FALSE))</f>
        <v>0</v>
      </c>
    </row>
    <row r="448" spans="1:9" x14ac:dyDescent="0.25">
      <c r="A448" s="5" t="s">
        <v>2611</v>
      </c>
      <c r="B448" s="5" t="s">
        <v>14</v>
      </c>
      <c r="C448" s="5" t="s">
        <v>2184</v>
      </c>
      <c r="D448" s="5">
        <v>0</v>
      </c>
      <c r="E448" s="5">
        <v>0</v>
      </c>
      <c r="F448" s="5">
        <v>0</v>
      </c>
      <c r="G448" s="6" t="e">
        <f t="shared" si="7"/>
        <v>#DIV/0!</v>
      </c>
      <c r="H448" s="5"/>
      <c r="I448" s="6">
        <f>D448/(VLOOKUP(B448,'[1]2021 Team'!$B$2:$G$33,3,FALSE))</f>
        <v>0</v>
      </c>
    </row>
    <row r="449" spans="1:9" x14ac:dyDescent="0.25">
      <c r="A449" s="5" t="s">
        <v>2183</v>
      </c>
      <c r="B449" s="5" t="s">
        <v>28</v>
      </c>
      <c r="C449" s="5" t="s">
        <v>2184</v>
      </c>
      <c r="D449" s="5">
        <v>0</v>
      </c>
      <c r="E449" s="5">
        <v>0</v>
      </c>
      <c r="F449" s="5">
        <v>0</v>
      </c>
      <c r="G449" s="6" t="e">
        <f t="shared" si="7"/>
        <v>#DIV/0!</v>
      </c>
      <c r="H449" s="5"/>
      <c r="I449" s="6">
        <f>D449/(VLOOKUP(B449,'[1]2021 Team'!$B$2:$G$33,3,FALSE))</f>
        <v>0</v>
      </c>
    </row>
    <row r="450" spans="1:9" x14ac:dyDescent="0.25">
      <c r="A450" s="5" t="s">
        <v>791</v>
      </c>
      <c r="B450" s="5" t="s">
        <v>30</v>
      </c>
      <c r="C450" s="5" t="s">
        <v>153</v>
      </c>
      <c r="D450" s="5">
        <v>0</v>
      </c>
      <c r="E450" s="5">
        <v>0</v>
      </c>
      <c r="F450" s="5">
        <v>0</v>
      </c>
      <c r="G450" s="6" t="e">
        <f t="shared" si="7"/>
        <v>#DIV/0!</v>
      </c>
      <c r="H450" s="5"/>
      <c r="I450" s="6">
        <f>D450/(VLOOKUP(B450,'[1]2021 Team'!$B$2:$G$33,3,FALSE))</f>
        <v>0</v>
      </c>
    </row>
    <row r="451" spans="1:9" x14ac:dyDescent="0.25">
      <c r="A451" s="5" t="s">
        <v>965</v>
      </c>
      <c r="B451" s="5" t="s">
        <v>14</v>
      </c>
      <c r="C451" s="5" t="s">
        <v>163</v>
      </c>
      <c r="D451" s="5">
        <v>0</v>
      </c>
      <c r="E451" s="5">
        <v>0</v>
      </c>
      <c r="F451" s="5">
        <v>0</v>
      </c>
      <c r="G451" s="6" t="e">
        <f t="shared" si="7"/>
        <v>#DIV/0!</v>
      </c>
      <c r="H451" s="5"/>
      <c r="I451" s="6">
        <f>D451/(VLOOKUP(B451,'[1]2021 Team'!$B$2:$G$33,3,FALSE))</f>
        <v>0</v>
      </c>
    </row>
    <row r="452" spans="1:9" x14ac:dyDescent="0.25">
      <c r="A452" s="5" t="s">
        <v>917</v>
      </c>
      <c r="B452" s="5" t="s">
        <v>64</v>
      </c>
      <c r="C452" s="5" t="s">
        <v>153</v>
      </c>
      <c r="D452" s="5">
        <v>0</v>
      </c>
      <c r="E452" s="5">
        <v>0</v>
      </c>
      <c r="F452" s="5">
        <v>0</v>
      </c>
      <c r="G452" s="6" t="e">
        <f t="shared" si="7"/>
        <v>#DIV/0!</v>
      </c>
      <c r="H452" s="5"/>
      <c r="I452" s="6">
        <f>D452/(VLOOKUP(B452,'[1]2021 Team'!$B$2:$G$33,3,FALSE))</f>
        <v>0</v>
      </c>
    </row>
    <row r="453" spans="1:9" x14ac:dyDescent="0.25">
      <c r="A453" s="5" t="s">
        <v>2612</v>
      </c>
      <c r="B453" s="5" t="s">
        <v>34</v>
      </c>
      <c r="C453" s="5" t="s">
        <v>153</v>
      </c>
      <c r="D453" s="5">
        <v>0</v>
      </c>
      <c r="E453" s="5">
        <v>0</v>
      </c>
      <c r="F453" s="5">
        <v>0</v>
      </c>
      <c r="G453" s="6" t="e">
        <f t="shared" si="7"/>
        <v>#DIV/0!</v>
      </c>
      <c r="H453" s="5"/>
      <c r="I453" s="6">
        <f>D453/(VLOOKUP(B453,'[1]2021 Team'!$B$2:$G$33,3,FALSE))</f>
        <v>0</v>
      </c>
    </row>
    <row r="454" spans="1:9" x14ac:dyDescent="0.25">
      <c r="A454" s="5" t="s">
        <v>870</v>
      </c>
      <c r="B454" s="5" t="s">
        <v>62</v>
      </c>
      <c r="C454" s="5" t="s">
        <v>153</v>
      </c>
      <c r="D454" s="5">
        <v>0</v>
      </c>
      <c r="E454" s="5">
        <v>0</v>
      </c>
      <c r="F454" s="5">
        <v>0</v>
      </c>
      <c r="G454" s="6" t="e">
        <f t="shared" si="7"/>
        <v>#DIV/0!</v>
      </c>
      <c r="H454" s="5"/>
      <c r="I454" s="6">
        <f>D454/(VLOOKUP(B454,'[1]2021 Team'!$B$2:$G$33,3,FALSE))</f>
        <v>0</v>
      </c>
    </row>
    <row r="455" spans="1:9" x14ac:dyDescent="0.25">
      <c r="A455" s="5" t="s">
        <v>2479</v>
      </c>
      <c r="B455" s="5" t="s">
        <v>48</v>
      </c>
      <c r="C455" s="5" t="s">
        <v>153</v>
      </c>
      <c r="D455" s="5">
        <v>0</v>
      </c>
      <c r="E455" s="5">
        <v>0</v>
      </c>
      <c r="F455" s="5">
        <v>0</v>
      </c>
      <c r="G455" s="6" t="e">
        <f t="shared" si="7"/>
        <v>#DIV/0!</v>
      </c>
      <c r="H455" s="5"/>
      <c r="I455" s="6">
        <f>D455/(VLOOKUP(B455,'[1]2021 Team'!$B$2:$G$33,3,FALSE))</f>
        <v>0</v>
      </c>
    </row>
    <row r="456" spans="1:9" x14ac:dyDescent="0.25">
      <c r="A456" s="5" t="s">
        <v>1795</v>
      </c>
      <c r="B456" s="5" t="s">
        <v>16</v>
      </c>
      <c r="C456" s="5" t="s">
        <v>163</v>
      </c>
      <c r="D456" s="5">
        <v>0</v>
      </c>
      <c r="E456" s="5">
        <v>0</v>
      </c>
      <c r="F456" s="5">
        <v>0</v>
      </c>
      <c r="G456" s="6" t="e">
        <f t="shared" si="7"/>
        <v>#DIV/0!</v>
      </c>
      <c r="H456" s="5"/>
      <c r="I456" s="6">
        <f>D456/(VLOOKUP(B456,'[1]2021 Team'!$B$2:$G$33,3,FALSE))</f>
        <v>0</v>
      </c>
    </row>
    <row r="457" spans="1:9" x14ac:dyDescent="0.25">
      <c r="A457" s="5" t="s">
        <v>841</v>
      </c>
      <c r="B457" s="5" t="s">
        <v>26</v>
      </c>
      <c r="C457" s="5" t="s">
        <v>153</v>
      </c>
      <c r="D457" s="5">
        <v>0</v>
      </c>
      <c r="E457" s="5">
        <v>0</v>
      </c>
      <c r="F457" s="5">
        <v>0</v>
      </c>
      <c r="G457" s="6" t="e">
        <f t="shared" si="7"/>
        <v>#DIV/0!</v>
      </c>
      <c r="H457" s="5"/>
      <c r="I457" s="6">
        <f>D457/(VLOOKUP(B457,'[1]2021 Team'!$B$2:$G$33,3,FALSE))</f>
        <v>0</v>
      </c>
    </row>
    <row r="458" spans="1:9" x14ac:dyDescent="0.25">
      <c r="A458" s="5" t="s">
        <v>1016</v>
      </c>
      <c r="B458" s="5" t="s">
        <v>36</v>
      </c>
      <c r="C458" s="5" t="s">
        <v>153</v>
      </c>
      <c r="D458" s="5">
        <v>0</v>
      </c>
      <c r="E458" s="5">
        <v>0</v>
      </c>
      <c r="F458" s="5">
        <v>0</v>
      </c>
      <c r="G458" s="6" t="e">
        <f t="shared" si="7"/>
        <v>#DIV/0!</v>
      </c>
      <c r="H458" s="5"/>
      <c r="I458" s="6">
        <f>D458/(VLOOKUP(B458,'[1]2021 Team'!$B$2:$G$33,3,FALSE))</f>
        <v>0</v>
      </c>
    </row>
    <row r="459" spans="1:9" x14ac:dyDescent="0.25">
      <c r="A459" s="5" t="s">
        <v>2613</v>
      </c>
      <c r="B459" s="5" t="s">
        <v>28</v>
      </c>
      <c r="C459" s="5" t="s">
        <v>153</v>
      </c>
      <c r="D459" s="5">
        <v>0</v>
      </c>
      <c r="E459" s="5">
        <v>0</v>
      </c>
      <c r="F459" s="5">
        <v>0</v>
      </c>
      <c r="G459" s="6" t="e">
        <f t="shared" si="7"/>
        <v>#DIV/0!</v>
      </c>
      <c r="H459" s="5"/>
      <c r="I459" s="6">
        <f>D459/(VLOOKUP(B459,'[1]2021 Team'!$B$2:$G$33,3,FALSE))</f>
        <v>0</v>
      </c>
    </row>
    <row r="460" spans="1:9" x14ac:dyDescent="0.25">
      <c r="A460" s="5" t="s">
        <v>871</v>
      </c>
      <c r="B460" s="5" t="s">
        <v>68</v>
      </c>
      <c r="C460" s="5" t="s">
        <v>613</v>
      </c>
      <c r="D460" s="5">
        <v>0</v>
      </c>
      <c r="E460" s="5">
        <v>0</v>
      </c>
      <c r="F460" s="5">
        <v>0</v>
      </c>
      <c r="G460" s="6" t="e">
        <f t="shared" si="7"/>
        <v>#DIV/0!</v>
      </c>
      <c r="H460" s="5"/>
      <c r="I460" s="6">
        <f>D460/(VLOOKUP(B460,'[1]2021 Team'!$B$2:$G$33,3,FALSE))</f>
        <v>0</v>
      </c>
    </row>
    <row r="461" spans="1:9" x14ac:dyDescent="0.25">
      <c r="A461" s="5" t="s">
        <v>2614</v>
      </c>
      <c r="B461" s="5" t="s">
        <v>68</v>
      </c>
      <c r="C461" s="5" t="s">
        <v>163</v>
      </c>
      <c r="D461" s="5">
        <v>0</v>
      </c>
      <c r="E461" s="5">
        <v>0</v>
      </c>
      <c r="F461" s="5">
        <v>0</v>
      </c>
      <c r="G461" s="6" t="e">
        <f t="shared" si="7"/>
        <v>#DIV/0!</v>
      </c>
      <c r="H461" s="5"/>
      <c r="I461" s="6">
        <f>D461/(VLOOKUP(B461,'[1]2021 Team'!$B$2:$G$33,3,FALSE))</f>
        <v>0</v>
      </c>
    </row>
    <row r="462" spans="1:9" x14ac:dyDescent="0.25">
      <c r="A462" s="5" t="s">
        <v>2615</v>
      </c>
      <c r="B462" s="5" t="s">
        <v>46</v>
      </c>
      <c r="C462" s="5" t="s">
        <v>163</v>
      </c>
      <c r="D462" s="5">
        <v>0</v>
      </c>
      <c r="E462" s="5">
        <v>0</v>
      </c>
      <c r="F462" s="5">
        <v>0</v>
      </c>
      <c r="G462" s="6" t="e">
        <f t="shared" si="7"/>
        <v>#DIV/0!</v>
      </c>
      <c r="H462" s="5"/>
      <c r="I462" s="6">
        <f>D462/(VLOOKUP(B462,'[1]2021 Team'!$B$2:$G$33,3,FALSE))</f>
        <v>0</v>
      </c>
    </row>
    <row r="463" spans="1:9" x14ac:dyDescent="0.25">
      <c r="A463" s="5" t="s">
        <v>2186</v>
      </c>
      <c r="B463" s="5" t="s">
        <v>38</v>
      </c>
      <c r="C463" s="5" t="s">
        <v>153</v>
      </c>
      <c r="D463" s="5">
        <v>0</v>
      </c>
      <c r="E463" s="5">
        <v>0</v>
      </c>
      <c r="F463" s="5">
        <v>0</v>
      </c>
      <c r="G463" s="6" t="e">
        <f t="shared" si="7"/>
        <v>#DIV/0!</v>
      </c>
      <c r="H463" s="5"/>
      <c r="I463" s="6">
        <f>D463/(VLOOKUP(B463,'[1]2021 Team'!$B$2:$G$33,3,FALSE))</f>
        <v>0</v>
      </c>
    </row>
    <row r="464" spans="1:9" x14ac:dyDescent="0.25">
      <c r="A464" s="5" t="s">
        <v>1000</v>
      </c>
      <c r="B464" s="5" t="s">
        <v>60</v>
      </c>
      <c r="C464" s="5" t="s">
        <v>153</v>
      </c>
      <c r="D464" s="5">
        <v>0</v>
      </c>
      <c r="E464" s="5">
        <v>0</v>
      </c>
      <c r="F464" s="5">
        <v>0</v>
      </c>
      <c r="G464" s="6" t="e">
        <f t="shared" si="7"/>
        <v>#DIV/0!</v>
      </c>
      <c r="H464" s="5"/>
      <c r="I464" s="6">
        <f>D464/(VLOOKUP(B464,'[1]2021 Team'!$B$2:$G$33,3,FALSE))</f>
        <v>0</v>
      </c>
    </row>
    <row r="465" spans="1:9" x14ac:dyDescent="0.25">
      <c r="A465" s="5" t="s">
        <v>2616</v>
      </c>
      <c r="B465" s="5" t="s">
        <v>46</v>
      </c>
      <c r="C465" s="5" t="s">
        <v>163</v>
      </c>
      <c r="D465" s="5">
        <v>0</v>
      </c>
      <c r="E465" s="5">
        <v>0</v>
      </c>
      <c r="F465" s="5">
        <v>0</v>
      </c>
      <c r="G465" s="6" t="e">
        <f t="shared" si="7"/>
        <v>#DIV/0!</v>
      </c>
      <c r="H465" s="5"/>
      <c r="I465" s="6">
        <f>D465/(VLOOKUP(B465,'[1]2021 Team'!$B$2:$G$33,3,FALSE))</f>
        <v>0</v>
      </c>
    </row>
    <row r="466" spans="1:9" x14ac:dyDescent="0.25">
      <c r="A466" s="5" t="s">
        <v>2481</v>
      </c>
      <c r="B466" s="5" t="s">
        <v>10</v>
      </c>
      <c r="C466" s="5" t="s">
        <v>163</v>
      </c>
      <c r="D466" s="5">
        <v>0</v>
      </c>
      <c r="E466" s="5">
        <v>0</v>
      </c>
      <c r="F466" s="5">
        <v>0</v>
      </c>
      <c r="G466" s="6" t="e">
        <f t="shared" si="7"/>
        <v>#DIV/0!</v>
      </c>
      <c r="H466" s="5"/>
      <c r="I466" s="6">
        <f>D466/(VLOOKUP(B466,'[1]2021 Team'!$B$2:$G$33,3,FALSE))</f>
        <v>0</v>
      </c>
    </row>
    <row r="467" spans="1:9" x14ac:dyDescent="0.25">
      <c r="A467" s="5" t="s">
        <v>1798</v>
      </c>
      <c r="B467" s="5" t="s">
        <v>24</v>
      </c>
      <c r="C467" s="5" t="s">
        <v>163</v>
      </c>
      <c r="D467" s="5">
        <v>0</v>
      </c>
      <c r="E467" s="5">
        <v>0</v>
      </c>
      <c r="F467" s="5">
        <v>0</v>
      </c>
      <c r="G467" s="6" t="e">
        <f t="shared" si="7"/>
        <v>#DIV/0!</v>
      </c>
      <c r="H467" s="5"/>
      <c r="I467" s="6">
        <f>D467/(VLOOKUP(B467,'[1]2021 Team'!$B$2:$G$33,3,FALSE))</f>
        <v>0</v>
      </c>
    </row>
    <row r="468" spans="1:9" x14ac:dyDescent="0.25">
      <c r="A468" s="5" t="s">
        <v>2483</v>
      </c>
      <c r="B468" s="5" t="s">
        <v>60</v>
      </c>
      <c r="C468" s="5" t="s">
        <v>153</v>
      </c>
      <c r="D468" s="5">
        <v>0</v>
      </c>
      <c r="E468" s="5">
        <v>0</v>
      </c>
      <c r="F468" s="5">
        <v>0</v>
      </c>
      <c r="G468" s="6" t="e">
        <f t="shared" si="7"/>
        <v>#DIV/0!</v>
      </c>
      <c r="H468" s="5"/>
      <c r="I468" s="6">
        <f>D468/(VLOOKUP(B468,'[1]2021 Team'!$B$2:$G$33,3,FALSE))</f>
        <v>0</v>
      </c>
    </row>
    <row r="469" spans="1:9" x14ac:dyDescent="0.25">
      <c r="A469" s="5" t="s">
        <v>844</v>
      </c>
      <c r="B469" s="5" t="s">
        <v>46</v>
      </c>
      <c r="C469" s="5" t="s">
        <v>153</v>
      </c>
      <c r="D469" s="5">
        <v>0</v>
      </c>
      <c r="E469" s="5">
        <v>0</v>
      </c>
      <c r="F469" s="5">
        <v>0</v>
      </c>
      <c r="G469" s="6" t="e">
        <f t="shared" si="7"/>
        <v>#DIV/0!</v>
      </c>
      <c r="H469" s="5"/>
      <c r="I469" s="6">
        <f>D469/(VLOOKUP(B469,'[1]2021 Team'!$B$2:$G$33,3,FALSE))</f>
        <v>0</v>
      </c>
    </row>
    <row r="470" spans="1:9" x14ac:dyDescent="0.25">
      <c r="A470" s="5" t="s">
        <v>994</v>
      </c>
      <c r="B470" s="5" t="s">
        <v>58</v>
      </c>
      <c r="C470" s="5" t="s">
        <v>153</v>
      </c>
      <c r="D470" s="5">
        <v>0</v>
      </c>
      <c r="E470" s="5">
        <v>0</v>
      </c>
      <c r="F470" s="5">
        <v>0</v>
      </c>
      <c r="G470" s="6" t="e">
        <f t="shared" si="7"/>
        <v>#DIV/0!</v>
      </c>
      <c r="H470" s="5"/>
      <c r="I470" s="6">
        <f>D470/(VLOOKUP(B470,'[1]2021 Team'!$B$2:$G$33,3,FALSE))</f>
        <v>0</v>
      </c>
    </row>
    <row r="471" spans="1:9" x14ac:dyDescent="0.25">
      <c r="A471" s="5" t="s">
        <v>2485</v>
      </c>
      <c r="B471" s="5" t="s">
        <v>54</v>
      </c>
      <c r="C471" s="5" t="s">
        <v>163</v>
      </c>
      <c r="D471" s="5">
        <v>0</v>
      </c>
      <c r="E471" s="5">
        <v>0</v>
      </c>
      <c r="F471" s="5">
        <v>0</v>
      </c>
      <c r="G471" s="6" t="e">
        <f t="shared" si="7"/>
        <v>#DIV/0!</v>
      </c>
      <c r="H471" s="5"/>
      <c r="I471" s="6">
        <f>D471/(VLOOKUP(B471,'[1]2021 Team'!$B$2:$G$33,3,FALSE))</f>
        <v>0</v>
      </c>
    </row>
    <row r="472" spans="1:9" x14ac:dyDescent="0.25">
      <c r="A472" s="5" t="s">
        <v>2486</v>
      </c>
      <c r="B472" s="5" t="s">
        <v>38</v>
      </c>
      <c r="C472" s="5" t="s">
        <v>163</v>
      </c>
      <c r="D472" s="5">
        <v>0</v>
      </c>
      <c r="E472" s="5">
        <v>0</v>
      </c>
      <c r="F472" s="5">
        <v>0</v>
      </c>
      <c r="G472" s="6" t="e">
        <f t="shared" si="7"/>
        <v>#DIV/0!</v>
      </c>
      <c r="H472" s="5"/>
      <c r="I472" s="6">
        <f>D472/(VLOOKUP(B472,'[1]2021 Team'!$B$2:$G$33,3,FALSE))</f>
        <v>0</v>
      </c>
    </row>
    <row r="473" spans="1:9" x14ac:dyDescent="0.25">
      <c r="A473" s="5" t="s">
        <v>1799</v>
      </c>
      <c r="B473" s="5" t="s">
        <v>18</v>
      </c>
      <c r="C473" s="5" t="s">
        <v>153</v>
      </c>
      <c r="D473" s="5">
        <v>0</v>
      </c>
      <c r="E473" s="5">
        <v>0</v>
      </c>
      <c r="F473" s="5">
        <v>0</v>
      </c>
      <c r="G473" s="6" t="e">
        <f t="shared" si="7"/>
        <v>#DIV/0!</v>
      </c>
      <c r="H473" s="5"/>
      <c r="I473" s="6">
        <f>D473/(VLOOKUP(B473,'[1]2021 Team'!$B$2:$G$33,3,FALSE))</f>
        <v>0</v>
      </c>
    </row>
    <row r="474" spans="1:9" x14ac:dyDescent="0.25">
      <c r="A474" s="5" t="s">
        <v>995</v>
      </c>
      <c r="B474" s="5" t="s">
        <v>34</v>
      </c>
      <c r="C474" s="5" t="s">
        <v>153</v>
      </c>
      <c r="D474" s="5">
        <v>0</v>
      </c>
      <c r="E474" s="5">
        <v>0</v>
      </c>
      <c r="F474" s="5">
        <v>0</v>
      </c>
      <c r="G474" s="6" t="e">
        <f t="shared" si="7"/>
        <v>#DIV/0!</v>
      </c>
      <c r="H474" s="5"/>
      <c r="I474" s="6">
        <f>D474/(VLOOKUP(B474,'[1]2021 Team'!$B$2:$G$33,3,FALSE))</f>
        <v>0</v>
      </c>
    </row>
    <row r="475" spans="1:9" x14ac:dyDescent="0.25">
      <c r="A475" s="5" t="s">
        <v>909</v>
      </c>
      <c r="B475" s="5" t="s">
        <v>38</v>
      </c>
      <c r="C475" s="5" t="s">
        <v>153</v>
      </c>
      <c r="D475" s="5">
        <v>0</v>
      </c>
      <c r="E475" s="5">
        <v>0</v>
      </c>
      <c r="F475" s="5">
        <v>0</v>
      </c>
      <c r="G475" s="6" t="e">
        <f t="shared" si="7"/>
        <v>#DIV/0!</v>
      </c>
      <c r="H475" s="5"/>
      <c r="I475" s="6">
        <f>D475/(VLOOKUP(B475,'[1]2021 Team'!$B$2:$G$33,3,FALSE))</f>
        <v>0</v>
      </c>
    </row>
    <row r="476" spans="1:9" x14ac:dyDescent="0.25">
      <c r="A476" s="5" t="s">
        <v>2487</v>
      </c>
      <c r="B476" s="5" t="s">
        <v>8</v>
      </c>
      <c r="C476" s="5" t="s">
        <v>163</v>
      </c>
      <c r="D476" s="5">
        <v>0</v>
      </c>
      <c r="E476" s="5">
        <v>0</v>
      </c>
      <c r="F476" s="5">
        <v>0</v>
      </c>
      <c r="G476" s="6" t="e">
        <f t="shared" si="7"/>
        <v>#DIV/0!</v>
      </c>
      <c r="H476" s="5"/>
      <c r="I476" s="6">
        <f>D476/(VLOOKUP(B476,'[1]2021 Team'!$B$2:$G$33,3,FALSE))</f>
        <v>0</v>
      </c>
    </row>
    <row r="477" spans="1:9" x14ac:dyDescent="0.25">
      <c r="A477" s="5" t="s">
        <v>2617</v>
      </c>
      <c r="B477" s="5" t="s">
        <v>52</v>
      </c>
      <c r="C477" s="5" t="s">
        <v>153</v>
      </c>
      <c r="D477" s="5">
        <v>0</v>
      </c>
      <c r="E477" s="5">
        <v>0</v>
      </c>
      <c r="F477" s="5">
        <v>0</v>
      </c>
      <c r="G477" s="6" t="e">
        <f t="shared" si="7"/>
        <v>#DIV/0!</v>
      </c>
      <c r="H477" s="5"/>
      <c r="I477" s="6">
        <f>D477/(VLOOKUP(B477,'[1]2021 Team'!$B$2:$G$33,3,FALSE))</f>
        <v>0</v>
      </c>
    </row>
    <row r="478" spans="1:9" x14ac:dyDescent="0.25">
      <c r="A478" s="5" t="s">
        <v>2488</v>
      </c>
      <c r="B478" s="5" t="s">
        <v>56</v>
      </c>
      <c r="C478" s="5" t="s">
        <v>153</v>
      </c>
      <c r="D478" s="5">
        <v>0</v>
      </c>
      <c r="E478" s="5">
        <v>0</v>
      </c>
      <c r="F478" s="5">
        <v>0</v>
      </c>
      <c r="G478" s="6" t="e">
        <f t="shared" si="7"/>
        <v>#DIV/0!</v>
      </c>
      <c r="H478" s="5"/>
      <c r="I478" s="6">
        <f>D478/(VLOOKUP(B478,'[1]2021 Team'!$B$2:$G$33,3,FALSE))</f>
        <v>0</v>
      </c>
    </row>
    <row r="479" spans="1:9" x14ac:dyDescent="0.25">
      <c r="A479" s="5" t="s">
        <v>2618</v>
      </c>
      <c r="B479" s="5" t="s">
        <v>66</v>
      </c>
      <c r="C479" s="5" t="s">
        <v>153</v>
      </c>
      <c r="D479" s="5">
        <v>0</v>
      </c>
      <c r="E479" s="5">
        <v>0</v>
      </c>
      <c r="F479" s="5">
        <v>0</v>
      </c>
      <c r="G479" s="6" t="e">
        <f t="shared" si="7"/>
        <v>#DIV/0!</v>
      </c>
      <c r="H479" s="5"/>
      <c r="I479" s="6">
        <f>D479/(VLOOKUP(B479,'[1]2021 Team'!$B$2:$G$33,3,FALSE))</f>
        <v>0</v>
      </c>
    </row>
    <row r="480" spans="1:9" x14ac:dyDescent="0.25">
      <c r="A480" s="5" t="s">
        <v>2619</v>
      </c>
      <c r="B480" s="5" t="s">
        <v>10</v>
      </c>
      <c r="C480" s="5" t="s">
        <v>163</v>
      </c>
      <c r="D480" s="5">
        <v>0</v>
      </c>
      <c r="E480" s="5">
        <v>0</v>
      </c>
      <c r="F480" s="5">
        <v>0</v>
      </c>
      <c r="G480" s="6" t="e">
        <f t="shared" si="7"/>
        <v>#DIV/0!</v>
      </c>
      <c r="H480" s="5"/>
      <c r="I480" s="6">
        <f>D480/(VLOOKUP(B480,'[1]2021 Team'!$B$2:$G$33,3,FALSE))</f>
        <v>0</v>
      </c>
    </row>
    <row r="481" spans="1:9" x14ac:dyDescent="0.25">
      <c r="A481" s="5" t="s">
        <v>2440</v>
      </c>
      <c r="B481" s="5" t="s">
        <v>26</v>
      </c>
      <c r="C481" s="5" t="s">
        <v>163</v>
      </c>
      <c r="D481" s="5">
        <v>0</v>
      </c>
      <c r="E481" s="5">
        <v>0</v>
      </c>
      <c r="F481" s="5">
        <v>0</v>
      </c>
      <c r="G481" s="6" t="e">
        <f t="shared" si="7"/>
        <v>#DIV/0!</v>
      </c>
      <c r="H481" s="5"/>
      <c r="I481" s="6">
        <f>D481/(VLOOKUP(B481,'[1]2021 Team'!$B$2:$G$33,3,FALSE))</f>
        <v>0</v>
      </c>
    </row>
    <row r="482" spans="1:9" x14ac:dyDescent="0.25">
      <c r="A482" s="5" t="s">
        <v>2620</v>
      </c>
      <c r="B482" s="5" t="s">
        <v>8</v>
      </c>
      <c r="C482" s="5" t="s">
        <v>153</v>
      </c>
      <c r="D482" s="5">
        <v>0</v>
      </c>
      <c r="E482" s="5">
        <v>0</v>
      </c>
      <c r="F482" s="5">
        <v>0</v>
      </c>
      <c r="G482" s="6" t="e">
        <f t="shared" si="7"/>
        <v>#DIV/0!</v>
      </c>
      <c r="H482" s="5"/>
      <c r="I482" s="6">
        <f>D482/(VLOOKUP(B482,'[1]2021 Team'!$B$2:$G$33,3,FALSE))</f>
        <v>0</v>
      </c>
    </row>
    <row r="483" spans="1:9" x14ac:dyDescent="0.25">
      <c r="A483" s="5" t="s">
        <v>2492</v>
      </c>
      <c r="B483" s="5" t="s">
        <v>50</v>
      </c>
      <c r="C483" s="5" t="s">
        <v>163</v>
      </c>
      <c r="D483" s="5">
        <v>0</v>
      </c>
      <c r="E483" s="5">
        <v>0</v>
      </c>
      <c r="F483" s="5">
        <v>0</v>
      </c>
      <c r="G483" s="6" t="e">
        <f t="shared" si="7"/>
        <v>#DIV/0!</v>
      </c>
      <c r="H483" s="5"/>
      <c r="I483" s="6">
        <f>D483/(VLOOKUP(B483,'[1]2021 Team'!$B$2:$G$33,3,FALSE))</f>
        <v>0</v>
      </c>
    </row>
    <row r="484" spans="1:9" x14ac:dyDescent="0.25">
      <c r="A484" s="5" t="s">
        <v>2493</v>
      </c>
      <c r="B484" s="5" t="s">
        <v>64</v>
      </c>
      <c r="C484" s="5" t="s">
        <v>163</v>
      </c>
      <c r="D484" s="5">
        <v>0</v>
      </c>
      <c r="E484" s="5">
        <v>0</v>
      </c>
      <c r="F484" s="5">
        <v>0</v>
      </c>
      <c r="G484" s="6" t="e">
        <f t="shared" si="7"/>
        <v>#DIV/0!</v>
      </c>
      <c r="H484" s="5"/>
      <c r="I484" s="6">
        <f>D484/(VLOOKUP(B484,'[1]2021 Team'!$B$2:$G$33,3,FALSE))</f>
        <v>0</v>
      </c>
    </row>
    <row r="485" spans="1:9" x14ac:dyDescent="0.25">
      <c r="A485" s="5" t="s">
        <v>2621</v>
      </c>
      <c r="B485" s="5" t="s">
        <v>40</v>
      </c>
      <c r="C485" s="5" t="s">
        <v>153</v>
      </c>
      <c r="D485" s="5">
        <v>0</v>
      </c>
      <c r="E485" s="5">
        <v>0</v>
      </c>
      <c r="F485" s="5">
        <v>0</v>
      </c>
      <c r="G485" s="6" t="e">
        <f t="shared" si="7"/>
        <v>#DIV/0!</v>
      </c>
      <c r="H485" s="5"/>
      <c r="I485" s="6">
        <f>D485/(VLOOKUP(B485,'[1]2021 Team'!$B$2:$G$33,3,FALSE))</f>
        <v>0</v>
      </c>
    </row>
    <row r="486" spans="1:9" x14ac:dyDescent="0.25">
      <c r="A486" s="5" t="s">
        <v>966</v>
      </c>
      <c r="B486" s="5" t="s">
        <v>50</v>
      </c>
      <c r="C486" s="5" t="s">
        <v>153</v>
      </c>
      <c r="D486" s="5">
        <v>0</v>
      </c>
      <c r="E486" s="5">
        <v>0</v>
      </c>
      <c r="F486" s="5">
        <v>0</v>
      </c>
      <c r="G486" s="6" t="e">
        <f t="shared" si="7"/>
        <v>#DIV/0!</v>
      </c>
      <c r="H486" s="5"/>
      <c r="I486" s="6">
        <f>D486/(VLOOKUP(B486,'[1]2021 Team'!$B$2:$G$33,3,FALSE))</f>
        <v>0</v>
      </c>
    </row>
    <row r="487" spans="1:9" x14ac:dyDescent="0.25">
      <c r="A487" s="5" t="s">
        <v>2622</v>
      </c>
      <c r="B487" s="5" t="s">
        <v>48</v>
      </c>
      <c r="C487" s="5" t="s">
        <v>613</v>
      </c>
      <c r="D487" s="5">
        <v>0</v>
      </c>
      <c r="E487" s="5">
        <v>0</v>
      </c>
      <c r="F487" s="5">
        <v>0</v>
      </c>
      <c r="G487" s="6" t="e">
        <f t="shared" si="7"/>
        <v>#DIV/0!</v>
      </c>
      <c r="H487" s="5"/>
      <c r="I487" s="6">
        <f>D487/(VLOOKUP(B487,'[1]2021 Team'!$B$2:$G$33,3,FALSE))</f>
        <v>0</v>
      </c>
    </row>
    <row r="488" spans="1:9" x14ac:dyDescent="0.25">
      <c r="A488" s="5" t="s">
        <v>2494</v>
      </c>
      <c r="B488" s="5" t="s">
        <v>10</v>
      </c>
      <c r="C488" s="5" t="s">
        <v>2623</v>
      </c>
      <c r="D488" s="5">
        <v>0</v>
      </c>
      <c r="E488" s="5">
        <v>0</v>
      </c>
      <c r="F488" s="5">
        <v>0</v>
      </c>
      <c r="G488" s="6" t="e">
        <f t="shared" si="7"/>
        <v>#DIV/0!</v>
      </c>
      <c r="H488" s="5"/>
      <c r="I488" s="6">
        <f>D488/(VLOOKUP(B488,'[1]2021 Team'!$B$2:$G$33,3,FALSE))</f>
        <v>0</v>
      </c>
    </row>
    <row r="489" spans="1:9" x14ac:dyDescent="0.25">
      <c r="A489" s="5" t="s">
        <v>927</v>
      </c>
      <c r="B489" s="5" t="s">
        <v>44</v>
      </c>
      <c r="C489" s="5" t="s">
        <v>153</v>
      </c>
      <c r="D489" s="5">
        <v>0</v>
      </c>
      <c r="E489" s="5">
        <v>0</v>
      </c>
      <c r="F489" s="5">
        <v>0</v>
      </c>
      <c r="G489" s="6" t="e">
        <f t="shared" si="7"/>
        <v>#DIV/0!</v>
      </c>
      <c r="H489" s="5"/>
      <c r="I489" s="6">
        <f>D489/(VLOOKUP(B489,'[1]2021 Team'!$B$2:$G$33,3,FALSE))</f>
        <v>0</v>
      </c>
    </row>
    <row r="490" spans="1:9" x14ac:dyDescent="0.25">
      <c r="A490" s="5" t="s">
        <v>2624</v>
      </c>
      <c r="B490" s="5" t="s">
        <v>22</v>
      </c>
      <c r="C490" s="5" t="s">
        <v>163</v>
      </c>
      <c r="D490" s="5">
        <v>0</v>
      </c>
      <c r="E490" s="5">
        <v>0</v>
      </c>
      <c r="F490" s="5">
        <v>0</v>
      </c>
      <c r="G490" s="6" t="e">
        <f t="shared" si="7"/>
        <v>#DIV/0!</v>
      </c>
      <c r="H490" s="5"/>
      <c r="I490" s="6">
        <f>D490/(VLOOKUP(B490,'[1]2021 Team'!$B$2:$G$33,3,FALSE))</f>
        <v>0</v>
      </c>
    </row>
    <row r="491" spans="1:9" x14ac:dyDescent="0.25">
      <c r="A491" s="5" t="s">
        <v>846</v>
      </c>
      <c r="B491" s="5" t="s">
        <v>20</v>
      </c>
      <c r="C491" s="5" t="s">
        <v>163</v>
      </c>
      <c r="D491" s="5">
        <v>0</v>
      </c>
      <c r="E491" s="5">
        <v>0</v>
      </c>
      <c r="F491" s="5">
        <v>0</v>
      </c>
      <c r="G491" s="6" t="e">
        <f t="shared" si="7"/>
        <v>#DIV/0!</v>
      </c>
      <c r="H491" s="5"/>
      <c r="I491" s="6">
        <f>D491/(VLOOKUP(B491,'[1]2021 Team'!$B$2:$G$33,3,FALSE))</f>
        <v>0</v>
      </c>
    </row>
    <row r="492" spans="1:9" x14ac:dyDescent="0.25">
      <c r="A492" s="5" t="s">
        <v>2625</v>
      </c>
      <c r="B492" s="5" t="s">
        <v>42</v>
      </c>
      <c r="C492" s="5" t="s">
        <v>647</v>
      </c>
      <c r="D492" s="5">
        <v>0</v>
      </c>
      <c r="E492" s="5">
        <v>0</v>
      </c>
      <c r="F492" s="5">
        <v>0</v>
      </c>
      <c r="G492" s="6" t="e">
        <f t="shared" si="7"/>
        <v>#DIV/0!</v>
      </c>
      <c r="H492" s="5"/>
      <c r="I492" s="6">
        <f>D492/(VLOOKUP(B492,'[1]2021 Team'!$B$2:$G$33,3,FALSE))</f>
        <v>0</v>
      </c>
    </row>
    <row r="493" spans="1:9" x14ac:dyDescent="0.25">
      <c r="A493" s="5" t="s">
        <v>2495</v>
      </c>
      <c r="B493" s="5" t="s">
        <v>34</v>
      </c>
      <c r="C493" s="5" t="s">
        <v>163</v>
      </c>
      <c r="D493" s="5">
        <v>0</v>
      </c>
      <c r="E493" s="5">
        <v>0</v>
      </c>
      <c r="F493" s="5">
        <v>0</v>
      </c>
      <c r="G493" s="6" t="e">
        <f t="shared" si="7"/>
        <v>#DIV/0!</v>
      </c>
      <c r="H493" s="5"/>
      <c r="I493" s="6">
        <f>D493/(VLOOKUP(B493,'[1]2021 Team'!$B$2:$G$33,3,FALSE))</f>
        <v>0</v>
      </c>
    </row>
    <row r="494" spans="1:9" x14ac:dyDescent="0.25">
      <c r="A494" s="5" t="s">
        <v>2397</v>
      </c>
      <c r="B494" s="5" t="s">
        <v>26</v>
      </c>
      <c r="C494" s="5" t="s">
        <v>163</v>
      </c>
      <c r="D494" s="5">
        <v>0</v>
      </c>
      <c r="E494" s="5">
        <v>0</v>
      </c>
      <c r="F494" s="5">
        <v>0</v>
      </c>
      <c r="G494" s="6" t="e">
        <f t="shared" si="7"/>
        <v>#DIV/0!</v>
      </c>
      <c r="H494" s="5"/>
      <c r="I494" s="6">
        <f>D494/(VLOOKUP(B494,'[1]2021 Team'!$B$2:$G$33,3,FALSE))</f>
        <v>0</v>
      </c>
    </row>
    <row r="495" spans="1:9" x14ac:dyDescent="0.25">
      <c r="A495" s="5" t="s">
        <v>737</v>
      </c>
      <c r="B495" s="5" t="s">
        <v>28</v>
      </c>
      <c r="C495" s="5" t="s">
        <v>153</v>
      </c>
      <c r="D495" s="5">
        <v>0</v>
      </c>
      <c r="E495" s="5">
        <v>0</v>
      </c>
      <c r="F495" s="5">
        <v>0</v>
      </c>
      <c r="G495" s="6" t="e">
        <f t="shared" si="7"/>
        <v>#DIV/0!</v>
      </c>
      <c r="H495" s="5"/>
      <c r="I495" s="6">
        <f>D495/(VLOOKUP(B495,'[1]2021 Team'!$B$2:$G$33,3,FALSE))</f>
        <v>0</v>
      </c>
    </row>
    <row r="496" spans="1:9" x14ac:dyDescent="0.25">
      <c r="A496" s="5" t="s">
        <v>802</v>
      </c>
      <c r="B496" s="5" t="s">
        <v>28</v>
      </c>
      <c r="C496" s="5" t="s">
        <v>163</v>
      </c>
      <c r="D496" s="5">
        <v>0</v>
      </c>
      <c r="E496" s="5">
        <v>0</v>
      </c>
      <c r="F496" s="5">
        <v>0</v>
      </c>
      <c r="G496" s="6" t="e">
        <f t="shared" si="7"/>
        <v>#DIV/0!</v>
      </c>
      <c r="H496" s="5"/>
      <c r="I496" s="6">
        <f>D496/(VLOOKUP(B496,'[1]2021 Team'!$B$2:$G$33,3,FALSE))</f>
        <v>0</v>
      </c>
    </row>
    <row r="497" spans="1:9" x14ac:dyDescent="0.25">
      <c r="A497" s="5" t="s">
        <v>2626</v>
      </c>
      <c r="B497" s="5" t="s">
        <v>52</v>
      </c>
      <c r="C497" s="5" t="s">
        <v>163</v>
      </c>
      <c r="D497" s="5">
        <v>0</v>
      </c>
      <c r="E497" s="5">
        <v>0</v>
      </c>
      <c r="F497" s="5">
        <v>0</v>
      </c>
      <c r="G497" s="6" t="e">
        <f t="shared" ref="G497:G559" si="8">F497/D497</f>
        <v>#DIV/0!</v>
      </c>
      <c r="H497" s="5"/>
      <c r="I497" s="6">
        <f>D497/(VLOOKUP(B497,'[1]2021 Team'!$B$2:$G$33,3,FALSE))</f>
        <v>0</v>
      </c>
    </row>
    <row r="498" spans="1:9" x14ac:dyDescent="0.25">
      <c r="A498" s="5" t="s">
        <v>748</v>
      </c>
      <c r="B498" s="5" t="s">
        <v>46</v>
      </c>
      <c r="C498" s="5" t="s">
        <v>163</v>
      </c>
      <c r="D498" s="5">
        <v>0</v>
      </c>
      <c r="E498" s="5">
        <v>0</v>
      </c>
      <c r="F498" s="5">
        <v>0</v>
      </c>
      <c r="G498" s="6" t="e">
        <f t="shared" si="8"/>
        <v>#DIV/0!</v>
      </c>
      <c r="H498" s="5"/>
      <c r="I498" s="6">
        <f>D498/(VLOOKUP(B498,'[1]2021 Team'!$B$2:$G$33,3,FALSE))</f>
        <v>0</v>
      </c>
    </row>
    <row r="499" spans="1:9" x14ac:dyDescent="0.25">
      <c r="A499" s="5" t="s">
        <v>2496</v>
      </c>
      <c r="B499" s="5" t="s">
        <v>68</v>
      </c>
      <c r="C499" s="5" t="s">
        <v>163</v>
      </c>
      <c r="D499" s="5">
        <v>0</v>
      </c>
      <c r="E499" s="5">
        <v>0</v>
      </c>
      <c r="F499" s="5">
        <v>0</v>
      </c>
      <c r="G499" s="6" t="e">
        <f t="shared" si="8"/>
        <v>#DIV/0!</v>
      </c>
      <c r="H499" s="5"/>
      <c r="I499" s="6">
        <f>D499/(VLOOKUP(B499,'[1]2021 Team'!$B$2:$G$33,3,FALSE))</f>
        <v>0</v>
      </c>
    </row>
    <row r="500" spans="1:9" x14ac:dyDescent="0.25">
      <c r="A500" s="5" t="s">
        <v>2627</v>
      </c>
      <c r="B500" s="5" t="s">
        <v>36</v>
      </c>
      <c r="C500" s="5" t="s">
        <v>153</v>
      </c>
      <c r="D500" s="5">
        <v>0</v>
      </c>
      <c r="E500" s="5">
        <v>0</v>
      </c>
      <c r="F500" s="5">
        <v>0</v>
      </c>
      <c r="G500" s="6" t="e">
        <f t="shared" si="8"/>
        <v>#DIV/0!</v>
      </c>
      <c r="H500" s="5"/>
      <c r="I500" s="6">
        <f>D500/(VLOOKUP(B500,'[1]2021 Team'!$B$2:$G$33,3,FALSE))</f>
        <v>0</v>
      </c>
    </row>
    <row r="501" spans="1:9" x14ac:dyDescent="0.25">
      <c r="A501" s="5" t="s">
        <v>1749</v>
      </c>
      <c r="B501" s="5" t="s">
        <v>68</v>
      </c>
      <c r="C501" s="5" t="s">
        <v>2165</v>
      </c>
      <c r="D501" s="5">
        <v>0</v>
      </c>
      <c r="E501" s="5">
        <v>0</v>
      </c>
      <c r="F501" s="5">
        <v>0</v>
      </c>
      <c r="G501" s="6" t="e">
        <f t="shared" si="8"/>
        <v>#DIV/0!</v>
      </c>
      <c r="H501" s="5"/>
      <c r="I501" s="6">
        <f>D501/(VLOOKUP(B501,'[1]2021 Team'!$B$2:$G$33,3,FALSE))</f>
        <v>0</v>
      </c>
    </row>
    <row r="502" spans="1:9" x14ac:dyDescent="0.25">
      <c r="A502" s="5" t="s">
        <v>967</v>
      </c>
      <c r="B502" s="5" t="s">
        <v>22</v>
      </c>
      <c r="C502" s="5" t="s">
        <v>153</v>
      </c>
      <c r="D502" s="5">
        <v>0</v>
      </c>
      <c r="E502" s="5">
        <v>0</v>
      </c>
      <c r="F502" s="5">
        <v>0</v>
      </c>
      <c r="G502" s="6" t="e">
        <f t="shared" si="8"/>
        <v>#DIV/0!</v>
      </c>
      <c r="H502" s="5"/>
      <c r="I502" s="6">
        <f>D502/(VLOOKUP(B502,'[1]2021 Team'!$B$2:$G$33,3,FALSE))</f>
        <v>0</v>
      </c>
    </row>
    <row r="503" spans="1:9" x14ac:dyDescent="0.25">
      <c r="A503" s="5" t="s">
        <v>1804</v>
      </c>
      <c r="B503" s="5" t="s">
        <v>44</v>
      </c>
      <c r="C503" s="5" t="s">
        <v>153</v>
      </c>
      <c r="D503" s="5">
        <v>0</v>
      </c>
      <c r="E503" s="5">
        <v>0</v>
      </c>
      <c r="F503" s="5">
        <v>0</v>
      </c>
      <c r="G503" s="6" t="e">
        <f t="shared" si="8"/>
        <v>#DIV/0!</v>
      </c>
      <c r="H503" s="5"/>
      <c r="I503" s="6">
        <f>D503/(VLOOKUP(B503,'[1]2021 Team'!$B$2:$G$33,3,FALSE))</f>
        <v>0</v>
      </c>
    </row>
    <row r="504" spans="1:9" x14ac:dyDescent="0.25">
      <c r="A504" s="5" t="s">
        <v>813</v>
      </c>
      <c r="B504" s="5" t="s">
        <v>8</v>
      </c>
      <c r="C504" s="5" t="s">
        <v>163</v>
      </c>
      <c r="D504" s="5">
        <v>0</v>
      </c>
      <c r="E504" s="5">
        <v>0</v>
      </c>
      <c r="F504" s="5">
        <v>0</v>
      </c>
      <c r="G504" s="6" t="e">
        <f t="shared" si="8"/>
        <v>#DIV/0!</v>
      </c>
      <c r="H504" s="5"/>
      <c r="I504" s="6">
        <f>D504/(VLOOKUP(B504,'[1]2021 Team'!$B$2:$G$33,3,FALSE))</f>
        <v>0</v>
      </c>
    </row>
    <row r="505" spans="1:9" x14ac:dyDescent="0.25">
      <c r="A505" s="5" t="s">
        <v>1805</v>
      </c>
      <c r="B505" s="5" t="s">
        <v>18</v>
      </c>
      <c r="C505" s="5" t="s">
        <v>163</v>
      </c>
      <c r="D505" s="5">
        <v>0</v>
      </c>
      <c r="E505" s="5">
        <v>0</v>
      </c>
      <c r="F505" s="5">
        <v>0</v>
      </c>
      <c r="G505" s="6" t="e">
        <f t="shared" si="8"/>
        <v>#DIV/0!</v>
      </c>
      <c r="H505" s="5"/>
      <c r="I505" s="6">
        <f>D505/(VLOOKUP(B505,'[1]2021 Team'!$B$2:$G$33,3,FALSE))</f>
        <v>0</v>
      </c>
    </row>
    <row r="506" spans="1:9" x14ac:dyDescent="0.25">
      <c r="A506" s="5" t="s">
        <v>2498</v>
      </c>
      <c r="B506" s="5" t="s">
        <v>66</v>
      </c>
      <c r="C506" s="5" t="s">
        <v>153</v>
      </c>
      <c r="D506" s="5">
        <v>0</v>
      </c>
      <c r="E506" s="5">
        <v>0</v>
      </c>
      <c r="F506" s="5">
        <v>0</v>
      </c>
      <c r="G506" s="6" t="e">
        <f t="shared" si="8"/>
        <v>#DIV/0!</v>
      </c>
      <c r="H506" s="5"/>
      <c r="I506" s="6">
        <f>D506/(VLOOKUP(B506,'[1]2021 Team'!$B$2:$G$33,3,FALSE))</f>
        <v>0</v>
      </c>
    </row>
    <row r="507" spans="1:9" x14ac:dyDescent="0.25">
      <c r="A507" s="5" t="s">
        <v>2628</v>
      </c>
      <c r="B507" s="5" t="s">
        <v>68</v>
      </c>
      <c r="C507" s="5" t="s">
        <v>153</v>
      </c>
      <c r="D507" s="5">
        <v>0</v>
      </c>
      <c r="E507" s="5">
        <v>0</v>
      </c>
      <c r="F507" s="5">
        <v>0</v>
      </c>
      <c r="G507" s="6" t="e">
        <f t="shared" si="8"/>
        <v>#DIV/0!</v>
      </c>
      <c r="H507" s="5"/>
      <c r="I507" s="6">
        <f>D507/(VLOOKUP(B507,'[1]2021 Team'!$B$2:$G$33,3,FALSE))</f>
        <v>0</v>
      </c>
    </row>
    <row r="508" spans="1:9" x14ac:dyDescent="0.25">
      <c r="A508" s="5" t="s">
        <v>867</v>
      </c>
      <c r="B508" s="5" t="s">
        <v>52</v>
      </c>
      <c r="C508" s="5" t="s">
        <v>163</v>
      </c>
      <c r="D508" s="5">
        <v>0</v>
      </c>
      <c r="E508" s="5">
        <v>0</v>
      </c>
      <c r="F508" s="5">
        <v>0</v>
      </c>
      <c r="G508" s="6" t="e">
        <f t="shared" si="8"/>
        <v>#DIV/0!</v>
      </c>
      <c r="H508" s="5"/>
      <c r="I508" s="6">
        <f>D508/(VLOOKUP(B508,'[1]2021 Team'!$B$2:$G$33,3,FALSE))</f>
        <v>0</v>
      </c>
    </row>
    <row r="509" spans="1:9" x14ac:dyDescent="0.25">
      <c r="A509" s="5" t="s">
        <v>2629</v>
      </c>
      <c r="B509" s="5" t="s">
        <v>70</v>
      </c>
      <c r="C509" s="5" t="s">
        <v>163</v>
      </c>
      <c r="D509" s="5">
        <v>0</v>
      </c>
      <c r="E509" s="5">
        <v>0</v>
      </c>
      <c r="F509" s="5">
        <v>0</v>
      </c>
      <c r="G509" s="6" t="e">
        <f t="shared" si="8"/>
        <v>#DIV/0!</v>
      </c>
      <c r="H509" s="5"/>
      <c r="I509" s="6">
        <f>D509/(VLOOKUP(B509,'[1]2021 Team'!$B$2:$G$33,3,FALSE))</f>
        <v>0</v>
      </c>
    </row>
    <row r="510" spans="1:9" x14ac:dyDescent="0.25">
      <c r="A510" s="5" t="s">
        <v>1806</v>
      </c>
      <c r="B510" s="5" t="s">
        <v>10</v>
      </c>
      <c r="C510" s="5" t="s">
        <v>153</v>
      </c>
      <c r="D510" s="5">
        <v>0</v>
      </c>
      <c r="E510" s="5">
        <v>0</v>
      </c>
      <c r="F510" s="5">
        <v>0</v>
      </c>
      <c r="G510" s="6" t="e">
        <f t="shared" si="8"/>
        <v>#DIV/0!</v>
      </c>
      <c r="H510" s="5"/>
      <c r="I510" s="6">
        <f>D510/(VLOOKUP(B510,'[1]2021 Team'!$B$2:$G$33,3,FALSE))</f>
        <v>0</v>
      </c>
    </row>
    <row r="511" spans="1:9" x14ac:dyDescent="0.25">
      <c r="A511" s="5" t="s">
        <v>1807</v>
      </c>
      <c r="B511" s="5" t="s">
        <v>20</v>
      </c>
      <c r="C511" s="5" t="s">
        <v>163</v>
      </c>
      <c r="D511" s="5">
        <v>0</v>
      </c>
      <c r="E511" s="5">
        <v>0</v>
      </c>
      <c r="F511" s="5">
        <v>0</v>
      </c>
      <c r="G511" s="6" t="e">
        <f t="shared" si="8"/>
        <v>#DIV/0!</v>
      </c>
      <c r="H511" s="5"/>
      <c r="I511" s="6">
        <f>D511/(VLOOKUP(B511,'[1]2021 Team'!$B$2:$G$33,3,FALSE))</f>
        <v>0</v>
      </c>
    </row>
    <row r="512" spans="1:9" x14ac:dyDescent="0.25">
      <c r="A512" s="5" t="s">
        <v>2454</v>
      </c>
      <c r="B512" s="5" t="s">
        <v>8</v>
      </c>
      <c r="C512" s="5" t="s">
        <v>163</v>
      </c>
      <c r="D512" s="5">
        <v>0</v>
      </c>
      <c r="E512" s="5">
        <v>0</v>
      </c>
      <c r="F512" s="5">
        <v>0</v>
      </c>
      <c r="G512" s="6" t="e">
        <f t="shared" si="8"/>
        <v>#DIV/0!</v>
      </c>
      <c r="H512" s="5"/>
      <c r="I512" s="6">
        <f>D512/(VLOOKUP(B512,'[1]2021 Team'!$B$2:$G$33,3,FALSE))</f>
        <v>0</v>
      </c>
    </row>
    <row r="513" spans="1:9" x14ac:dyDescent="0.25">
      <c r="A513" s="5" t="s">
        <v>2630</v>
      </c>
      <c r="B513" s="5" t="s">
        <v>58</v>
      </c>
      <c r="C513" s="5" t="s">
        <v>153</v>
      </c>
      <c r="D513" s="5">
        <v>0</v>
      </c>
      <c r="E513" s="5">
        <v>0</v>
      </c>
      <c r="F513" s="5">
        <v>0</v>
      </c>
      <c r="G513" s="6" t="e">
        <f t="shared" si="8"/>
        <v>#DIV/0!</v>
      </c>
      <c r="H513" s="5"/>
      <c r="I513" s="6">
        <f>D513/(VLOOKUP(B513,'[1]2021 Team'!$B$2:$G$33,3,FALSE))</f>
        <v>0</v>
      </c>
    </row>
    <row r="514" spans="1:9" x14ac:dyDescent="0.25">
      <c r="A514" s="5" t="s">
        <v>2631</v>
      </c>
      <c r="B514" s="5" t="s">
        <v>18</v>
      </c>
      <c r="C514" s="5" t="s">
        <v>153</v>
      </c>
      <c r="D514" s="5">
        <v>0</v>
      </c>
      <c r="E514" s="5">
        <v>0</v>
      </c>
      <c r="F514" s="5">
        <v>0</v>
      </c>
      <c r="G514" s="6" t="e">
        <f t="shared" si="8"/>
        <v>#DIV/0!</v>
      </c>
      <c r="H514" s="5"/>
      <c r="I514" s="6">
        <f>D514/(VLOOKUP(B514,'[1]2021 Team'!$B$2:$G$33,3,FALSE))</f>
        <v>0</v>
      </c>
    </row>
    <row r="515" spans="1:9" x14ac:dyDescent="0.25">
      <c r="A515" s="5" t="s">
        <v>2632</v>
      </c>
      <c r="B515" s="5" t="s">
        <v>24</v>
      </c>
      <c r="C515" s="5" t="s">
        <v>153</v>
      </c>
      <c r="D515" s="5">
        <v>0</v>
      </c>
      <c r="E515" s="5">
        <v>0</v>
      </c>
      <c r="F515" s="5">
        <v>0</v>
      </c>
      <c r="G515" s="6" t="e">
        <f t="shared" si="8"/>
        <v>#DIV/0!</v>
      </c>
      <c r="H515" s="5"/>
      <c r="I515" s="6">
        <f>D515/(VLOOKUP(B515,'[1]2021 Team'!$B$2:$G$33,3,FALSE))</f>
        <v>0</v>
      </c>
    </row>
    <row r="516" spans="1:9" x14ac:dyDescent="0.25">
      <c r="A516" s="5" t="s">
        <v>1017</v>
      </c>
      <c r="B516" s="5" t="s">
        <v>62</v>
      </c>
      <c r="C516" s="5" t="s">
        <v>163</v>
      </c>
      <c r="D516" s="5">
        <v>0</v>
      </c>
      <c r="E516" s="5">
        <v>0</v>
      </c>
      <c r="F516" s="5">
        <v>0</v>
      </c>
      <c r="G516" s="6" t="e">
        <f t="shared" si="8"/>
        <v>#DIV/0!</v>
      </c>
      <c r="H516" s="5"/>
      <c r="I516" s="6">
        <f>D516/(VLOOKUP(B516,'[1]2021 Team'!$B$2:$G$33,3,FALSE))</f>
        <v>0</v>
      </c>
    </row>
    <row r="517" spans="1:9" x14ac:dyDescent="0.25">
      <c r="A517" s="5" t="s">
        <v>1811</v>
      </c>
      <c r="B517" s="5" t="s">
        <v>54</v>
      </c>
      <c r="C517" s="5" t="s">
        <v>163</v>
      </c>
      <c r="D517" s="5">
        <v>0</v>
      </c>
      <c r="E517" s="5">
        <v>0</v>
      </c>
      <c r="F517" s="5">
        <v>0</v>
      </c>
      <c r="G517" s="6" t="e">
        <f t="shared" si="8"/>
        <v>#DIV/0!</v>
      </c>
      <c r="H517" s="5"/>
      <c r="I517" s="6">
        <f>D517/(VLOOKUP(B517,'[1]2021 Team'!$B$2:$G$33,3,FALSE))</f>
        <v>0</v>
      </c>
    </row>
    <row r="518" spans="1:9" x14ac:dyDescent="0.25">
      <c r="A518" s="5" t="s">
        <v>1813</v>
      </c>
      <c r="B518" s="5" t="s">
        <v>50</v>
      </c>
      <c r="C518" s="5" t="s">
        <v>613</v>
      </c>
      <c r="D518" s="5">
        <v>0</v>
      </c>
      <c r="E518" s="5">
        <v>0</v>
      </c>
      <c r="F518" s="5">
        <v>0</v>
      </c>
      <c r="G518" s="6" t="e">
        <f t="shared" si="8"/>
        <v>#DIV/0!</v>
      </c>
      <c r="H518" s="5"/>
      <c r="I518" s="6">
        <f>D518/(VLOOKUP(B518,'[1]2021 Team'!$B$2:$G$33,3,FALSE))</f>
        <v>0</v>
      </c>
    </row>
    <row r="519" spans="1:9" x14ac:dyDescent="0.25">
      <c r="A519" s="5" t="s">
        <v>956</v>
      </c>
      <c r="B519" s="5" t="s">
        <v>52</v>
      </c>
      <c r="C519" s="5" t="s">
        <v>163</v>
      </c>
      <c r="D519" s="5">
        <v>0</v>
      </c>
      <c r="E519" s="5">
        <v>0</v>
      </c>
      <c r="F519" s="5">
        <v>0</v>
      </c>
      <c r="G519" s="6" t="e">
        <f t="shared" si="8"/>
        <v>#DIV/0!</v>
      </c>
      <c r="H519" s="5"/>
      <c r="I519" s="6">
        <f>D519/(VLOOKUP(B519,'[1]2021 Team'!$B$2:$G$33,3,FALSE))</f>
        <v>0</v>
      </c>
    </row>
    <row r="520" spans="1:9" x14ac:dyDescent="0.25">
      <c r="A520" s="5" t="s">
        <v>2633</v>
      </c>
      <c r="B520" s="5" t="s">
        <v>58</v>
      </c>
      <c r="C520" s="5" t="s">
        <v>2087</v>
      </c>
      <c r="D520" s="5">
        <v>0</v>
      </c>
      <c r="E520" s="5">
        <v>0</v>
      </c>
      <c r="F520" s="5">
        <v>0</v>
      </c>
      <c r="G520" s="6" t="e">
        <f t="shared" si="8"/>
        <v>#DIV/0!</v>
      </c>
      <c r="H520" s="5"/>
      <c r="I520" s="6">
        <f>D520/(VLOOKUP(B520,'[1]2021 Team'!$B$2:$G$33,3,FALSE))</f>
        <v>0</v>
      </c>
    </row>
    <row r="521" spans="1:9" x14ac:dyDescent="0.25">
      <c r="A521" s="5" t="s">
        <v>977</v>
      </c>
      <c r="B521" s="5" t="s">
        <v>66</v>
      </c>
      <c r="C521" s="5" t="s">
        <v>163</v>
      </c>
      <c r="D521" s="5">
        <v>0</v>
      </c>
      <c r="E521" s="5">
        <v>0</v>
      </c>
      <c r="F521" s="5">
        <v>0</v>
      </c>
      <c r="G521" s="6" t="e">
        <f t="shared" si="8"/>
        <v>#DIV/0!</v>
      </c>
      <c r="H521" s="5"/>
      <c r="I521" s="6">
        <f>D521/(VLOOKUP(B521,'[1]2021 Team'!$B$2:$G$33,3,FALSE))</f>
        <v>0</v>
      </c>
    </row>
    <row r="522" spans="1:9" x14ac:dyDescent="0.25">
      <c r="A522" s="5" t="s">
        <v>2502</v>
      </c>
      <c r="B522" s="5" t="s">
        <v>36</v>
      </c>
      <c r="C522" s="5" t="s">
        <v>163</v>
      </c>
      <c r="D522" s="5">
        <v>0</v>
      </c>
      <c r="E522" s="5">
        <v>0</v>
      </c>
      <c r="F522" s="5">
        <v>0</v>
      </c>
      <c r="G522" s="6" t="e">
        <f t="shared" si="8"/>
        <v>#DIV/0!</v>
      </c>
      <c r="H522" s="5"/>
      <c r="I522" s="6">
        <f>D522/(VLOOKUP(B522,'[1]2021 Team'!$B$2:$G$33,3,FALSE))</f>
        <v>0</v>
      </c>
    </row>
    <row r="523" spans="1:9" x14ac:dyDescent="0.25">
      <c r="A523" s="5" t="s">
        <v>1814</v>
      </c>
      <c r="B523" s="5" t="s">
        <v>68</v>
      </c>
      <c r="C523" s="5" t="s">
        <v>163</v>
      </c>
      <c r="D523" s="5">
        <v>0</v>
      </c>
      <c r="E523" s="5">
        <v>0</v>
      </c>
      <c r="F523" s="5">
        <v>0</v>
      </c>
      <c r="G523" s="6" t="e">
        <f t="shared" si="8"/>
        <v>#DIV/0!</v>
      </c>
      <c r="H523" s="5"/>
      <c r="I523" s="6">
        <f>D523/(VLOOKUP(B523,'[1]2021 Team'!$B$2:$G$33,3,FALSE))</f>
        <v>0</v>
      </c>
    </row>
    <row r="524" spans="1:9" x14ac:dyDescent="0.25">
      <c r="A524" s="5" t="s">
        <v>1815</v>
      </c>
      <c r="B524" s="5" t="s">
        <v>36</v>
      </c>
      <c r="C524" s="5" t="s">
        <v>163</v>
      </c>
      <c r="D524" s="5">
        <v>0</v>
      </c>
      <c r="E524" s="5">
        <v>0</v>
      </c>
      <c r="F524" s="5">
        <v>0</v>
      </c>
      <c r="G524" s="6" t="e">
        <f t="shared" si="8"/>
        <v>#DIV/0!</v>
      </c>
      <c r="H524" s="5"/>
      <c r="I524" s="6">
        <f>D524/(VLOOKUP(B524,'[1]2021 Team'!$B$2:$G$33,3,FALSE))</f>
        <v>0</v>
      </c>
    </row>
    <row r="525" spans="1:9" x14ac:dyDescent="0.25">
      <c r="A525" s="5" t="s">
        <v>1816</v>
      </c>
      <c r="B525" s="5" t="s">
        <v>32</v>
      </c>
      <c r="C525" s="5" t="s">
        <v>153</v>
      </c>
      <c r="D525" s="5">
        <v>0</v>
      </c>
      <c r="E525" s="5">
        <v>0</v>
      </c>
      <c r="F525" s="5">
        <v>0</v>
      </c>
      <c r="G525" s="6" t="e">
        <f t="shared" si="8"/>
        <v>#DIV/0!</v>
      </c>
      <c r="H525" s="5"/>
      <c r="I525" s="6">
        <f>D525/(VLOOKUP(B525,'[1]2021 Team'!$B$2:$G$33,3,FALSE))</f>
        <v>0</v>
      </c>
    </row>
    <row r="526" spans="1:9" x14ac:dyDescent="0.25">
      <c r="A526" s="5" t="s">
        <v>2634</v>
      </c>
      <c r="B526" s="5" t="s">
        <v>38</v>
      </c>
      <c r="C526" s="5" t="s">
        <v>163</v>
      </c>
      <c r="D526" s="5">
        <v>0</v>
      </c>
      <c r="E526" s="5">
        <v>0</v>
      </c>
      <c r="F526" s="5">
        <v>0</v>
      </c>
      <c r="G526" s="6" t="e">
        <f t="shared" si="8"/>
        <v>#DIV/0!</v>
      </c>
      <c r="H526" s="5"/>
      <c r="I526" s="6">
        <f>D526/(VLOOKUP(B526,'[1]2021 Team'!$B$2:$G$33,3,FALSE))</f>
        <v>0</v>
      </c>
    </row>
    <row r="527" spans="1:9" x14ac:dyDescent="0.25">
      <c r="A527" s="5" t="s">
        <v>872</v>
      </c>
      <c r="B527" s="5" t="s">
        <v>28</v>
      </c>
      <c r="C527" s="5" t="s">
        <v>163</v>
      </c>
      <c r="D527" s="5">
        <v>0</v>
      </c>
      <c r="E527" s="5">
        <v>0</v>
      </c>
      <c r="F527" s="5">
        <v>0</v>
      </c>
      <c r="G527" s="6" t="e">
        <f t="shared" si="8"/>
        <v>#DIV/0!</v>
      </c>
      <c r="H527" s="5"/>
      <c r="I527" s="6">
        <f>D527/(VLOOKUP(B527,'[1]2021 Team'!$B$2:$G$33,3,FALSE))</f>
        <v>0</v>
      </c>
    </row>
    <row r="528" spans="1:9" x14ac:dyDescent="0.25">
      <c r="A528" s="5" t="s">
        <v>1818</v>
      </c>
      <c r="B528" s="5" t="s">
        <v>16</v>
      </c>
      <c r="C528" s="5" t="s">
        <v>163</v>
      </c>
      <c r="D528" s="5">
        <v>0</v>
      </c>
      <c r="E528" s="5">
        <v>0</v>
      </c>
      <c r="F528" s="5">
        <v>0</v>
      </c>
      <c r="G528" s="6" t="e">
        <f t="shared" si="8"/>
        <v>#DIV/0!</v>
      </c>
      <c r="H528" s="5"/>
      <c r="I528" s="6">
        <f>D528/(VLOOKUP(B528,'[1]2021 Team'!$B$2:$G$33,3,FALSE))</f>
        <v>0</v>
      </c>
    </row>
    <row r="529" spans="1:9" x14ac:dyDescent="0.25">
      <c r="A529" s="5" t="s">
        <v>825</v>
      </c>
      <c r="B529" s="5" t="s">
        <v>14</v>
      </c>
      <c r="C529" s="5" t="s">
        <v>153</v>
      </c>
      <c r="D529" s="5">
        <v>0</v>
      </c>
      <c r="E529" s="5">
        <v>4</v>
      </c>
      <c r="F529" s="5">
        <v>0</v>
      </c>
      <c r="G529" s="6" t="e">
        <f t="shared" si="8"/>
        <v>#DIV/0!</v>
      </c>
      <c r="H529" s="5"/>
      <c r="I529" s="6">
        <f>D529/(VLOOKUP(B529,'[1]2021 Team'!$B$2:$G$33,3,FALSE))</f>
        <v>0</v>
      </c>
    </row>
    <row r="530" spans="1:9" x14ac:dyDescent="0.25">
      <c r="A530" s="5" t="s">
        <v>2503</v>
      </c>
      <c r="B530" s="5" t="s">
        <v>56</v>
      </c>
      <c r="C530" s="5" t="s">
        <v>153</v>
      </c>
      <c r="D530" s="5">
        <v>0</v>
      </c>
      <c r="E530" s="5">
        <v>0</v>
      </c>
      <c r="F530" s="5">
        <v>0</v>
      </c>
      <c r="G530" s="6" t="e">
        <f t="shared" si="8"/>
        <v>#DIV/0!</v>
      </c>
      <c r="H530" s="5"/>
      <c r="I530" s="6">
        <f>D530/(VLOOKUP(B530,'[1]2021 Team'!$B$2:$G$33,3,FALSE))</f>
        <v>0</v>
      </c>
    </row>
    <row r="531" spans="1:9" x14ac:dyDescent="0.25">
      <c r="A531" s="5" t="s">
        <v>2504</v>
      </c>
      <c r="B531" s="5" t="s">
        <v>14</v>
      </c>
      <c r="C531" s="5" t="s">
        <v>163</v>
      </c>
      <c r="D531" s="5">
        <v>0</v>
      </c>
      <c r="E531" s="5">
        <v>0</v>
      </c>
      <c r="F531" s="5">
        <v>0</v>
      </c>
      <c r="G531" s="6" t="e">
        <f t="shared" si="8"/>
        <v>#DIV/0!</v>
      </c>
      <c r="H531" s="5"/>
      <c r="I531" s="6">
        <f>D531/(VLOOKUP(B531,'[1]2021 Team'!$B$2:$G$33,3,FALSE))</f>
        <v>0</v>
      </c>
    </row>
    <row r="532" spans="1:9" x14ac:dyDescent="0.25">
      <c r="A532" s="5" t="s">
        <v>1820</v>
      </c>
      <c r="B532" s="5" t="s">
        <v>30</v>
      </c>
      <c r="C532" s="5" t="s">
        <v>153</v>
      </c>
      <c r="D532" s="5">
        <v>0</v>
      </c>
      <c r="E532" s="5">
        <v>0</v>
      </c>
      <c r="F532" s="5">
        <v>0</v>
      </c>
      <c r="G532" s="6" t="e">
        <f t="shared" si="8"/>
        <v>#DIV/0!</v>
      </c>
      <c r="H532" s="5"/>
      <c r="I532" s="6">
        <f>D532/(VLOOKUP(B532,'[1]2021 Team'!$B$2:$G$33,3,FALSE))</f>
        <v>0</v>
      </c>
    </row>
    <row r="533" spans="1:9" x14ac:dyDescent="0.25">
      <c r="A533" s="5" t="s">
        <v>2635</v>
      </c>
      <c r="B533" s="5" t="s">
        <v>46</v>
      </c>
      <c r="C533" s="5" t="s">
        <v>163</v>
      </c>
      <c r="D533" s="5">
        <v>0</v>
      </c>
      <c r="E533" s="5">
        <v>0</v>
      </c>
      <c r="F533" s="5">
        <v>0</v>
      </c>
      <c r="G533" s="6" t="e">
        <f t="shared" si="8"/>
        <v>#DIV/0!</v>
      </c>
      <c r="H533" s="5"/>
      <c r="I533" s="6">
        <f>D533/(VLOOKUP(B533,'[1]2021 Team'!$B$2:$G$33,3,FALSE))</f>
        <v>0</v>
      </c>
    </row>
    <row r="534" spans="1:9" x14ac:dyDescent="0.25">
      <c r="A534" s="5" t="s">
        <v>901</v>
      </c>
      <c r="B534" s="5" t="s">
        <v>46</v>
      </c>
      <c r="C534" s="5" t="s">
        <v>153</v>
      </c>
      <c r="D534" s="5">
        <v>0</v>
      </c>
      <c r="E534" s="5">
        <v>0</v>
      </c>
      <c r="F534" s="5">
        <v>0</v>
      </c>
      <c r="G534" s="6" t="e">
        <f t="shared" si="8"/>
        <v>#DIV/0!</v>
      </c>
      <c r="H534" s="5"/>
      <c r="I534" s="6">
        <f>D534/(VLOOKUP(B534,'[1]2021 Team'!$B$2:$G$33,3,FALSE))</f>
        <v>0</v>
      </c>
    </row>
    <row r="535" spans="1:9" x14ac:dyDescent="0.25">
      <c r="A535" s="5" t="s">
        <v>974</v>
      </c>
      <c r="B535" s="5" t="s">
        <v>36</v>
      </c>
      <c r="C535" s="5" t="s">
        <v>153</v>
      </c>
      <c r="D535" s="5">
        <v>0</v>
      </c>
      <c r="E535" s="5">
        <v>0</v>
      </c>
      <c r="F535" s="5">
        <v>0</v>
      </c>
      <c r="G535" s="6" t="e">
        <f t="shared" si="8"/>
        <v>#DIV/0!</v>
      </c>
      <c r="H535" s="5"/>
      <c r="I535" s="6">
        <f>D535/(VLOOKUP(B535,'[1]2021 Team'!$B$2:$G$33,3,FALSE))</f>
        <v>0</v>
      </c>
    </row>
    <row r="536" spans="1:9" x14ac:dyDescent="0.25">
      <c r="A536" s="5" t="s">
        <v>1821</v>
      </c>
      <c r="B536" s="5" t="s">
        <v>16</v>
      </c>
      <c r="C536" s="5" t="s">
        <v>163</v>
      </c>
      <c r="D536" s="5">
        <v>0</v>
      </c>
      <c r="E536" s="5">
        <v>0</v>
      </c>
      <c r="F536" s="5">
        <v>0</v>
      </c>
      <c r="G536" s="6" t="e">
        <f t="shared" si="8"/>
        <v>#DIV/0!</v>
      </c>
      <c r="H536" s="5"/>
      <c r="I536" s="6">
        <f>D536/(VLOOKUP(B536,'[1]2021 Team'!$B$2:$G$33,3,FALSE))</f>
        <v>0</v>
      </c>
    </row>
    <row r="537" spans="1:9" x14ac:dyDescent="0.25">
      <c r="A537" s="5" t="s">
        <v>2636</v>
      </c>
      <c r="B537" s="5" t="s">
        <v>56</v>
      </c>
      <c r="C537" s="5" t="s">
        <v>805</v>
      </c>
      <c r="D537" s="5">
        <v>0</v>
      </c>
      <c r="E537" s="5">
        <v>0</v>
      </c>
      <c r="F537" s="5">
        <v>0</v>
      </c>
      <c r="G537" s="6" t="e">
        <f t="shared" si="8"/>
        <v>#DIV/0!</v>
      </c>
      <c r="H537" s="5"/>
      <c r="I537" s="6">
        <f>D537/(VLOOKUP(B537,'[1]2021 Team'!$B$2:$G$33,3,FALSE))</f>
        <v>0</v>
      </c>
    </row>
    <row r="538" spans="1:9" x14ac:dyDescent="0.25">
      <c r="A538" s="5" t="s">
        <v>2637</v>
      </c>
      <c r="B538" s="5" t="s">
        <v>66</v>
      </c>
      <c r="C538" s="5" t="s">
        <v>153</v>
      </c>
      <c r="D538" s="5">
        <v>0</v>
      </c>
      <c r="E538" s="5">
        <v>0</v>
      </c>
      <c r="F538" s="5">
        <v>0</v>
      </c>
      <c r="G538" s="6" t="e">
        <f t="shared" si="8"/>
        <v>#DIV/0!</v>
      </c>
      <c r="H538" s="5"/>
      <c r="I538" s="6">
        <f>D538/(VLOOKUP(B538,'[1]2021 Team'!$B$2:$G$33,3,FALSE))</f>
        <v>0</v>
      </c>
    </row>
    <row r="539" spans="1:9" x14ac:dyDescent="0.25">
      <c r="A539" s="5" t="s">
        <v>1823</v>
      </c>
      <c r="B539" s="5" t="s">
        <v>24</v>
      </c>
      <c r="C539" s="5" t="s">
        <v>153</v>
      </c>
      <c r="D539" s="5">
        <v>0</v>
      </c>
      <c r="E539" s="5">
        <v>0</v>
      </c>
      <c r="F539" s="5">
        <v>0</v>
      </c>
      <c r="G539" s="6" t="e">
        <f t="shared" si="8"/>
        <v>#DIV/0!</v>
      </c>
      <c r="H539" s="5"/>
      <c r="I539" s="6">
        <f>D539/(VLOOKUP(B539,'[1]2021 Team'!$B$2:$G$33,3,FALSE))</f>
        <v>0</v>
      </c>
    </row>
    <row r="540" spans="1:9" x14ac:dyDescent="0.25">
      <c r="A540" s="5" t="s">
        <v>2507</v>
      </c>
      <c r="B540" s="5" t="s">
        <v>42</v>
      </c>
      <c r="C540" s="5" t="s">
        <v>153</v>
      </c>
      <c r="D540" s="5">
        <v>0</v>
      </c>
      <c r="E540" s="5">
        <v>0</v>
      </c>
      <c r="F540" s="5">
        <v>0</v>
      </c>
      <c r="G540" s="6" t="e">
        <f t="shared" si="8"/>
        <v>#DIV/0!</v>
      </c>
      <c r="H540" s="5"/>
      <c r="I540" s="6">
        <f>D540/(VLOOKUP(B540,'[1]2021 Team'!$B$2:$G$33,3,FALSE))</f>
        <v>0</v>
      </c>
    </row>
    <row r="541" spans="1:9" x14ac:dyDescent="0.25">
      <c r="A541" s="5" t="s">
        <v>2456</v>
      </c>
      <c r="B541" s="5" t="s">
        <v>68</v>
      </c>
      <c r="C541" s="5" t="s">
        <v>163</v>
      </c>
      <c r="D541" s="5">
        <v>0</v>
      </c>
      <c r="E541" s="5">
        <v>0</v>
      </c>
      <c r="F541" s="5">
        <v>0</v>
      </c>
      <c r="G541" s="6" t="e">
        <f t="shared" si="8"/>
        <v>#DIV/0!</v>
      </c>
      <c r="H541" s="5"/>
      <c r="I541" s="6">
        <f>D541/(VLOOKUP(B541,'[1]2021 Team'!$B$2:$G$33,3,FALSE))</f>
        <v>0</v>
      </c>
    </row>
    <row r="542" spans="1:9" x14ac:dyDescent="0.25">
      <c r="A542" s="5" t="s">
        <v>2638</v>
      </c>
      <c r="B542" s="5" t="s">
        <v>46</v>
      </c>
      <c r="C542" s="5" t="s">
        <v>163</v>
      </c>
      <c r="D542" s="5">
        <v>0</v>
      </c>
      <c r="E542" s="5">
        <v>0</v>
      </c>
      <c r="F542" s="5">
        <v>0</v>
      </c>
      <c r="G542" s="6" t="e">
        <f t="shared" si="8"/>
        <v>#DIV/0!</v>
      </c>
      <c r="H542" s="5"/>
      <c r="I542" s="6">
        <f>D542/(VLOOKUP(B542,'[1]2021 Team'!$B$2:$G$33,3,FALSE))</f>
        <v>0</v>
      </c>
    </row>
    <row r="543" spans="1:9" x14ac:dyDescent="0.25">
      <c r="A543" s="5" t="s">
        <v>2639</v>
      </c>
      <c r="B543" s="5" t="s">
        <v>36</v>
      </c>
      <c r="C543" s="5" t="s">
        <v>163</v>
      </c>
      <c r="D543" s="5">
        <v>0</v>
      </c>
      <c r="E543" s="5">
        <v>0</v>
      </c>
      <c r="F543" s="5">
        <v>0</v>
      </c>
      <c r="G543" s="6" t="e">
        <f t="shared" si="8"/>
        <v>#DIV/0!</v>
      </c>
      <c r="H543" s="5"/>
      <c r="I543" s="6">
        <f>D543/(VLOOKUP(B543,'[1]2021 Team'!$B$2:$G$33,3,FALSE))</f>
        <v>0</v>
      </c>
    </row>
    <row r="544" spans="1:9" x14ac:dyDescent="0.25">
      <c r="A544" s="5" t="s">
        <v>2200</v>
      </c>
      <c r="B544" s="5" t="s">
        <v>32</v>
      </c>
      <c r="C544" s="5" t="s">
        <v>163</v>
      </c>
      <c r="D544" s="5">
        <v>0</v>
      </c>
      <c r="E544" s="5">
        <v>0</v>
      </c>
      <c r="F544" s="5">
        <v>0</v>
      </c>
      <c r="G544" s="6" t="e">
        <f t="shared" si="8"/>
        <v>#DIV/0!</v>
      </c>
      <c r="H544" s="5"/>
      <c r="I544" s="6">
        <f>D544/(VLOOKUP(B544,'[1]2021 Team'!$B$2:$G$33,3,FALSE))</f>
        <v>0</v>
      </c>
    </row>
    <row r="545" spans="1:9" x14ac:dyDescent="0.25">
      <c r="A545" s="5" t="s">
        <v>2200</v>
      </c>
      <c r="B545" s="5" t="s">
        <v>60</v>
      </c>
      <c r="C545" s="5" t="s">
        <v>163</v>
      </c>
      <c r="D545" s="5">
        <v>0</v>
      </c>
      <c r="E545" s="5">
        <v>0</v>
      </c>
      <c r="F545" s="5">
        <v>0</v>
      </c>
      <c r="G545" s="6" t="e">
        <f t="shared" si="8"/>
        <v>#DIV/0!</v>
      </c>
      <c r="H545" s="5"/>
      <c r="I545" s="6">
        <f>D545/(VLOOKUP(B545,'[1]2021 Team'!$B$2:$G$33,3,FALSE))</f>
        <v>0</v>
      </c>
    </row>
    <row r="546" spans="1:9" x14ac:dyDescent="0.25">
      <c r="A546" s="5" t="s">
        <v>2509</v>
      </c>
      <c r="B546" s="5" t="s">
        <v>56</v>
      </c>
      <c r="C546" s="5" t="s">
        <v>163</v>
      </c>
      <c r="D546" s="5">
        <v>0</v>
      </c>
      <c r="E546" s="5">
        <v>0</v>
      </c>
      <c r="F546" s="5">
        <v>0</v>
      </c>
      <c r="G546" s="6" t="e">
        <f t="shared" si="8"/>
        <v>#DIV/0!</v>
      </c>
      <c r="H546" s="5"/>
      <c r="I546" s="6">
        <f>D546/(VLOOKUP(B546,'[1]2021 Team'!$B$2:$G$33,3,FALSE))</f>
        <v>0</v>
      </c>
    </row>
    <row r="547" spans="1:9" x14ac:dyDescent="0.25">
      <c r="A547" s="5" t="s">
        <v>1825</v>
      </c>
      <c r="B547" s="5" t="s">
        <v>56</v>
      </c>
      <c r="C547" s="5" t="s">
        <v>163</v>
      </c>
      <c r="D547" s="5">
        <v>0</v>
      </c>
      <c r="E547" s="5">
        <v>0</v>
      </c>
      <c r="F547" s="5">
        <v>0</v>
      </c>
      <c r="G547" s="6" t="e">
        <f t="shared" si="8"/>
        <v>#DIV/0!</v>
      </c>
      <c r="H547" s="5"/>
      <c r="I547" s="6">
        <f>D547/(VLOOKUP(B547,'[1]2021 Team'!$B$2:$G$33,3,FALSE))</f>
        <v>0</v>
      </c>
    </row>
    <row r="548" spans="1:9" x14ac:dyDescent="0.25">
      <c r="A548" s="5" t="s">
        <v>731</v>
      </c>
      <c r="B548" s="5" t="s">
        <v>32</v>
      </c>
      <c r="C548" s="5" t="s">
        <v>163</v>
      </c>
      <c r="D548" s="5">
        <v>0</v>
      </c>
      <c r="E548" s="5">
        <v>0</v>
      </c>
      <c r="F548" s="5">
        <v>0</v>
      </c>
      <c r="G548" s="6" t="e">
        <f t="shared" si="8"/>
        <v>#DIV/0!</v>
      </c>
      <c r="H548" s="5"/>
      <c r="I548" s="6">
        <f>D548/(VLOOKUP(B548,'[1]2021 Team'!$B$2:$G$33,3,FALSE))</f>
        <v>0</v>
      </c>
    </row>
    <row r="549" spans="1:9" x14ac:dyDescent="0.25">
      <c r="A549" s="5" t="s">
        <v>751</v>
      </c>
      <c r="B549" s="5" t="s">
        <v>26</v>
      </c>
      <c r="C549" s="5" t="s">
        <v>163</v>
      </c>
      <c r="D549" s="5">
        <v>0</v>
      </c>
      <c r="E549" s="5">
        <v>0</v>
      </c>
      <c r="F549" s="5">
        <v>0</v>
      </c>
      <c r="G549" s="6" t="e">
        <f t="shared" si="8"/>
        <v>#DIV/0!</v>
      </c>
      <c r="H549" s="5"/>
      <c r="I549" s="6">
        <f>D549/(VLOOKUP(B549,'[1]2021 Team'!$B$2:$G$33,3,FALSE))</f>
        <v>0</v>
      </c>
    </row>
    <row r="550" spans="1:9" x14ac:dyDescent="0.25">
      <c r="A550" s="5" t="s">
        <v>2510</v>
      </c>
      <c r="B550" s="5" t="s">
        <v>42</v>
      </c>
      <c r="C550" s="5" t="s">
        <v>163</v>
      </c>
      <c r="D550" s="5">
        <v>0</v>
      </c>
      <c r="E550" s="5">
        <v>0</v>
      </c>
      <c r="F550" s="5">
        <v>0</v>
      </c>
      <c r="G550" s="6" t="e">
        <f t="shared" si="8"/>
        <v>#DIV/0!</v>
      </c>
      <c r="H550" s="5"/>
      <c r="I550" s="6">
        <f>D550/(VLOOKUP(B550,'[1]2021 Team'!$B$2:$G$33,3,FALSE))</f>
        <v>0</v>
      </c>
    </row>
    <row r="551" spans="1:9" x14ac:dyDescent="0.25">
      <c r="A551" s="5" t="s">
        <v>958</v>
      </c>
      <c r="B551" s="5" t="s">
        <v>40</v>
      </c>
      <c r="C551" s="5" t="s">
        <v>153</v>
      </c>
      <c r="D551" s="5">
        <v>0</v>
      </c>
      <c r="E551" s="5">
        <v>0</v>
      </c>
      <c r="F551" s="5">
        <v>0</v>
      </c>
      <c r="G551" s="6" t="e">
        <f t="shared" si="8"/>
        <v>#DIV/0!</v>
      </c>
      <c r="H551" s="5"/>
      <c r="I551" s="6">
        <f>D551/(VLOOKUP(B551,'[1]2021 Team'!$B$2:$G$33,3,FALSE))</f>
        <v>0</v>
      </c>
    </row>
    <row r="552" spans="1:9" x14ac:dyDescent="0.25">
      <c r="A552" s="5" t="s">
        <v>903</v>
      </c>
      <c r="B552" s="5" t="s">
        <v>44</v>
      </c>
      <c r="C552" s="5" t="s">
        <v>153</v>
      </c>
      <c r="D552" s="5">
        <v>0</v>
      </c>
      <c r="E552" s="5">
        <v>0</v>
      </c>
      <c r="F552" s="5">
        <v>0</v>
      </c>
      <c r="G552" s="6" t="e">
        <f t="shared" si="8"/>
        <v>#DIV/0!</v>
      </c>
      <c r="H552" s="5"/>
      <c r="I552" s="6">
        <f>D552/(VLOOKUP(B552,'[1]2021 Team'!$B$2:$G$33,3,FALSE))</f>
        <v>0</v>
      </c>
    </row>
    <row r="553" spans="1:9" x14ac:dyDescent="0.25">
      <c r="A553" s="5" t="s">
        <v>2512</v>
      </c>
      <c r="B553" s="5" t="s">
        <v>54</v>
      </c>
      <c r="C553" s="5" t="s">
        <v>153</v>
      </c>
      <c r="D553" s="5">
        <v>0</v>
      </c>
      <c r="E553" s="5">
        <v>0</v>
      </c>
      <c r="F553" s="5">
        <v>0</v>
      </c>
      <c r="G553" s="6" t="e">
        <f t="shared" si="8"/>
        <v>#DIV/0!</v>
      </c>
      <c r="H553" s="5"/>
      <c r="I553" s="6">
        <f>D553/(VLOOKUP(B553,'[1]2021 Team'!$B$2:$G$33,3,FALSE))</f>
        <v>0</v>
      </c>
    </row>
    <row r="554" spans="1:9" x14ac:dyDescent="0.25">
      <c r="A554" s="5" t="s">
        <v>2640</v>
      </c>
      <c r="B554" s="5" t="s">
        <v>28</v>
      </c>
      <c r="C554" s="5" t="s">
        <v>2087</v>
      </c>
      <c r="D554" s="5">
        <v>0</v>
      </c>
      <c r="E554" s="5">
        <v>0</v>
      </c>
      <c r="F554" s="5">
        <v>0</v>
      </c>
      <c r="G554" s="6" t="e">
        <f t="shared" si="8"/>
        <v>#DIV/0!</v>
      </c>
      <c r="H554" s="5"/>
      <c r="I554" s="6">
        <f>D554/(VLOOKUP(B554,'[1]2021 Team'!$B$2:$G$33,3,FALSE))</f>
        <v>0</v>
      </c>
    </row>
    <row r="555" spans="1:9" x14ac:dyDescent="0.25">
      <c r="A555" s="5" t="s">
        <v>2641</v>
      </c>
      <c r="B555" s="5" t="s">
        <v>18</v>
      </c>
      <c r="C555" s="5" t="s">
        <v>163</v>
      </c>
      <c r="D555" s="5">
        <v>0</v>
      </c>
      <c r="E555" s="5">
        <v>0</v>
      </c>
      <c r="F555" s="5">
        <v>0</v>
      </c>
      <c r="G555" s="6" t="e">
        <f t="shared" si="8"/>
        <v>#DIV/0!</v>
      </c>
      <c r="H555" s="5"/>
      <c r="I555" s="6">
        <f>D555/(VLOOKUP(B555,'[1]2021 Team'!$B$2:$G$33,3,FALSE))</f>
        <v>0</v>
      </c>
    </row>
    <row r="556" spans="1:9" x14ac:dyDescent="0.25">
      <c r="A556" s="5" t="s">
        <v>2642</v>
      </c>
      <c r="B556" s="5" t="s">
        <v>36</v>
      </c>
      <c r="C556" s="5" t="s">
        <v>153</v>
      </c>
      <c r="D556" s="5">
        <v>0</v>
      </c>
      <c r="E556" s="5">
        <v>0</v>
      </c>
      <c r="F556" s="5">
        <v>0</v>
      </c>
      <c r="G556" s="6" t="e">
        <f t="shared" si="8"/>
        <v>#DIV/0!</v>
      </c>
      <c r="H556" s="5"/>
      <c r="I556" s="6">
        <f>D556/(VLOOKUP(B556,'[1]2021 Team'!$B$2:$G$33,3,FALSE))</f>
        <v>0</v>
      </c>
    </row>
    <row r="557" spans="1:9" x14ac:dyDescent="0.25">
      <c r="A557" s="5" t="s">
        <v>937</v>
      </c>
      <c r="B557" s="5" t="s">
        <v>26</v>
      </c>
      <c r="C557" s="5" t="s">
        <v>153</v>
      </c>
      <c r="D557" s="5">
        <v>0</v>
      </c>
      <c r="E557" s="5">
        <v>0</v>
      </c>
      <c r="F557" s="5">
        <v>0</v>
      </c>
      <c r="G557" s="6" t="e">
        <f t="shared" si="8"/>
        <v>#DIV/0!</v>
      </c>
      <c r="H557" s="5"/>
      <c r="I557" s="6">
        <f>D557/(VLOOKUP(B557,'[1]2021 Team'!$B$2:$G$33,3,FALSE))</f>
        <v>0</v>
      </c>
    </row>
    <row r="558" spans="1:9" x14ac:dyDescent="0.25">
      <c r="A558" s="5" t="s">
        <v>950</v>
      </c>
      <c r="B558" s="5" t="s">
        <v>12</v>
      </c>
      <c r="C558" s="5" t="s">
        <v>153</v>
      </c>
      <c r="D558" s="5">
        <v>0</v>
      </c>
      <c r="E558" s="5">
        <v>0</v>
      </c>
      <c r="F558" s="5">
        <v>0</v>
      </c>
      <c r="G558" s="6" t="e">
        <f t="shared" si="8"/>
        <v>#DIV/0!</v>
      </c>
      <c r="H558" s="5"/>
      <c r="I558" s="6">
        <f>D558/(VLOOKUP(B558,'[1]2021 Team'!$B$2:$G$33,3,FALSE))</f>
        <v>0</v>
      </c>
    </row>
    <row r="559" spans="1:9" x14ac:dyDescent="0.25">
      <c r="A559" s="5" t="s">
        <v>1828</v>
      </c>
      <c r="B559" s="5" t="s">
        <v>42</v>
      </c>
      <c r="C559" s="5" t="s">
        <v>153</v>
      </c>
      <c r="D559" s="5">
        <v>0</v>
      </c>
      <c r="E559" s="5">
        <v>0</v>
      </c>
      <c r="F559" s="5">
        <v>0</v>
      </c>
      <c r="G559" s="6" t="e">
        <f t="shared" si="8"/>
        <v>#DIV/0!</v>
      </c>
      <c r="H559" s="5"/>
      <c r="I559" s="6">
        <f>D559/(VLOOKUP(B559,'[1]2021 Team'!$B$2:$G$33,3,FALSE))</f>
        <v>0</v>
      </c>
    </row>
    <row r="560" spans="1:9" x14ac:dyDescent="0.25">
      <c r="A560" s="5" t="s">
        <v>1829</v>
      </c>
      <c r="B560" s="5" t="s">
        <v>46</v>
      </c>
      <c r="C560" s="5" t="s">
        <v>163</v>
      </c>
      <c r="D560" s="5">
        <v>0</v>
      </c>
      <c r="E560" s="5">
        <v>0</v>
      </c>
      <c r="F560" s="5">
        <v>0</v>
      </c>
      <c r="G560" s="6" t="e">
        <f t="shared" ref="G560:G621" si="9">F560/D560</f>
        <v>#DIV/0!</v>
      </c>
      <c r="H560" s="5"/>
      <c r="I560" s="6">
        <f>D560/(VLOOKUP(B560,'[1]2021 Team'!$B$2:$G$33,3,FALSE))</f>
        <v>0</v>
      </c>
    </row>
    <row r="561" spans="1:9" x14ac:dyDescent="0.25">
      <c r="A561" s="5" t="s">
        <v>929</v>
      </c>
      <c r="B561" s="5" t="s">
        <v>64</v>
      </c>
      <c r="C561" s="5" t="s">
        <v>153</v>
      </c>
      <c r="D561" s="5">
        <v>0</v>
      </c>
      <c r="E561" s="5">
        <v>0</v>
      </c>
      <c r="F561" s="5">
        <v>0</v>
      </c>
      <c r="G561" s="6" t="e">
        <f t="shared" si="9"/>
        <v>#DIV/0!</v>
      </c>
      <c r="H561" s="5"/>
      <c r="I561" s="6">
        <f>D561/(VLOOKUP(B561,'[1]2021 Team'!$B$2:$G$33,3,FALSE))</f>
        <v>0</v>
      </c>
    </row>
    <row r="562" spans="1:9" x14ac:dyDescent="0.25">
      <c r="A562" s="5" t="s">
        <v>2513</v>
      </c>
      <c r="B562" s="5" t="s">
        <v>34</v>
      </c>
      <c r="C562" s="5" t="s">
        <v>163</v>
      </c>
      <c r="D562" s="5">
        <v>0</v>
      </c>
      <c r="E562" s="5">
        <v>0</v>
      </c>
      <c r="F562" s="5">
        <v>0</v>
      </c>
      <c r="G562" s="6" t="e">
        <f t="shared" si="9"/>
        <v>#DIV/0!</v>
      </c>
      <c r="H562" s="5"/>
      <c r="I562" s="6">
        <f>D562/(VLOOKUP(B562,'[1]2021 Team'!$B$2:$G$33,3,FALSE))</f>
        <v>0</v>
      </c>
    </row>
    <row r="563" spans="1:9" x14ac:dyDescent="0.25">
      <c r="A563" s="5" t="s">
        <v>904</v>
      </c>
      <c r="B563" s="5" t="s">
        <v>26</v>
      </c>
      <c r="C563" s="5" t="s">
        <v>163</v>
      </c>
      <c r="D563" s="5">
        <v>0</v>
      </c>
      <c r="E563" s="5">
        <v>0</v>
      </c>
      <c r="F563" s="5">
        <v>0</v>
      </c>
      <c r="G563" s="6" t="e">
        <f t="shared" si="9"/>
        <v>#DIV/0!</v>
      </c>
      <c r="H563" s="5"/>
      <c r="I563" s="6">
        <f>D563/(VLOOKUP(B563,'[1]2021 Team'!$B$2:$G$33,3,FALSE))</f>
        <v>0</v>
      </c>
    </row>
    <row r="564" spans="1:9" x14ac:dyDescent="0.25">
      <c r="A564" s="5" t="s">
        <v>1831</v>
      </c>
      <c r="B564" s="5" t="s">
        <v>22</v>
      </c>
      <c r="C564" s="5" t="s">
        <v>163</v>
      </c>
      <c r="D564" s="5">
        <v>0</v>
      </c>
      <c r="E564" s="5">
        <v>0</v>
      </c>
      <c r="F564" s="5">
        <v>0</v>
      </c>
      <c r="G564" s="6" t="e">
        <f t="shared" si="9"/>
        <v>#DIV/0!</v>
      </c>
      <c r="H564" s="5"/>
      <c r="I564" s="6">
        <f>D564/(VLOOKUP(B564,'[1]2021 Team'!$B$2:$G$33,3,FALSE))</f>
        <v>0</v>
      </c>
    </row>
    <row r="565" spans="1:9" x14ac:dyDescent="0.25">
      <c r="A565" s="5" t="s">
        <v>959</v>
      </c>
      <c r="B565" s="5" t="s">
        <v>54</v>
      </c>
      <c r="C565" s="5" t="s">
        <v>163</v>
      </c>
      <c r="D565" s="5">
        <v>0</v>
      </c>
      <c r="E565" s="5">
        <v>0</v>
      </c>
      <c r="F565" s="5">
        <v>0</v>
      </c>
      <c r="G565" s="6" t="e">
        <f t="shared" si="9"/>
        <v>#DIV/0!</v>
      </c>
      <c r="H565" s="5"/>
      <c r="I565" s="6">
        <f>D565/(VLOOKUP(B565,'[1]2021 Team'!$B$2:$G$33,3,FALSE))</f>
        <v>0</v>
      </c>
    </row>
    <row r="566" spans="1:9" x14ac:dyDescent="0.25">
      <c r="A566" s="5" t="s">
        <v>2643</v>
      </c>
      <c r="B566" s="5" t="s">
        <v>34</v>
      </c>
      <c r="C566" s="5" t="s">
        <v>934</v>
      </c>
      <c r="D566" s="5">
        <v>0</v>
      </c>
      <c r="E566" s="5">
        <v>0</v>
      </c>
      <c r="F566" s="5">
        <v>0</v>
      </c>
      <c r="G566" s="6" t="e">
        <f t="shared" si="9"/>
        <v>#DIV/0!</v>
      </c>
      <c r="H566" s="5"/>
      <c r="I566" s="6">
        <f>D566/(VLOOKUP(B566,'[1]2021 Team'!$B$2:$G$33,3,FALSE))</f>
        <v>0</v>
      </c>
    </row>
    <row r="567" spans="1:9" x14ac:dyDescent="0.25">
      <c r="A567" s="5" t="s">
        <v>808</v>
      </c>
      <c r="B567" s="5" t="s">
        <v>10</v>
      </c>
      <c r="C567" s="5" t="s">
        <v>153</v>
      </c>
      <c r="D567" s="5">
        <v>0</v>
      </c>
      <c r="E567" s="5">
        <v>0</v>
      </c>
      <c r="F567" s="5">
        <v>0</v>
      </c>
      <c r="G567" s="6" t="e">
        <f t="shared" si="9"/>
        <v>#DIV/0!</v>
      </c>
      <c r="H567" s="5"/>
      <c r="I567" s="6">
        <f>D567/(VLOOKUP(B567,'[1]2021 Team'!$B$2:$G$33,3,FALSE))</f>
        <v>0</v>
      </c>
    </row>
    <row r="568" spans="1:9" x14ac:dyDescent="0.25">
      <c r="A568" s="5" t="s">
        <v>2644</v>
      </c>
      <c r="B568" s="5" t="s">
        <v>28</v>
      </c>
      <c r="C568" s="5" t="s">
        <v>980</v>
      </c>
      <c r="D568" s="5">
        <v>0</v>
      </c>
      <c r="E568" s="5">
        <v>0</v>
      </c>
      <c r="F568" s="5">
        <v>0</v>
      </c>
      <c r="G568" s="6" t="e">
        <f t="shared" si="9"/>
        <v>#DIV/0!</v>
      </c>
      <c r="H568" s="5"/>
      <c r="I568" s="6">
        <f>D568/(VLOOKUP(B568,'[1]2021 Team'!$B$2:$G$33,3,FALSE))</f>
        <v>0</v>
      </c>
    </row>
    <row r="569" spans="1:9" x14ac:dyDescent="0.25">
      <c r="A569" s="5" t="s">
        <v>1834</v>
      </c>
      <c r="B569" s="5" t="s">
        <v>38</v>
      </c>
      <c r="C569" s="5" t="s">
        <v>163</v>
      </c>
      <c r="D569" s="5">
        <v>0</v>
      </c>
      <c r="E569" s="5">
        <v>0</v>
      </c>
      <c r="F569" s="5">
        <v>0</v>
      </c>
      <c r="G569" s="6" t="e">
        <f t="shared" si="9"/>
        <v>#DIV/0!</v>
      </c>
      <c r="H569" s="5"/>
      <c r="I569" s="6">
        <f>D569/(VLOOKUP(B569,'[1]2021 Team'!$B$2:$G$33,3,FALSE))</f>
        <v>0</v>
      </c>
    </row>
    <row r="570" spans="1:9" x14ac:dyDescent="0.25">
      <c r="A570" s="5" t="s">
        <v>1036</v>
      </c>
      <c r="B570" s="5" t="s">
        <v>12</v>
      </c>
      <c r="C570" s="5" t="s">
        <v>163</v>
      </c>
      <c r="D570" s="5">
        <v>0</v>
      </c>
      <c r="E570" s="5">
        <v>0</v>
      </c>
      <c r="F570" s="5">
        <v>0</v>
      </c>
      <c r="G570" s="6" t="e">
        <f t="shared" si="9"/>
        <v>#DIV/0!</v>
      </c>
      <c r="H570" s="5"/>
      <c r="I570" s="6">
        <f>D570/(VLOOKUP(B570,'[1]2021 Team'!$B$2:$G$33,3,FALSE))</f>
        <v>0</v>
      </c>
    </row>
    <row r="571" spans="1:9" x14ac:dyDescent="0.25">
      <c r="A571" s="5" t="s">
        <v>1835</v>
      </c>
      <c r="B571" s="5" t="s">
        <v>68</v>
      </c>
      <c r="C571" s="5" t="s">
        <v>153</v>
      </c>
      <c r="D571" s="5">
        <v>0</v>
      </c>
      <c r="E571" s="5">
        <v>0</v>
      </c>
      <c r="F571" s="5">
        <v>0</v>
      </c>
      <c r="G571" s="6" t="e">
        <f t="shared" si="9"/>
        <v>#DIV/0!</v>
      </c>
      <c r="H571" s="5"/>
      <c r="I571" s="6">
        <f>D571/(VLOOKUP(B571,'[1]2021 Team'!$B$2:$G$33,3,FALSE))</f>
        <v>0</v>
      </c>
    </row>
    <row r="572" spans="1:9" x14ac:dyDescent="0.25">
      <c r="A572" s="5" t="s">
        <v>1837</v>
      </c>
      <c r="B572" s="5" t="s">
        <v>60</v>
      </c>
      <c r="C572" s="5" t="s">
        <v>153</v>
      </c>
      <c r="D572" s="5">
        <v>0</v>
      </c>
      <c r="E572" s="5">
        <v>0</v>
      </c>
      <c r="F572" s="5">
        <v>0</v>
      </c>
      <c r="G572" s="6" t="e">
        <f t="shared" si="9"/>
        <v>#DIV/0!</v>
      </c>
      <c r="H572" s="5"/>
      <c r="I572" s="6">
        <f>D572/(VLOOKUP(B572,'[1]2021 Team'!$B$2:$G$33,3,FALSE))</f>
        <v>0</v>
      </c>
    </row>
    <row r="573" spans="1:9" x14ac:dyDescent="0.25">
      <c r="A573" s="5" t="s">
        <v>2645</v>
      </c>
      <c r="B573" s="5" t="s">
        <v>38</v>
      </c>
      <c r="C573" s="5" t="s">
        <v>805</v>
      </c>
      <c r="D573" s="5">
        <v>0</v>
      </c>
      <c r="E573" s="5">
        <v>0</v>
      </c>
      <c r="F573" s="5">
        <v>0</v>
      </c>
      <c r="G573" s="6" t="e">
        <f t="shared" si="9"/>
        <v>#DIV/0!</v>
      </c>
      <c r="H573" s="5"/>
      <c r="I573" s="6">
        <f>D573/(VLOOKUP(B573,'[1]2021 Team'!$B$2:$G$33,3,FALSE))</f>
        <v>0</v>
      </c>
    </row>
    <row r="574" spans="1:9" x14ac:dyDescent="0.25">
      <c r="A574" s="5" t="s">
        <v>981</v>
      </c>
      <c r="B574" s="5" t="s">
        <v>68</v>
      </c>
      <c r="C574" s="5" t="s">
        <v>163</v>
      </c>
      <c r="D574" s="5">
        <v>0</v>
      </c>
      <c r="E574" s="5">
        <v>0</v>
      </c>
      <c r="F574" s="5">
        <v>0</v>
      </c>
      <c r="G574" s="6" t="e">
        <f t="shared" si="9"/>
        <v>#DIV/0!</v>
      </c>
      <c r="H574" s="5"/>
      <c r="I574" s="6">
        <f>D574/(VLOOKUP(B574,'[1]2021 Team'!$B$2:$G$33,3,FALSE))</f>
        <v>0</v>
      </c>
    </row>
    <row r="575" spans="1:9" x14ac:dyDescent="0.25">
      <c r="A575" s="5" t="s">
        <v>981</v>
      </c>
      <c r="B575" s="5" t="s">
        <v>28</v>
      </c>
      <c r="C575" s="5" t="s">
        <v>163</v>
      </c>
      <c r="D575" s="5">
        <v>0</v>
      </c>
      <c r="E575" s="5">
        <v>0</v>
      </c>
      <c r="F575" s="5">
        <v>0</v>
      </c>
      <c r="G575" s="6" t="e">
        <f t="shared" si="9"/>
        <v>#DIV/0!</v>
      </c>
      <c r="H575" s="5"/>
      <c r="I575" s="6">
        <f>D575/(VLOOKUP(B575,'[1]2021 Team'!$B$2:$G$33,3,FALSE))</f>
        <v>0</v>
      </c>
    </row>
    <row r="576" spans="1:9" x14ac:dyDescent="0.25">
      <c r="A576" s="5" t="s">
        <v>874</v>
      </c>
      <c r="B576" s="5" t="s">
        <v>16</v>
      </c>
      <c r="C576" s="5" t="s">
        <v>613</v>
      </c>
      <c r="D576" s="5">
        <v>0</v>
      </c>
      <c r="E576" s="5">
        <v>0</v>
      </c>
      <c r="F576" s="5">
        <v>0</v>
      </c>
      <c r="G576" s="6" t="e">
        <f t="shared" si="9"/>
        <v>#DIV/0!</v>
      </c>
      <c r="H576" s="5"/>
      <c r="I576" s="6">
        <f>D576/(VLOOKUP(B576,'[1]2021 Team'!$B$2:$G$33,3,FALSE))</f>
        <v>0</v>
      </c>
    </row>
    <row r="577" spans="1:9" x14ac:dyDescent="0.25">
      <c r="A577" s="5" t="s">
        <v>1038</v>
      </c>
      <c r="B577" s="5" t="s">
        <v>10</v>
      </c>
      <c r="C577" s="5" t="s">
        <v>163</v>
      </c>
      <c r="D577" s="5">
        <v>0</v>
      </c>
      <c r="E577" s="5">
        <v>0</v>
      </c>
      <c r="F577" s="5">
        <v>0</v>
      </c>
      <c r="G577" s="6" t="e">
        <f t="shared" si="9"/>
        <v>#DIV/0!</v>
      </c>
      <c r="H577" s="5"/>
      <c r="I577" s="6">
        <f>D577/(VLOOKUP(B577,'[1]2021 Team'!$B$2:$G$33,3,FALSE))</f>
        <v>0</v>
      </c>
    </row>
    <row r="578" spans="1:9" x14ac:dyDescent="0.25">
      <c r="A578" s="5" t="s">
        <v>1838</v>
      </c>
      <c r="B578" s="5" t="s">
        <v>18</v>
      </c>
      <c r="C578" s="5" t="s">
        <v>163</v>
      </c>
      <c r="D578" s="5">
        <v>0</v>
      </c>
      <c r="E578" s="5">
        <v>0</v>
      </c>
      <c r="F578" s="5">
        <v>0</v>
      </c>
      <c r="G578" s="6" t="e">
        <f t="shared" si="9"/>
        <v>#DIV/0!</v>
      </c>
      <c r="H578" s="5"/>
      <c r="I578" s="6">
        <f>D578/(VLOOKUP(B578,'[1]2021 Team'!$B$2:$G$33,3,FALSE))</f>
        <v>0</v>
      </c>
    </row>
    <row r="579" spans="1:9" x14ac:dyDescent="0.25">
      <c r="A579" s="5" t="s">
        <v>773</v>
      </c>
      <c r="B579" s="5" t="s">
        <v>38</v>
      </c>
      <c r="C579" s="5" t="s">
        <v>163</v>
      </c>
      <c r="D579" s="5">
        <v>0</v>
      </c>
      <c r="E579" s="5">
        <v>0</v>
      </c>
      <c r="F579" s="5">
        <v>0</v>
      </c>
      <c r="G579" s="6" t="e">
        <f t="shared" si="9"/>
        <v>#DIV/0!</v>
      </c>
      <c r="H579" s="5"/>
      <c r="I579" s="6">
        <f>D579/(VLOOKUP(B579,'[1]2021 Team'!$B$2:$G$33,3,FALSE))</f>
        <v>0</v>
      </c>
    </row>
    <row r="580" spans="1:9" x14ac:dyDescent="0.25">
      <c r="A580" s="5" t="s">
        <v>2514</v>
      </c>
      <c r="B580" s="5" t="s">
        <v>58</v>
      </c>
      <c r="C580" s="5" t="s">
        <v>153</v>
      </c>
      <c r="D580" s="5">
        <v>0</v>
      </c>
      <c r="E580" s="5">
        <v>0</v>
      </c>
      <c r="F580" s="5">
        <v>0</v>
      </c>
      <c r="G580" s="6" t="e">
        <f t="shared" si="9"/>
        <v>#DIV/0!</v>
      </c>
      <c r="H580" s="5"/>
      <c r="I580" s="6">
        <f>D580/(VLOOKUP(B580,'[1]2021 Team'!$B$2:$G$33,3,FALSE))</f>
        <v>0</v>
      </c>
    </row>
    <row r="581" spans="1:9" x14ac:dyDescent="0.25">
      <c r="A581" s="5" t="s">
        <v>2515</v>
      </c>
      <c r="B581" s="5" t="s">
        <v>54</v>
      </c>
      <c r="C581" s="5" t="s">
        <v>153</v>
      </c>
      <c r="D581" s="5">
        <v>0</v>
      </c>
      <c r="E581" s="5">
        <v>0</v>
      </c>
      <c r="F581" s="5">
        <v>0</v>
      </c>
      <c r="G581" s="6" t="e">
        <f t="shared" si="9"/>
        <v>#DIV/0!</v>
      </c>
      <c r="H581" s="5"/>
      <c r="I581" s="6">
        <f>D581/(VLOOKUP(B581,'[1]2021 Team'!$B$2:$G$33,3,FALSE))</f>
        <v>0</v>
      </c>
    </row>
    <row r="582" spans="1:9" x14ac:dyDescent="0.25">
      <c r="A582" s="5" t="s">
        <v>786</v>
      </c>
      <c r="B582" s="5" t="s">
        <v>20</v>
      </c>
      <c r="C582" s="5" t="s">
        <v>153</v>
      </c>
      <c r="D582" s="5">
        <v>0</v>
      </c>
      <c r="E582" s="5">
        <v>0</v>
      </c>
      <c r="F582" s="5">
        <v>0</v>
      </c>
      <c r="G582" s="6" t="e">
        <f t="shared" si="9"/>
        <v>#DIV/0!</v>
      </c>
      <c r="H582" s="5"/>
      <c r="I582" s="6">
        <f>D582/(VLOOKUP(B582,'[1]2021 Team'!$B$2:$G$33,3,FALSE))</f>
        <v>0</v>
      </c>
    </row>
    <row r="583" spans="1:9" x14ac:dyDescent="0.25">
      <c r="A583" s="5" t="s">
        <v>2646</v>
      </c>
      <c r="B583" s="5" t="s">
        <v>62</v>
      </c>
      <c r="C583" s="5" t="s">
        <v>163</v>
      </c>
      <c r="D583" s="5">
        <v>0</v>
      </c>
      <c r="E583" s="5">
        <v>0</v>
      </c>
      <c r="F583" s="5">
        <v>0</v>
      </c>
      <c r="G583" s="6" t="e">
        <f t="shared" si="9"/>
        <v>#DIV/0!</v>
      </c>
      <c r="H583" s="5"/>
      <c r="I583" s="6">
        <f>D583/(VLOOKUP(B583,'[1]2021 Team'!$B$2:$G$33,3,FALSE))</f>
        <v>0</v>
      </c>
    </row>
    <row r="584" spans="1:9" x14ac:dyDescent="0.25">
      <c r="A584" s="5" t="s">
        <v>1011</v>
      </c>
      <c r="B584" s="5" t="s">
        <v>26</v>
      </c>
      <c r="C584" s="5" t="s">
        <v>153</v>
      </c>
      <c r="D584" s="5">
        <v>0</v>
      </c>
      <c r="E584" s="5">
        <v>0</v>
      </c>
      <c r="F584" s="5">
        <v>0</v>
      </c>
      <c r="G584" s="6" t="e">
        <f t="shared" si="9"/>
        <v>#DIV/0!</v>
      </c>
      <c r="H584" s="5"/>
      <c r="I584" s="6">
        <f>D584/(VLOOKUP(B584,'[1]2021 Team'!$B$2:$G$33,3,FALSE))</f>
        <v>0</v>
      </c>
    </row>
    <row r="585" spans="1:9" x14ac:dyDescent="0.25">
      <c r="A585" s="5" t="s">
        <v>2647</v>
      </c>
      <c r="B585" s="5" t="s">
        <v>16</v>
      </c>
      <c r="C585" s="5" t="s">
        <v>163</v>
      </c>
      <c r="D585" s="5">
        <v>0</v>
      </c>
      <c r="E585" s="5">
        <v>0</v>
      </c>
      <c r="F585" s="5">
        <v>0</v>
      </c>
      <c r="G585" s="6" t="e">
        <f t="shared" si="9"/>
        <v>#DIV/0!</v>
      </c>
      <c r="H585" s="5"/>
      <c r="I585" s="6">
        <f>D585/(VLOOKUP(B585,'[1]2021 Team'!$B$2:$G$33,3,FALSE))</f>
        <v>0</v>
      </c>
    </row>
    <row r="586" spans="1:9" x14ac:dyDescent="0.25">
      <c r="A586" s="5" t="s">
        <v>889</v>
      </c>
      <c r="B586" s="5" t="s">
        <v>24</v>
      </c>
      <c r="C586" s="5" t="s">
        <v>153</v>
      </c>
      <c r="D586" s="5">
        <v>0</v>
      </c>
      <c r="E586" s="5">
        <v>0</v>
      </c>
      <c r="F586" s="5">
        <v>0</v>
      </c>
      <c r="G586" s="6" t="e">
        <f t="shared" si="9"/>
        <v>#DIV/0!</v>
      </c>
      <c r="H586" s="5"/>
      <c r="I586" s="6">
        <f>D586/(VLOOKUP(B586,'[1]2021 Team'!$B$2:$G$33,3,FALSE))</f>
        <v>0</v>
      </c>
    </row>
    <row r="587" spans="1:9" x14ac:dyDescent="0.25">
      <c r="A587" s="5" t="s">
        <v>2648</v>
      </c>
      <c r="B587" s="5" t="s">
        <v>70</v>
      </c>
      <c r="C587" s="5" t="s">
        <v>153</v>
      </c>
      <c r="D587" s="5">
        <v>0</v>
      </c>
      <c r="E587" s="5">
        <v>0</v>
      </c>
      <c r="F587" s="5">
        <v>0</v>
      </c>
      <c r="G587" s="6" t="e">
        <f t="shared" si="9"/>
        <v>#DIV/0!</v>
      </c>
      <c r="H587" s="5"/>
      <c r="I587" s="6">
        <f>D587/(VLOOKUP(B587,'[1]2021 Team'!$B$2:$G$33,3,FALSE))</f>
        <v>0</v>
      </c>
    </row>
    <row r="588" spans="1:9" x14ac:dyDescent="0.25">
      <c r="A588" s="5" t="s">
        <v>2649</v>
      </c>
      <c r="B588" s="5" t="s">
        <v>46</v>
      </c>
      <c r="C588" s="5" t="s">
        <v>153</v>
      </c>
      <c r="D588" s="5">
        <v>0</v>
      </c>
      <c r="E588" s="5">
        <v>0</v>
      </c>
      <c r="F588" s="5">
        <v>0</v>
      </c>
      <c r="G588" s="6" t="e">
        <f t="shared" si="9"/>
        <v>#DIV/0!</v>
      </c>
      <c r="H588" s="5"/>
      <c r="I588" s="6">
        <f>D588/(VLOOKUP(B588,'[1]2021 Team'!$B$2:$G$33,3,FALSE))</f>
        <v>0</v>
      </c>
    </row>
    <row r="589" spans="1:9" x14ac:dyDescent="0.25">
      <c r="A589" s="5" t="s">
        <v>2650</v>
      </c>
      <c r="B589" s="5" t="s">
        <v>10</v>
      </c>
      <c r="C589" s="5" t="s">
        <v>163</v>
      </c>
      <c r="D589" s="5">
        <v>0</v>
      </c>
      <c r="E589" s="5">
        <v>0</v>
      </c>
      <c r="F589" s="5">
        <v>0</v>
      </c>
      <c r="G589" s="6" t="e">
        <f t="shared" si="9"/>
        <v>#DIV/0!</v>
      </c>
      <c r="H589" s="5"/>
      <c r="I589" s="6">
        <f>D589/(VLOOKUP(B589,'[1]2021 Team'!$B$2:$G$33,3,FALSE))</f>
        <v>0</v>
      </c>
    </row>
    <row r="590" spans="1:9" x14ac:dyDescent="0.25">
      <c r="A590" s="5" t="s">
        <v>797</v>
      </c>
      <c r="B590" s="5" t="s">
        <v>62</v>
      </c>
      <c r="C590" s="5" t="s">
        <v>163</v>
      </c>
      <c r="D590" s="5">
        <v>0</v>
      </c>
      <c r="E590" s="5">
        <v>0</v>
      </c>
      <c r="F590" s="5">
        <v>0</v>
      </c>
      <c r="G590" s="6" t="e">
        <f t="shared" si="9"/>
        <v>#DIV/0!</v>
      </c>
      <c r="H590" s="5"/>
      <c r="I590" s="6">
        <f>D590/(VLOOKUP(B590,'[1]2021 Team'!$B$2:$G$33,3,FALSE))</f>
        <v>0</v>
      </c>
    </row>
    <row r="591" spans="1:9" x14ac:dyDescent="0.25">
      <c r="A591" s="5" t="s">
        <v>809</v>
      </c>
      <c r="B591" s="5" t="s">
        <v>54</v>
      </c>
      <c r="C591" s="5" t="s">
        <v>163</v>
      </c>
      <c r="D591" s="5">
        <v>0</v>
      </c>
      <c r="E591" s="5">
        <v>0</v>
      </c>
      <c r="F591" s="5">
        <v>0</v>
      </c>
      <c r="G591" s="6" t="e">
        <f t="shared" si="9"/>
        <v>#DIV/0!</v>
      </c>
      <c r="H591" s="5"/>
      <c r="I591" s="6">
        <f>D591/(VLOOKUP(B591,'[1]2021 Team'!$B$2:$G$33,3,FALSE))</f>
        <v>0</v>
      </c>
    </row>
    <row r="592" spans="1:9" x14ac:dyDescent="0.25">
      <c r="A592" s="5" t="s">
        <v>1002</v>
      </c>
      <c r="B592" s="5" t="s">
        <v>44</v>
      </c>
      <c r="C592" s="5" t="s">
        <v>163</v>
      </c>
      <c r="D592" s="5">
        <v>0</v>
      </c>
      <c r="E592" s="5">
        <v>0</v>
      </c>
      <c r="F592" s="5">
        <v>0</v>
      </c>
      <c r="G592" s="6" t="e">
        <f t="shared" si="9"/>
        <v>#DIV/0!</v>
      </c>
      <c r="H592" s="5"/>
      <c r="I592" s="6">
        <f>D592/(VLOOKUP(B592,'[1]2021 Team'!$B$2:$G$33,3,FALSE))</f>
        <v>0</v>
      </c>
    </row>
    <row r="593" spans="1:9" x14ac:dyDescent="0.25">
      <c r="A593" s="5" t="s">
        <v>2651</v>
      </c>
      <c r="B593" s="5" t="s">
        <v>36</v>
      </c>
      <c r="C593" s="5" t="s">
        <v>163</v>
      </c>
      <c r="D593" s="5">
        <v>0</v>
      </c>
      <c r="E593" s="5">
        <v>0</v>
      </c>
      <c r="F593" s="5">
        <v>0</v>
      </c>
      <c r="G593" s="6" t="e">
        <f t="shared" si="9"/>
        <v>#DIV/0!</v>
      </c>
      <c r="H593" s="5"/>
      <c r="I593" s="6">
        <f>D593/(VLOOKUP(B593,'[1]2021 Team'!$B$2:$G$33,3,FALSE))</f>
        <v>0</v>
      </c>
    </row>
    <row r="594" spans="1:9" x14ac:dyDescent="0.25">
      <c r="A594" s="5" t="s">
        <v>996</v>
      </c>
      <c r="B594" s="5" t="s">
        <v>58</v>
      </c>
      <c r="C594" s="5" t="s">
        <v>163</v>
      </c>
      <c r="D594" s="5">
        <v>0</v>
      </c>
      <c r="E594" s="5">
        <v>0</v>
      </c>
      <c r="F594" s="5">
        <v>0</v>
      </c>
      <c r="G594" s="6" t="e">
        <f t="shared" si="9"/>
        <v>#DIV/0!</v>
      </c>
      <c r="H594" s="5"/>
      <c r="I594" s="6">
        <f>D594/(VLOOKUP(B594,'[1]2021 Team'!$B$2:$G$33,3,FALSE))</f>
        <v>0</v>
      </c>
    </row>
    <row r="595" spans="1:9" x14ac:dyDescent="0.25">
      <c r="A595" s="5" t="s">
        <v>2652</v>
      </c>
      <c r="B595" s="5" t="s">
        <v>54</v>
      </c>
      <c r="C595" s="5" t="s">
        <v>153</v>
      </c>
      <c r="D595" s="5">
        <v>0</v>
      </c>
      <c r="E595" s="5">
        <v>0</v>
      </c>
      <c r="F595" s="5">
        <v>0</v>
      </c>
      <c r="G595" s="6" t="e">
        <f t="shared" si="9"/>
        <v>#DIV/0!</v>
      </c>
      <c r="H595" s="5"/>
      <c r="I595" s="6">
        <f>D595/(VLOOKUP(B595,'[1]2021 Team'!$B$2:$G$33,3,FALSE))</f>
        <v>0</v>
      </c>
    </row>
    <row r="596" spans="1:9" x14ac:dyDescent="0.25">
      <c r="A596" s="5" t="s">
        <v>2653</v>
      </c>
      <c r="B596" s="5" t="s">
        <v>10</v>
      </c>
      <c r="C596" s="5" t="s">
        <v>153</v>
      </c>
      <c r="D596" s="5">
        <v>0</v>
      </c>
      <c r="E596" s="5">
        <v>0</v>
      </c>
      <c r="F596" s="5">
        <v>0</v>
      </c>
      <c r="G596" s="6" t="e">
        <f t="shared" si="9"/>
        <v>#DIV/0!</v>
      </c>
      <c r="H596" s="5"/>
      <c r="I596" s="6">
        <f>D596/(VLOOKUP(B596,'[1]2021 Team'!$B$2:$G$33,3,FALSE))</f>
        <v>0</v>
      </c>
    </row>
    <row r="597" spans="1:9" x14ac:dyDescent="0.25">
      <c r="A597" s="5" t="s">
        <v>2654</v>
      </c>
      <c r="B597" s="5" t="s">
        <v>16</v>
      </c>
      <c r="C597" s="5" t="s">
        <v>159</v>
      </c>
      <c r="D597" s="5">
        <v>0</v>
      </c>
      <c r="E597" s="5">
        <v>0</v>
      </c>
      <c r="F597" s="5">
        <v>0</v>
      </c>
      <c r="G597" s="6" t="e">
        <f t="shared" si="9"/>
        <v>#DIV/0!</v>
      </c>
      <c r="H597" s="5"/>
      <c r="I597" s="6">
        <f>D597/(VLOOKUP(B597,'[1]2021 Team'!$B$2:$G$33,3,FALSE))</f>
        <v>0</v>
      </c>
    </row>
    <row r="598" spans="1:9" x14ac:dyDescent="0.25">
      <c r="A598" s="5" t="s">
        <v>2521</v>
      </c>
      <c r="B598" s="5" t="s">
        <v>52</v>
      </c>
      <c r="C598" s="5" t="s">
        <v>163</v>
      </c>
      <c r="D598" s="5">
        <v>0</v>
      </c>
      <c r="E598" s="5">
        <v>0</v>
      </c>
      <c r="F598" s="5">
        <v>0</v>
      </c>
      <c r="G598" s="6" t="e">
        <f t="shared" si="9"/>
        <v>#DIV/0!</v>
      </c>
      <c r="H598" s="5"/>
      <c r="I598" s="6">
        <f>D598/(VLOOKUP(B598,'[1]2021 Team'!$B$2:$G$33,3,FALSE))</f>
        <v>0</v>
      </c>
    </row>
    <row r="599" spans="1:9" x14ac:dyDescent="0.25">
      <c r="A599" s="5" t="s">
        <v>2655</v>
      </c>
      <c r="B599" s="5" t="s">
        <v>56</v>
      </c>
      <c r="C599" s="5" t="s">
        <v>163</v>
      </c>
      <c r="D599" s="5">
        <v>0</v>
      </c>
      <c r="E599" s="5">
        <v>0</v>
      </c>
      <c r="F599" s="5">
        <v>0</v>
      </c>
      <c r="G599" s="6" t="e">
        <f t="shared" si="9"/>
        <v>#DIV/0!</v>
      </c>
      <c r="H599" s="5"/>
      <c r="I599" s="6">
        <f>D599/(VLOOKUP(B599,'[1]2021 Team'!$B$2:$G$33,3,FALSE))</f>
        <v>0</v>
      </c>
    </row>
    <row r="600" spans="1:9" x14ac:dyDescent="0.25">
      <c r="A600" s="5" t="s">
        <v>1713</v>
      </c>
      <c r="B600" s="5" t="s">
        <v>48</v>
      </c>
      <c r="C600" s="5" t="s">
        <v>163</v>
      </c>
      <c r="D600" s="5">
        <v>0</v>
      </c>
      <c r="E600" s="5">
        <v>0</v>
      </c>
      <c r="F600" s="5">
        <v>0</v>
      </c>
      <c r="G600" s="6" t="e">
        <f t="shared" si="9"/>
        <v>#DIV/0!</v>
      </c>
      <c r="H600" s="5"/>
      <c r="I600" s="6">
        <f>D600/(VLOOKUP(B600,'[1]2021 Team'!$B$2:$G$33,3,FALSE))</f>
        <v>0</v>
      </c>
    </row>
    <row r="601" spans="1:9" x14ac:dyDescent="0.25">
      <c r="A601" s="5" t="s">
        <v>1846</v>
      </c>
      <c r="B601" s="5" t="s">
        <v>40</v>
      </c>
      <c r="C601" s="5" t="s">
        <v>163</v>
      </c>
      <c r="D601" s="5">
        <v>0</v>
      </c>
      <c r="E601" s="5">
        <v>0</v>
      </c>
      <c r="F601" s="5">
        <v>0</v>
      </c>
      <c r="G601" s="6" t="e">
        <f t="shared" si="9"/>
        <v>#DIV/0!</v>
      </c>
      <c r="H601" s="5"/>
      <c r="I601" s="6">
        <f>D601/(VLOOKUP(B601,'[1]2021 Team'!$B$2:$G$33,3,FALSE))</f>
        <v>0</v>
      </c>
    </row>
    <row r="602" spans="1:9" x14ac:dyDescent="0.25">
      <c r="A602" s="5" t="s">
        <v>1846</v>
      </c>
      <c r="B602" s="5" t="s">
        <v>16</v>
      </c>
      <c r="C602" s="5" t="s">
        <v>163</v>
      </c>
      <c r="D602" s="5">
        <v>0</v>
      </c>
      <c r="E602" s="5">
        <v>0</v>
      </c>
      <c r="F602" s="5">
        <v>0</v>
      </c>
      <c r="G602" s="6" t="e">
        <f t="shared" si="9"/>
        <v>#DIV/0!</v>
      </c>
      <c r="H602" s="5"/>
      <c r="I602" s="6">
        <f>D602/(VLOOKUP(B602,'[1]2021 Team'!$B$2:$G$33,3,FALSE))</f>
        <v>0</v>
      </c>
    </row>
    <row r="603" spans="1:9" x14ac:dyDescent="0.25">
      <c r="A603" s="5" t="s">
        <v>2656</v>
      </c>
      <c r="B603" s="5" t="s">
        <v>26</v>
      </c>
      <c r="C603" s="5" t="s">
        <v>163</v>
      </c>
      <c r="D603" s="5">
        <v>0</v>
      </c>
      <c r="E603" s="5">
        <v>0</v>
      </c>
      <c r="F603" s="5">
        <v>0</v>
      </c>
      <c r="G603" s="6" t="e">
        <f t="shared" si="9"/>
        <v>#DIV/0!</v>
      </c>
      <c r="H603" s="5"/>
      <c r="I603" s="6">
        <f>D603/(VLOOKUP(B603,'[1]2021 Team'!$B$2:$G$33,3,FALSE))</f>
        <v>0</v>
      </c>
    </row>
    <row r="604" spans="1:9" x14ac:dyDescent="0.25">
      <c r="A604" s="5" t="s">
        <v>2657</v>
      </c>
      <c r="B604" s="5" t="s">
        <v>24</v>
      </c>
      <c r="C604" s="5" t="s">
        <v>153</v>
      </c>
      <c r="D604" s="5">
        <v>0</v>
      </c>
      <c r="E604" s="5">
        <v>0</v>
      </c>
      <c r="F604" s="5">
        <v>0</v>
      </c>
      <c r="G604" s="6" t="e">
        <f t="shared" si="9"/>
        <v>#DIV/0!</v>
      </c>
      <c r="H604" s="5"/>
      <c r="I604" s="6">
        <f>D604/(VLOOKUP(B604,'[1]2021 Team'!$B$2:$G$33,3,FALSE))</f>
        <v>0</v>
      </c>
    </row>
    <row r="605" spans="1:9" x14ac:dyDescent="0.25">
      <c r="A605" s="5" t="s">
        <v>2658</v>
      </c>
      <c r="B605" s="5" t="s">
        <v>24</v>
      </c>
      <c r="C605" s="5" t="s">
        <v>2659</v>
      </c>
      <c r="D605" s="5">
        <v>0</v>
      </c>
      <c r="E605" s="5">
        <v>0</v>
      </c>
      <c r="F605" s="5">
        <v>0</v>
      </c>
      <c r="G605" s="6" t="e">
        <f t="shared" si="9"/>
        <v>#DIV/0!</v>
      </c>
      <c r="H605" s="5"/>
      <c r="I605" s="6">
        <f>D605/(VLOOKUP(B605,'[1]2021 Team'!$B$2:$G$33,3,FALSE))</f>
        <v>0</v>
      </c>
    </row>
    <row r="606" spans="1:9" x14ac:dyDescent="0.25">
      <c r="A606" s="5" t="s">
        <v>2660</v>
      </c>
      <c r="B606" s="5" t="s">
        <v>48</v>
      </c>
      <c r="C606" s="5" t="s">
        <v>153</v>
      </c>
      <c r="D606" s="5">
        <v>0</v>
      </c>
      <c r="E606" s="5">
        <v>0</v>
      </c>
      <c r="F606" s="5">
        <v>0</v>
      </c>
      <c r="G606" s="6" t="e">
        <f t="shared" si="9"/>
        <v>#DIV/0!</v>
      </c>
      <c r="H606" s="5"/>
      <c r="I606" s="6">
        <f>D606/(VLOOKUP(B606,'[1]2021 Team'!$B$2:$G$33,3,FALSE))</f>
        <v>0</v>
      </c>
    </row>
    <row r="607" spans="1:9" x14ac:dyDescent="0.25">
      <c r="A607" s="5" t="s">
        <v>960</v>
      </c>
      <c r="B607" s="5" t="s">
        <v>58</v>
      </c>
      <c r="C607" s="5" t="s">
        <v>153</v>
      </c>
      <c r="D607" s="5">
        <v>0</v>
      </c>
      <c r="E607" s="5">
        <v>0</v>
      </c>
      <c r="F607" s="5">
        <v>0</v>
      </c>
      <c r="G607" s="6" t="e">
        <f t="shared" si="9"/>
        <v>#DIV/0!</v>
      </c>
      <c r="H607" s="5"/>
      <c r="I607" s="6">
        <f>D607/(VLOOKUP(B607,'[1]2021 Team'!$B$2:$G$33,3,FALSE))</f>
        <v>0</v>
      </c>
    </row>
    <row r="608" spans="1:9" x14ac:dyDescent="0.25">
      <c r="A608" s="5" t="s">
        <v>1848</v>
      </c>
      <c r="B608" s="5" t="s">
        <v>34</v>
      </c>
      <c r="C608" s="5" t="s">
        <v>163</v>
      </c>
      <c r="D608" s="5">
        <v>0</v>
      </c>
      <c r="E608" s="5">
        <v>0</v>
      </c>
      <c r="F608" s="5">
        <v>0</v>
      </c>
      <c r="G608" s="6" t="e">
        <f t="shared" si="9"/>
        <v>#DIV/0!</v>
      </c>
      <c r="H608" s="5"/>
      <c r="I608" s="6">
        <f>D608/(VLOOKUP(B608,'[1]2021 Team'!$B$2:$G$33,3,FALSE))</f>
        <v>0</v>
      </c>
    </row>
    <row r="609" spans="1:9" x14ac:dyDescent="0.25">
      <c r="A609" s="5" t="s">
        <v>1850</v>
      </c>
      <c r="B609" s="5" t="s">
        <v>16</v>
      </c>
      <c r="C609" s="5" t="s">
        <v>153</v>
      </c>
      <c r="D609" s="5">
        <v>0</v>
      </c>
      <c r="E609" s="5">
        <v>0</v>
      </c>
      <c r="F609" s="5">
        <v>0</v>
      </c>
      <c r="G609" s="6" t="e">
        <f t="shared" si="9"/>
        <v>#DIV/0!</v>
      </c>
      <c r="H609" s="5"/>
      <c r="I609" s="6">
        <f>D609/(VLOOKUP(B609,'[1]2021 Team'!$B$2:$G$33,3,FALSE))</f>
        <v>0</v>
      </c>
    </row>
    <row r="610" spans="1:9" x14ac:dyDescent="0.25">
      <c r="A610" s="5" t="s">
        <v>184</v>
      </c>
      <c r="B610" s="5" t="s">
        <v>26</v>
      </c>
      <c r="C610" s="5" t="s">
        <v>163</v>
      </c>
      <c r="D610" s="5">
        <v>0</v>
      </c>
      <c r="E610" s="5">
        <v>0</v>
      </c>
      <c r="F610" s="5">
        <v>0</v>
      </c>
      <c r="G610" s="6" t="e">
        <f t="shared" si="9"/>
        <v>#DIV/0!</v>
      </c>
      <c r="H610" s="5"/>
      <c r="I610" s="6">
        <f>D610/(VLOOKUP(B610,'[1]2021 Team'!$B$2:$G$33,3,FALSE))</f>
        <v>0</v>
      </c>
    </row>
    <row r="611" spans="1:9" x14ac:dyDescent="0.25">
      <c r="A611" s="5" t="s">
        <v>1851</v>
      </c>
      <c r="B611" s="5" t="s">
        <v>68</v>
      </c>
      <c r="C611" s="5" t="s">
        <v>153</v>
      </c>
      <c r="D611" s="5">
        <v>0</v>
      </c>
      <c r="E611" s="5">
        <v>0</v>
      </c>
      <c r="F611" s="5">
        <v>0</v>
      </c>
      <c r="G611" s="6" t="e">
        <f t="shared" si="9"/>
        <v>#DIV/0!</v>
      </c>
      <c r="H611" s="5"/>
      <c r="I611" s="6">
        <f>D611/(VLOOKUP(B611,'[1]2021 Team'!$B$2:$G$33,3,FALSE))</f>
        <v>0</v>
      </c>
    </row>
    <row r="612" spans="1:9" x14ac:dyDescent="0.25">
      <c r="A612" s="5" t="s">
        <v>2523</v>
      </c>
      <c r="B612" s="5" t="s">
        <v>14</v>
      </c>
      <c r="C612" s="5" t="s">
        <v>153</v>
      </c>
      <c r="D612" s="5">
        <v>0</v>
      </c>
      <c r="E612" s="5">
        <v>0</v>
      </c>
      <c r="F612" s="5">
        <v>0</v>
      </c>
      <c r="G612" s="6" t="e">
        <f t="shared" si="9"/>
        <v>#DIV/0!</v>
      </c>
      <c r="H612" s="5"/>
      <c r="I612" s="6">
        <f>D612/(VLOOKUP(B612,'[1]2021 Team'!$B$2:$G$33,3,FALSE))</f>
        <v>0</v>
      </c>
    </row>
    <row r="613" spans="1:9" x14ac:dyDescent="0.25">
      <c r="A613" s="5" t="s">
        <v>2661</v>
      </c>
      <c r="B613" s="5" t="s">
        <v>20</v>
      </c>
      <c r="C613" s="5" t="s">
        <v>163</v>
      </c>
      <c r="D613" s="5">
        <v>0</v>
      </c>
      <c r="E613" s="5">
        <v>0</v>
      </c>
      <c r="F613" s="5">
        <v>0</v>
      </c>
      <c r="G613" s="6" t="e">
        <f t="shared" si="9"/>
        <v>#DIV/0!</v>
      </c>
      <c r="H613" s="5"/>
      <c r="I613" s="6">
        <f>D613/(VLOOKUP(B613,'[1]2021 Team'!$B$2:$G$33,3,FALSE))</f>
        <v>0</v>
      </c>
    </row>
    <row r="614" spans="1:9" x14ac:dyDescent="0.25">
      <c r="A614" s="5" t="s">
        <v>1852</v>
      </c>
      <c r="B614" s="5" t="s">
        <v>30</v>
      </c>
      <c r="C614" s="5" t="s">
        <v>163</v>
      </c>
      <c r="D614" s="5">
        <v>0</v>
      </c>
      <c r="E614" s="5">
        <v>0</v>
      </c>
      <c r="F614" s="5">
        <v>0</v>
      </c>
      <c r="G614" s="6" t="e">
        <f t="shared" si="9"/>
        <v>#DIV/0!</v>
      </c>
      <c r="H614" s="5"/>
      <c r="I614" s="6">
        <f>D614/(VLOOKUP(B614,'[1]2021 Team'!$B$2:$G$33,3,FALSE))</f>
        <v>0</v>
      </c>
    </row>
    <row r="615" spans="1:9" x14ac:dyDescent="0.25">
      <c r="A615" s="5" t="s">
        <v>1762</v>
      </c>
      <c r="B615" s="5" t="s">
        <v>20</v>
      </c>
      <c r="C615" s="5" t="s">
        <v>163</v>
      </c>
      <c r="D615" s="5">
        <v>0</v>
      </c>
      <c r="E615" s="5">
        <v>0</v>
      </c>
      <c r="F615" s="5">
        <v>0</v>
      </c>
      <c r="G615" s="6" t="e">
        <f t="shared" si="9"/>
        <v>#DIV/0!</v>
      </c>
      <c r="H615" s="5"/>
      <c r="I615" s="6">
        <f>D615/(VLOOKUP(B615,'[1]2021 Team'!$B$2:$G$33,3,FALSE))</f>
        <v>0</v>
      </c>
    </row>
    <row r="616" spans="1:9" x14ac:dyDescent="0.25">
      <c r="A616" s="5" t="s">
        <v>2662</v>
      </c>
      <c r="B616" s="5" t="s">
        <v>54</v>
      </c>
      <c r="C616" s="5" t="s">
        <v>2184</v>
      </c>
      <c r="D616" s="5">
        <v>0</v>
      </c>
      <c r="E616" s="5">
        <v>0</v>
      </c>
      <c r="F616" s="5">
        <v>0</v>
      </c>
      <c r="G616" s="6" t="e">
        <f t="shared" si="9"/>
        <v>#DIV/0!</v>
      </c>
      <c r="H616" s="5"/>
      <c r="I616" s="6">
        <f>D616/(VLOOKUP(B616,'[1]2021 Team'!$B$2:$G$33,3,FALSE))</f>
        <v>0</v>
      </c>
    </row>
    <row r="617" spans="1:9" x14ac:dyDescent="0.25">
      <c r="A617" s="5" t="s">
        <v>939</v>
      </c>
      <c r="B617" s="5" t="s">
        <v>16</v>
      </c>
      <c r="C617" s="5" t="s">
        <v>153</v>
      </c>
      <c r="D617" s="5">
        <v>0</v>
      </c>
      <c r="E617" s="5">
        <v>0</v>
      </c>
      <c r="F617" s="5">
        <v>0</v>
      </c>
      <c r="G617" s="6" t="e">
        <f t="shared" si="9"/>
        <v>#DIV/0!</v>
      </c>
      <c r="H617" s="5"/>
      <c r="I617" s="6">
        <f>D617/(VLOOKUP(B617,'[1]2021 Team'!$B$2:$G$33,3,FALSE))</f>
        <v>0</v>
      </c>
    </row>
    <row r="618" spans="1:9" x14ac:dyDescent="0.25">
      <c r="A618" s="5" t="s">
        <v>1763</v>
      </c>
      <c r="B618" s="5" t="s">
        <v>70</v>
      </c>
      <c r="C618" s="5" t="s">
        <v>153</v>
      </c>
      <c r="D618" s="5">
        <v>0</v>
      </c>
      <c r="E618" s="5">
        <v>0</v>
      </c>
      <c r="F618" s="5">
        <v>0</v>
      </c>
      <c r="G618" s="6" t="e">
        <f t="shared" si="9"/>
        <v>#DIV/0!</v>
      </c>
      <c r="H618" s="5"/>
      <c r="I618" s="6">
        <f>D618/(VLOOKUP(B618,'[1]2021 Team'!$B$2:$G$33,3,FALSE))</f>
        <v>0</v>
      </c>
    </row>
    <row r="619" spans="1:9" x14ac:dyDescent="0.25">
      <c r="A619" s="5" t="s">
        <v>2524</v>
      </c>
      <c r="B619" s="5" t="s">
        <v>20</v>
      </c>
      <c r="C619" s="5" t="s">
        <v>163</v>
      </c>
      <c r="D619" s="5">
        <v>0</v>
      </c>
      <c r="E619" s="5">
        <v>0</v>
      </c>
      <c r="F619" s="5">
        <v>0</v>
      </c>
      <c r="G619" s="6" t="e">
        <f t="shared" si="9"/>
        <v>#DIV/0!</v>
      </c>
      <c r="H619" s="5"/>
      <c r="I619" s="6">
        <f>D619/(VLOOKUP(B619,'[1]2021 Team'!$B$2:$G$33,3,FALSE))</f>
        <v>0</v>
      </c>
    </row>
    <row r="620" spans="1:9" x14ac:dyDescent="0.25">
      <c r="A620" s="5" t="s">
        <v>2663</v>
      </c>
      <c r="B620" s="5" t="s">
        <v>16</v>
      </c>
      <c r="C620" s="5" t="s">
        <v>153</v>
      </c>
      <c r="D620" s="5">
        <v>0</v>
      </c>
      <c r="E620" s="5">
        <v>0</v>
      </c>
      <c r="F620" s="5">
        <v>0</v>
      </c>
      <c r="G620" s="6" t="e">
        <f t="shared" si="9"/>
        <v>#DIV/0!</v>
      </c>
      <c r="H620" s="5"/>
      <c r="I620" s="6">
        <f>D620/(VLOOKUP(B620,'[1]2021 Team'!$B$2:$G$33,3,FALSE))</f>
        <v>0</v>
      </c>
    </row>
    <row r="621" spans="1:9" x14ac:dyDescent="0.25">
      <c r="A621" s="5" t="s">
        <v>2212</v>
      </c>
      <c r="B621" s="5" t="s">
        <v>12</v>
      </c>
      <c r="C621" s="5" t="s">
        <v>153</v>
      </c>
      <c r="D621" s="5">
        <v>0</v>
      </c>
      <c r="E621" s="5">
        <v>0</v>
      </c>
      <c r="F621" s="5">
        <v>0</v>
      </c>
      <c r="G621" s="6" t="e">
        <f t="shared" si="9"/>
        <v>#DIV/0!</v>
      </c>
      <c r="H621" s="5"/>
      <c r="I621" s="6">
        <f>D621/(VLOOKUP(B621,'[1]2021 Team'!$B$2:$G$33,3,FALSE))</f>
        <v>0</v>
      </c>
    </row>
    <row r="622" spans="1:9" x14ac:dyDescent="0.25">
      <c r="A622" s="5" t="s">
        <v>914</v>
      </c>
      <c r="B622" s="5" t="s">
        <v>30</v>
      </c>
      <c r="C622" s="5" t="s">
        <v>153</v>
      </c>
      <c r="D622" s="5">
        <v>0</v>
      </c>
      <c r="E622" s="5">
        <v>0</v>
      </c>
      <c r="F622" s="5">
        <v>0</v>
      </c>
      <c r="G622" s="6" t="e">
        <f t="shared" ref="G622:G655" si="10">F622/D622</f>
        <v>#DIV/0!</v>
      </c>
      <c r="H622" s="5"/>
      <c r="I622" s="6">
        <f>D622/(VLOOKUP(B622,'[1]2021 Team'!$B$2:$G$33,3,FALSE))</f>
        <v>0</v>
      </c>
    </row>
    <row r="623" spans="1:9" x14ac:dyDescent="0.25">
      <c r="A623" s="5" t="s">
        <v>869</v>
      </c>
      <c r="B623" s="5" t="s">
        <v>52</v>
      </c>
      <c r="C623" s="5" t="s">
        <v>153</v>
      </c>
      <c r="D623" s="5">
        <v>0</v>
      </c>
      <c r="E623" s="5">
        <v>0</v>
      </c>
      <c r="F623" s="5">
        <v>0</v>
      </c>
      <c r="G623" s="6" t="e">
        <f t="shared" si="10"/>
        <v>#DIV/0!</v>
      </c>
      <c r="H623" s="5"/>
      <c r="I623" s="6">
        <f>D623/(VLOOKUP(B623,'[1]2021 Team'!$B$2:$G$33,3,FALSE))</f>
        <v>0</v>
      </c>
    </row>
    <row r="624" spans="1:9" x14ac:dyDescent="0.25">
      <c r="A624" s="5" t="s">
        <v>1855</v>
      </c>
      <c r="B624" s="5" t="s">
        <v>36</v>
      </c>
      <c r="C624" s="5" t="s">
        <v>163</v>
      </c>
      <c r="D624" s="5">
        <v>0</v>
      </c>
      <c r="E624" s="5">
        <v>0</v>
      </c>
      <c r="F624" s="5">
        <v>0</v>
      </c>
      <c r="G624" s="6" t="e">
        <f t="shared" si="10"/>
        <v>#DIV/0!</v>
      </c>
      <c r="H624" s="5"/>
      <c r="I624" s="6">
        <f>D624/(VLOOKUP(B624,'[1]2021 Team'!$B$2:$G$33,3,FALSE))</f>
        <v>0</v>
      </c>
    </row>
    <row r="625" spans="1:9" x14ac:dyDescent="0.25">
      <c r="A625" s="5" t="s">
        <v>1019</v>
      </c>
      <c r="B625" s="5" t="s">
        <v>24</v>
      </c>
      <c r="C625" s="5" t="s">
        <v>163</v>
      </c>
      <c r="D625" s="5">
        <v>0</v>
      </c>
      <c r="E625" s="5">
        <v>0</v>
      </c>
      <c r="F625" s="5">
        <v>0</v>
      </c>
      <c r="G625" s="6" t="e">
        <f t="shared" si="10"/>
        <v>#DIV/0!</v>
      </c>
      <c r="H625" s="5"/>
      <c r="I625" s="6">
        <f>D625/(VLOOKUP(B625,'[1]2021 Team'!$B$2:$G$33,3,FALSE))</f>
        <v>0</v>
      </c>
    </row>
    <row r="626" spans="1:9" x14ac:dyDescent="0.25">
      <c r="A626" s="5" t="s">
        <v>1857</v>
      </c>
      <c r="B626" s="5" t="s">
        <v>20</v>
      </c>
      <c r="C626" s="5" t="s">
        <v>153</v>
      </c>
      <c r="D626" s="5">
        <v>0</v>
      </c>
      <c r="E626" s="5">
        <v>0</v>
      </c>
      <c r="F626" s="5">
        <v>0</v>
      </c>
      <c r="G626" s="6" t="e">
        <f t="shared" si="10"/>
        <v>#DIV/0!</v>
      </c>
      <c r="H626" s="5"/>
      <c r="I626" s="6">
        <f>D626/(VLOOKUP(B626,'[1]2021 Team'!$B$2:$G$33,3,FALSE))</f>
        <v>0</v>
      </c>
    </row>
    <row r="627" spans="1:9" x14ac:dyDescent="0.25">
      <c r="A627" s="5" t="s">
        <v>1003</v>
      </c>
      <c r="B627" s="5" t="s">
        <v>30</v>
      </c>
      <c r="C627" s="5" t="s">
        <v>163</v>
      </c>
      <c r="D627" s="5">
        <v>0</v>
      </c>
      <c r="E627" s="5">
        <v>0</v>
      </c>
      <c r="F627" s="5">
        <v>0</v>
      </c>
      <c r="G627" s="6" t="e">
        <f t="shared" si="10"/>
        <v>#DIV/0!</v>
      </c>
      <c r="H627" s="5"/>
      <c r="I627" s="6">
        <f>D627/(VLOOKUP(B627,'[1]2021 Team'!$B$2:$G$33,3,FALSE))</f>
        <v>0</v>
      </c>
    </row>
    <row r="628" spans="1:9" x14ac:dyDescent="0.25">
      <c r="A628" s="5" t="s">
        <v>1859</v>
      </c>
      <c r="B628" s="5" t="s">
        <v>52</v>
      </c>
      <c r="C628" s="5" t="s">
        <v>153</v>
      </c>
      <c r="D628" s="5">
        <v>0</v>
      </c>
      <c r="E628" s="5">
        <v>0</v>
      </c>
      <c r="F628" s="5">
        <v>0</v>
      </c>
      <c r="G628" s="6" t="e">
        <f t="shared" si="10"/>
        <v>#DIV/0!</v>
      </c>
      <c r="H628" s="5"/>
      <c r="I628" s="6">
        <f>D628/(VLOOKUP(B628,'[1]2021 Team'!$B$2:$G$33,3,FALSE))</f>
        <v>0</v>
      </c>
    </row>
    <row r="629" spans="1:9" x14ac:dyDescent="0.25">
      <c r="A629" s="5" t="s">
        <v>818</v>
      </c>
      <c r="B629" s="5" t="s">
        <v>12</v>
      </c>
      <c r="C629" s="5" t="s">
        <v>163</v>
      </c>
      <c r="D629" s="5">
        <v>0</v>
      </c>
      <c r="E629" s="5">
        <v>0</v>
      </c>
      <c r="F629" s="5">
        <v>0</v>
      </c>
      <c r="G629" s="6" t="e">
        <f t="shared" si="10"/>
        <v>#DIV/0!</v>
      </c>
      <c r="H629" s="5"/>
      <c r="I629" s="6">
        <f>D629/(VLOOKUP(B629,'[1]2021 Team'!$B$2:$G$33,3,FALSE))</f>
        <v>0</v>
      </c>
    </row>
    <row r="630" spans="1:9" x14ac:dyDescent="0.25">
      <c r="A630" s="5" t="s">
        <v>736</v>
      </c>
      <c r="B630" s="5" t="s">
        <v>40</v>
      </c>
      <c r="C630" s="5" t="s">
        <v>153</v>
      </c>
      <c r="D630" s="5">
        <v>0</v>
      </c>
      <c r="E630" s="5">
        <v>0</v>
      </c>
      <c r="F630" s="5">
        <v>0</v>
      </c>
      <c r="G630" s="6" t="e">
        <f t="shared" si="10"/>
        <v>#DIV/0!</v>
      </c>
      <c r="H630" s="5"/>
      <c r="I630" s="6">
        <f>D630/(VLOOKUP(B630,'[1]2021 Team'!$B$2:$G$33,3,FALSE))</f>
        <v>0</v>
      </c>
    </row>
    <row r="631" spans="1:9" x14ac:dyDescent="0.25">
      <c r="A631" s="5" t="s">
        <v>2396</v>
      </c>
      <c r="B631" s="5" t="s">
        <v>58</v>
      </c>
      <c r="C631" s="5" t="s">
        <v>163</v>
      </c>
      <c r="D631" s="5">
        <v>0</v>
      </c>
      <c r="E631" s="5">
        <v>0</v>
      </c>
      <c r="F631" s="5">
        <v>0</v>
      </c>
      <c r="G631" s="6" t="e">
        <f t="shared" si="10"/>
        <v>#DIV/0!</v>
      </c>
      <c r="H631" s="5"/>
      <c r="I631" s="6">
        <f>D631/(VLOOKUP(B631,'[1]2021 Team'!$B$2:$G$33,3,FALSE))</f>
        <v>0</v>
      </c>
    </row>
    <row r="632" spans="1:9" x14ac:dyDescent="0.25">
      <c r="A632" s="5" t="s">
        <v>2528</v>
      </c>
      <c r="B632" s="5" t="s">
        <v>12</v>
      </c>
      <c r="C632" s="5" t="s">
        <v>163</v>
      </c>
      <c r="D632" s="5">
        <v>0</v>
      </c>
      <c r="E632" s="5">
        <v>0</v>
      </c>
      <c r="F632" s="5">
        <v>0</v>
      </c>
      <c r="G632" s="6" t="e">
        <f t="shared" si="10"/>
        <v>#DIV/0!</v>
      </c>
      <c r="H632" s="5"/>
      <c r="I632" s="6">
        <f>D632/(VLOOKUP(B632,'[1]2021 Team'!$B$2:$G$33,3,FALSE))</f>
        <v>0</v>
      </c>
    </row>
    <row r="633" spans="1:9" x14ac:dyDescent="0.25">
      <c r="A633" s="5" t="s">
        <v>1862</v>
      </c>
      <c r="B633" s="5" t="s">
        <v>56</v>
      </c>
      <c r="C633" s="5" t="s">
        <v>153</v>
      </c>
      <c r="D633" s="5">
        <v>0</v>
      </c>
      <c r="E633" s="5">
        <v>0</v>
      </c>
      <c r="F633" s="5">
        <v>0</v>
      </c>
      <c r="G633" s="6" t="e">
        <f t="shared" si="10"/>
        <v>#DIV/0!</v>
      </c>
      <c r="H633" s="5"/>
      <c r="I633" s="6">
        <f>D633/(VLOOKUP(B633,'[1]2021 Team'!$B$2:$G$33,3,FALSE))</f>
        <v>0</v>
      </c>
    </row>
    <row r="634" spans="1:9" x14ac:dyDescent="0.25">
      <c r="A634" s="5" t="s">
        <v>2664</v>
      </c>
      <c r="B634" s="5" t="s">
        <v>8</v>
      </c>
      <c r="C634" s="5" t="s">
        <v>163</v>
      </c>
      <c r="D634" s="5">
        <v>0</v>
      </c>
      <c r="E634" s="5">
        <v>0</v>
      </c>
      <c r="F634" s="5">
        <v>0</v>
      </c>
      <c r="G634" s="6" t="e">
        <f t="shared" si="10"/>
        <v>#DIV/0!</v>
      </c>
      <c r="H634" s="5"/>
      <c r="I634" s="6">
        <f>D634/(VLOOKUP(B634,'[1]2021 Team'!$B$2:$G$33,3,FALSE))</f>
        <v>0</v>
      </c>
    </row>
    <row r="635" spans="1:9" x14ac:dyDescent="0.25">
      <c r="A635" s="5" t="s">
        <v>2665</v>
      </c>
      <c r="B635" s="5" t="s">
        <v>48</v>
      </c>
      <c r="C635" s="5" t="s">
        <v>163</v>
      </c>
      <c r="D635" s="5">
        <v>0</v>
      </c>
      <c r="E635" s="5">
        <v>0</v>
      </c>
      <c r="F635" s="5">
        <v>0</v>
      </c>
      <c r="G635" s="6" t="e">
        <f t="shared" si="10"/>
        <v>#DIV/0!</v>
      </c>
      <c r="H635" s="5"/>
      <c r="I635" s="6">
        <f>D635/(VLOOKUP(B635,'[1]2021 Team'!$B$2:$G$33,3,FALSE))</f>
        <v>0</v>
      </c>
    </row>
    <row r="636" spans="1:9" x14ac:dyDescent="0.25">
      <c r="A636" s="5" t="s">
        <v>947</v>
      </c>
      <c r="B636" s="5" t="s">
        <v>68</v>
      </c>
      <c r="C636" s="5" t="s">
        <v>163</v>
      </c>
      <c r="D636" s="5">
        <v>0</v>
      </c>
      <c r="E636" s="5">
        <v>0</v>
      </c>
      <c r="F636" s="5">
        <v>0</v>
      </c>
      <c r="G636" s="6" t="e">
        <f t="shared" si="10"/>
        <v>#DIV/0!</v>
      </c>
      <c r="H636" s="5"/>
      <c r="I636" s="6">
        <f>D636/(VLOOKUP(B636,'[1]2021 Team'!$B$2:$G$33,3,FALSE))</f>
        <v>0</v>
      </c>
    </row>
    <row r="637" spans="1:9" x14ac:dyDescent="0.25">
      <c r="A637" s="5" t="s">
        <v>1012</v>
      </c>
      <c r="B637" s="5" t="s">
        <v>60</v>
      </c>
      <c r="C637" s="5" t="s">
        <v>163</v>
      </c>
      <c r="D637" s="5">
        <v>0</v>
      </c>
      <c r="E637" s="5">
        <v>0</v>
      </c>
      <c r="F637" s="5">
        <v>0</v>
      </c>
      <c r="G637" s="6" t="e">
        <f t="shared" si="10"/>
        <v>#DIV/0!</v>
      </c>
      <c r="H637" s="5"/>
      <c r="I637" s="6">
        <f>D637/(VLOOKUP(B637,'[1]2021 Team'!$B$2:$G$33,3,FALSE))</f>
        <v>0</v>
      </c>
    </row>
    <row r="638" spans="1:9" x14ac:dyDescent="0.25">
      <c r="A638" s="5" t="s">
        <v>2530</v>
      </c>
      <c r="B638" s="5" t="s">
        <v>52</v>
      </c>
      <c r="C638" s="5" t="s">
        <v>163</v>
      </c>
      <c r="D638" s="5">
        <v>0</v>
      </c>
      <c r="E638" s="5">
        <v>0</v>
      </c>
      <c r="F638" s="5">
        <v>0</v>
      </c>
      <c r="G638" s="6" t="e">
        <f t="shared" si="10"/>
        <v>#DIV/0!</v>
      </c>
      <c r="H638" s="5"/>
      <c r="I638" s="6">
        <f>D638/(VLOOKUP(B638,'[1]2021 Team'!$B$2:$G$33,3,FALSE))</f>
        <v>0</v>
      </c>
    </row>
    <row r="639" spans="1:9" x14ac:dyDescent="0.25">
      <c r="A639" s="5" t="s">
        <v>1863</v>
      </c>
      <c r="B639" s="5" t="s">
        <v>20</v>
      </c>
      <c r="C639" s="5" t="s">
        <v>153</v>
      </c>
      <c r="D639" s="5">
        <v>0</v>
      </c>
      <c r="E639" s="5">
        <v>0</v>
      </c>
      <c r="F639" s="5">
        <v>0</v>
      </c>
      <c r="G639" s="6" t="e">
        <f t="shared" si="10"/>
        <v>#DIV/0!</v>
      </c>
      <c r="H639" s="5"/>
      <c r="I639" s="6">
        <f>D639/(VLOOKUP(B639,'[1]2021 Team'!$B$2:$G$33,3,FALSE))</f>
        <v>0</v>
      </c>
    </row>
    <row r="640" spans="1:9" x14ac:dyDescent="0.25">
      <c r="A640" s="5" t="s">
        <v>2214</v>
      </c>
      <c r="B640" s="5" t="s">
        <v>50</v>
      </c>
      <c r="C640" s="5" t="s">
        <v>163</v>
      </c>
      <c r="D640" s="5">
        <v>0</v>
      </c>
      <c r="E640" s="5">
        <v>0</v>
      </c>
      <c r="F640" s="5">
        <v>0</v>
      </c>
      <c r="G640" s="6" t="e">
        <f t="shared" si="10"/>
        <v>#DIV/0!</v>
      </c>
      <c r="H640" s="5"/>
      <c r="I640" s="6">
        <f>D640/(VLOOKUP(B640,'[1]2021 Team'!$B$2:$G$33,3,FALSE))</f>
        <v>0</v>
      </c>
    </row>
    <row r="641" spans="1:9" x14ac:dyDescent="0.25">
      <c r="A641" s="5" t="s">
        <v>2666</v>
      </c>
      <c r="B641" s="5" t="s">
        <v>46</v>
      </c>
      <c r="C641" s="5" t="s">
        <v>2667</v>
      </c>
      <c r="D641" s="5">
        <v>0</v>
      </c>
      <c r="E641" s="5">
        <v>0</v>
      </c>
      <c r="F641" s="5">
        <v>0</v>
      </c>
      <c r="G641" s="6" t="e">
        <f t="shared" si="10"/>
        <v>#DIV/0!</v>
      </c>
      <c r="H641" s="5"/>
      <c r="I641" s="6">
        <f>D641/(VLOOKUP(B641,'[1]2021 Team'!$B$2:$G$33,3,FALSE))</f>
        <v>0</v>
      </c>
    </row>
    <row r="642" spans="1:9" x14ac:dyDescent="0.25">
      <c r="A642" s="5" t="s">
        <v>2531</v>
      </c>
      <c r="B642" s="5" t="s">
        <v>8</v>
      </c>
      <c r="C642" s="5" t="s">
        <v>153</v>
      </c>
      <c r="D642" s="5">
        <v>0</v>
      </c>
      <c r="E642" s="5">
        <v>0</v>
      </c>
      <c r="F642" s="5">
        <v>0</v>
      </c>
      <c r="G642" s="6" t="e">
        <f t="shared" si="10"/>
        <v>#DIV/0!</v>
      </c>
      <c r="H642" s="5"/>
      <c r="I642" s="6">
        <f>D642/(VLOOKUP(B642,'[1]2021 Team'!$B$2:$G$33,3,FALSE))</f>
        <v>0</v>
      </c>
    </row>
    <row r="643" spans="1:9" x14ac:dyDescent="0.25">
      <c r="A643" s="5" t="s">
        <v>1767</v>
      </c>
      <c r="B643" s="5" t="s">
        <v>42</v>
      </c>
      <c r="C643" s="5" t="s">
        <v>163</v>
      </c>
      <c r="D643" s="5">
        <v>0</v>
      </c>
      <c r="E643" s="5">
        <v>0</v>
      </c>
      <c r="F643" s="5">
        <v>0</v>
      </c>
      <c r="G643" s="6" t="e">
        <f t="shared" si="10"/>
        <v>#DIV/0!</v>
      </c>
      <c r="H643" s="5"/>
      <c r="I643" s="6">
        <f>D643/(VLOOKUP(B643,'[1]2021 Team'!$B$2:$G$33,3,FALSE))</f>
        <v>0</v>
      </c>
    </row>
    <row r="644" spans="1:9" x14ac:dyDescent="0.25">
      <c r="A644" s="5" t="s">
        <v>2668</v>
      </c>
      <c r="B644" s="5" t="s">
        <v>26</v>
      </c>
      <c r="C644" s="5" t="s">
        <v>163</v>
      </c>
      <c r="D644" s="5">
        <v>0</v>
      </c>
      <c r="E644" s="5">
        <v>0</v>
      </c>
      <c r="F644" s="5">
        <v>0</v>
      </c>
      <c r="G644" s="6" t="e">
        <f t="shared" si="10"/>
        <v>#DIV/0!</v>
      </c>
      <c r="H644" s="5"/>
      <c r="I644" s="6">
        <f>D644/(VLOOKUP(B644,'[1]2021 Team'!$B$2:$G$33,3,FALSE))</f>
        <v>0</v>
      </c>
    </row>
    <row r="645" spans="1:9" x14ac:dyDescent="0.25">
      <c r="A645" s="5" t="s">
        <v>2669</v>
      </c>
      <c r="B645" s="5" t="s">
        <v>62</v>
      </c>
      <c r="C645" s="5" t="s">
        <v>2184</v>
      </c>
      <c r="D645" s="5">
        <v>0</v>
      </c>
      <c r="E645" s="5">
        <v>0</v>
      </c>
      <c r="F645" s="5">
        <v>0</v>
      </c>
      <c r="G645" s="6" t="e">
        <f t="shared" si="10"/>
        <v>#DIV/0!</v>
      </c>
      <c r="H645" s="5"/>
      <c r="I645" s="6">
        <f>D645/(VLOOKUP(B645,'[1]2021 Team'!$B$2:$G$33,3,FALSE))</f>
        <v>0</v>
      </c>
    </row>
    <row r="646" spans="1:9" x14ac:dyDescent="0.25">
      <c r="A646" s="5" t="s">
        <v>2670</v>
      </c>
      <c r="B646" s="5" t="s">
        <v>28</v>
      </c>
      <c r="C646" s="5" t="s">
        <v>163</v>
      </c>
      <c r="D646" s="5">
        <v>0</v>
      </c>
      <c r="E646" s="5">
        <v>0</v>
      </c>
      <c r="F646" s="5">
        <v>0</v>
      </c>
      <c r="G646" s="6" t="e">
        <f t="shared" si="10"/>
        <v>#DIV/0!</v>
      </c>
      <c r="H646" s="5"/>
      <c r="I646" s="6">
        <f>D646/(VLOOKUP(B646,'[1]2021 Team'!$B$2:$G$33,3,FALSE))</f>
        <v>0</v>
      </c>
    </row>
    <row r="647" spans="1:9" x14ac:dyDescent="0.25">
      <c r="A647" s="5" t="s">
        <v>1865</v>
      </c>
      <c r="B647" s="5" t="s">
        <v>30</v>
      </c>
      <c r="C647" s="5" t="s">
        <v>163</v>
      </c>
      <c r="D647" s="5">
        <v>0</v>
      </c>
      <c r="E647" s="5">
        <v>0</v>
      </c>
      <c r="F647" s="5">
        <v>0</v>
      </c>
      <c r="G647" s="6" t="e">
        <f t="shared" si="10"/>
        <v>#DIV/0!</v>
      </c>
      <c r="H647" s="5"/>
      <c r="I647" s="6">
        <f>D647/(VLOOKUP(B647,'[1]2021 Team'!$B$2:$G$33,3,FALSE))</f>
        <v>0</v>
      </c>
    </row>
    <row r="648" spans="1:9" x14ac:dyDescent="0.25">
      <c r="A648" s="5" t="s">
        <v>2671</v>
      </c>
      <c r="B648" s="5" t="s">
        <v>52</v>
      </c>
      <c r="C648" s="5" t="s">
        <v>163</v>
      </c>
      <c r="D648" s="5">
        <v>0</v>
      </c>
      <c r="E648" s="5">
        <v>0</v>
      </c>
      <c r="F648" s="5">
        <v>0</v>
      </c>
      <c r="G648" s="6" t="e">
        <f t="shared" si="10"/>
        <v>#DIV/0!</v>
      </c>
      <c r="H648" s="5"/>
      <c r="I648" s="6">
        <f>D648/(VLOOKUP(B648,'[1]2021 Team'!$B$2:$G$33,3,FALSE))</f>
        <v>0</v>
      </c>
    </row>
    <row r="649" spans="1:9" x14ac:dyDescent="0.25">
      <c r="A649" s="5" t="s">
        <v>811</v>
      </c>
      <c r="B649" s="5" t="s">
        <v>62</v>
      </c>
      <c r="C649" s="5" t="s">
        <v>153</v>
      </c>
      <c r="D649" s="5">
        <v>0</v>
      </c>
      <c r="E649" s="5">
        <v>0</v>
      </c>
      <c r="F649" s="5">
        <v>0</v>
      </c>
      <c r="G649" s="6" t="e">
        <f t="shared" si="10"/>
        <v>#DIV/0!</v>
      </c>
      <c r="H649" s="5"/>
      <c r="I649" s="6">
        <f>D649/(VLOOKUP(B649,'[1]2021 Team'!$B$2:$G$33,3,FALSE))</f>
        <v>0</v>
      </c>
    </row>
    <row r="650" spans="1:9" x14ac:dyDescent="0.25">
      <c r="A650" s="5" t="s">
        <v>2672</v>
      </c>
      <c r="B650" s="5" t="s">
        <v>52</v>
      </c>
      <c r="C650" s="5" t="s">
        <v>153</v>
      </c>
      <c r="D650" s="5">
        <v>0</v>
      </c>
      <c r="E650" s="5">
        <v>0</v>
      </c>
      <c r="F650" s="5">
        <v>0</v>
      </c>
      <c r="G650" s="6" t="e">
        <f t="shared" si="10"/>
        <v>#DIV/0!</v>
      </c>
      <c r="H650" s="5"/>
      <c r="I650" s="6">
        <f>D650/(VLOOKUP(B650,'[1]2021 Team'!$B$2:$G$33,3,FALSE))</f>
        <v>0</v>
      </c>
    </row>
    <row r="651" spans="1:9" x14ac:dyDescent="0.25">
      <c r="A651" s="5" t="s">
        <v>876</v>
      </c>
      <c r="B651" s="5" t="s">
        <v>28</v>
      </c>
      <c r="C651" s="5" t="s">
        <v>153</v>
      </c>
      <c r="D651" s="5">
        <v>0</v>
      </c>
      <c r="E651" s="5">
        <v>0</v>
      </c>
      <c r="F651" s="5">
        <v>0</v>
      </c>
      <c r="G651" s="6" t="e">
        <f t="shared" si="10"/>
        <v>#DIV/0!</v>
      </c>
      <c r="H651" s="5"/>
      <c r="I651" s="6">
        <f>D651/(VLOOKUP(B651,'[1]2021 Team'!$B$2:$G$33,3,FALSE))</f>
        <v>0</v>
      </c>
    </row>
    <row r="652" spans="1:9" x14ac:dyDescent="0.25">
      <c r="A652" s="5" t="s">
        <v>1866</v>
      </c>
      <c r="B652" s="5" t="s">
        <v>56</v>
      </c>
      <c r="C652" s="5" t="s">
        <v>153</v>
      </c>
      <c r="D652" s="5">
        <v>0</v>
      </c>
      <c r="E652" s="5">
        <v>0</v>
      </c>
      <c r="F652" s="5">
        <v>0</v>
      </c>
      <c r="G652" s="6" t="e">
        <f t="shared" si="10"/>
        <v>#DIV/0!</v>
      </c>
      <c r="H652" s="5"/>
      <c r="I652" s="6">
        <f>D652/(VLOOKUP(B652,'[1]2021 Team'!$B$2:$G$33,3,FALSE))</f>
        <v>0</v>
      </c>
    </row>
    <row r="653" spans="1:9" x14ac:dyDescent="0.25">
      <c r="A653" s="5" t="s">
        <v>2673</v>
      </c>
      <c r="B653" s="5" t="s">
        <v>66</v>
      </c>
      <c r="C653" s="5" t="s">
        <v>153</v>
      </c>
      <c r="D653" s="5">
        <v>0</v>
      </c>
      <c r="E653" s="5">
        <v>0</v>
      </c>
      <c r="F653" s="5">
        <v>0</v>
      </c>
      <c r="G653" s="6" t="e">
        <f t="shared" si="10"/>
        <v>#DIV/0!</v>
      </c>
      <c r="H653" s="5"/>
      <c r="I653" s="6">
        <f>D653/(VLOOKUP(B653,'[1]2021 Team'!$B$2:$G$33,3,FALSE))</f>
        <v>0</v>
      </c>
    </row>
    <row r="654" spans="1:9" x14ac:dyDescent="0.25">
      <c r="A654" s="5" t="s">
        <v>2406</v>
      </c>
      <c r="B654" s="5" t="s">
        <v>16</v>
      </c>
      <c r="C654" s="5" t="s">
        <v>163</v>
      </c>
      <c r="D654" s="5">
        <v>0</v>
      </c>
      <c r="E654" s="5">
        <v>0</v>
      </c>
      <c r="F654" s="5">
        <v>0</v>
      </c>
      <c r="G654" s="6" t="e">
        <f t="shared" si="10"/>
        <v>#DIV/0!</v>
      </c>
      <c r="H654" s="5"/>
      <c r="I654" s="6">
        <f>D654/(VLOOKUP(B654,'[1]2021 Team'!$B$2:$G$33,3,FALSE))</f>
        <v>0</v>
      </c>
    </row>
    <row r="655" spans="1:9" x14ac:dyDescent="0.25">
      <c r="A655" s="5" t="s">
        <v>877</v>
      </c>
      <c r="B655" s="5" t="s">
        <v>28</v>
      </c>
      <c r="C655" s="5" t="s">
        <v>153</v>
      </c>
      <c r="D655" s="5">
        <v>0</v>
      </c>
      <c r="E655" s="5">
        <v>0</v>
      </c>
      <c r="F655" s="5">
        <v>0</v>
      </c>
      <c r="G655" s="6" t="e">
        <f t="shared" si="10"/>
        <v>#DIV/0!</v>
      </c>
      <c r="H655" s="5"/>
      <c r="I655" s="6">
        <f>D655/(VLOOKUP(B655,'[1]2021 Team'!$B$2:$G$33,3,FALSE))</f>
        <v>0</v>
      </c>
    </row>
  </sheetData>
  <autoFilter ref="A1:I655" xr:uid="{FFA98ACF-CD0B-4F81-8F98-BB060A4A4BA9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6"/>
  <sheetViews>
    <sheetView workbookViewId="0"/>
  </sheetViews>
  <sheetFormatPr defaultRowHeight="15" x14ac:dyDescent="0.25"/>
  <cols>
    <col min="1" max="1" width="24.28515625" customWidth="1"/>
    <col min="2" max="3" width="11.140625" customWidth="1"/>
    <col min="4" max="5" width="11.140625" style="4" customWidth="1"/>
    <col min="6" max="6" width="12.140625" style="4" customWidth="1"/>
    <col min="7" max="8" width="12.140625" customWidth="1"/>
    <col min="9" max="10" width="12.140625" style="3" customWidth="1"/>
    <col min="11" max="12" width="12.140625" customWidth="1"/>
  </cols>
  <sheetData>
    <row r="1" spans="1:12" x14ac:dyDescent="0.25">
      <c r="A1" t="s">
        <v>71</v>
      </c>
      <c r="B1" t="s">
        <v>0</v>
      </c>
      <c r="C1" s="1" t="s">
        <v>72</v>
      </c>
      <c r="D1" s="4" t="s">
        <v>1051</v>
      </c>
      <c r="E1" s="4" t="s">
        <v>1052</v>
      </c>
      <c r="F1" s="4" t="s">
        <v>76</v>
      </c>
      <c r="G1" t="s">
        <v>1053</v>
      </c>
      <c r="H1" t="s">
        <v>188</v>
      </c>
      <c r="I1" s="3" t="s">
        <v>189</v>
      </c>
      <c r="J1" s="3" t="s">
        <v>1054</v>
      </c>
      <c r="K1" t="s">
        <v>1055</v>
      </c>
      <c r="L1" t="s">
        <v>1056</v>
      </c>
    </row>
    <row r="2" spans="1:12" x14ac:dyDescent="0.25">
      <c r="A2" t="s">
        <v>623</v>
      </c>
      <c r="B2" t="s">
        <v>64</v>
      </c>
      <c r="C2" s="1" t="s">
        <v>163</v>
      </c>
      <c r="D2" s="4" t="s">
        <v>306</v>
      </c>
      <c r="E2" s="4" t="s">
        <v>346</v>
      </c>
      <c r="F2" s="4" t="s">
        <v>1057</v>
      </c>
      <c r="G2" t="s">
        <v>1058</v>
      </c>
      <c r="H2" t="s">
        <v>211</v>
      </c>
      <c r="I2" s="3">
        <f>RUSH__2[[#This Row],[TD]]/RUSH__2[[#This Row],[Rec]]</f>
        <v>8.4033613445378158E-2</v>
      </c>
      <c r="J2" s="3">
        <f>D2/(VLOOKUP(B2,'2025 Team'!$B$2:$G$33,2,FALSE))</f>
        <v>0.3388773388773389</v>
      </c>
      <c r="K2" t="s">
        <v>1059</v>
      </c>
      <c r="L2" t="s">
        <v>314</v>
      </c>
    </row>
    <row r="3" spans="1:12" x14ac:dyDescent="0.25">
      <c r="A3" t="s">
        <v>689</v>
      </c>
      <c r="B3" t="s">
        <v>28</v>
      </c>
      <c r="C3" s="1" t="s">
        <v>163</v>
      </c>
      <c r="D3" s="4" t="s">
        <v>1060</v>
      </c>
      <c r="E3" s="4" t="s">
        <v>546</v>
      </c>
      <c r="F3" s="4" t="s">
        <v>1061</v>
      </c>
      <c r="G3" t="s">
        <v>752</v>
      </c>
      <c r="H3" t="s">
        <v>266</v>
      </c>
      <c r="I3" s="3">
        <f>RUSH__2[[#This Row],[TD]]/RUSH__2[[#This Row],[Rec]]</f>
        <v>9.4017094017094016E-2</v>
      </c>
      <c r="J3" s="3">
        <f>D3/(VLOOKUP(B3,'2025 Team'!$B$2:$G$33,2,FALSE))</f>
        <v>0.29553264604810997</v>
      </c>
      <c r="K3" t="s">
        <v>1062</v>
      </c>
      <c r="L3" t="s">
        <v>300</v>
      </c>
    </row>
    <row r="4" spans="1:12" x14ac:dyDescent="0.25">
      <c r="A4" t="s">
        <v>700</v>
      </c>
      <c r="B4" t="s">
        <v>48</v>
      </c>
      <c r="C4" s="1" t="s">
        <v>163</v>
      </c>
      <c r="D4" s="4" t="s">
        <v>1063</v>
      </c>
      <c r="E4" s="4" t="s">
        <v>405</v>
      </c>
      <c r="F4" s="4" t="s">
        <v>1064</v>
      </c>
      <c r="G4" t="s">
        <v>1065</v>
      </c>
      <c r="H4" t="s">
        <v>289</v>
      </c>
      <c r="I4" s="3">
        <f>RUSH__2[[#This Row],[TD]]/RUSH__2[[#This Row],[Rec]]</f>
        <v>2.3809523809523808E-2</v>
      </c>
      <c r="J4" s="3">
        <f>D4/(VLOOKUP(B4,'2025 Team'!$B$2:$G$33,2,FALSE))</f>
        <v>0.29132231404958675</v>
      </c>
      <c r="K4" t="s">
        <v>1066</v>
      </c>
      <c r="L4" t="s">
        <v>417</v>
      </c>
    </row>
    <row r="5" spans="1:12" x14ac:dyDescent="0.25">
      <c r="A5" t="s">
        <v>693</v>
      </c>
      <c r="B5" t="s">
        <v>20</v>
      </c>
      <c r="C5" s="1" t="s">
        <v>163</v>
      </c>
      <c r="D5" s="4" t="s">
        <v>1067</v>
      </c>
      <c r="E5" s="4" t="s">
        <v>328</v>
      </c>
      <c r="F5" s="4" t="s">
        <v>1068</v>
      </c>
      <c r="G5" t="s">
        <v>680</v>
      </c>
      <c r="H5" t="s">
        <v>225</v>
      </c>
      <c r="I5" s="3">
        <f>RUSH__2[[#This Row],[TD]]/RUSH__2[[#This Row],[Rec]]</f>
        <v>6.4000000000000001E-2</v>
      </c>
      <c r="J5" s="3">
        <f>D5/(VLOOKUP(B5,'2025 Team'!$B$2:$G$33,2,FALSE))</f>
        <v>0.2890625</v>
      </c>
      <c r="K5" t="s">
        <v>1069</v>
      </c>
      <c r="L5" t="s">
        <v>300</v>
      </c>
    </row>
    <row r="6" spans="1:12" x14ac:dyDescent="0.25">
      <c r="A6" t="s">
        <v>572</v>
      </c>
      <c r="B6" t="s">
        <v>12</v>
      </c>
      <c r="C6" s="1" t="s">
        <v>163</v>
      </c>
      <c r="D6" s="4" t="s">
        <v>366</v>
      </c>
      <c r="E6" s="4" t="s">
        <v>371</v>
      </c>
      <c r="F6" s="4" t="s">
        <v>1070</v>
      </c>
      <c r="G6" t="s">
        <v>1071</v>
      </c>
      <c r="H6" t="s">
        <v>220</v>
      </c>
      <c r="I6" s="3">
        <f>RUSH__2[[#This Row],[TD]]/RUSH__2[[#This Row],[Rec]]</f>
        <v>5.8139534883720929E-2</v>
      </c>
      <c r="J6" s="3">
        <f>D6/(VLOOKUP(B6,'2025 Team'!$B$2:$G$33,2,FALSE))</f>
        <v>0.27962085308056872</v>
      </c>
      <c r="K6" t="s">
        <v>1072</v>
      </c>
      <c r="L6" t="s">
        <v>314</v>
      </c>
    </row>
    <row r="7" spans="1:12" x14ac:dyDescent="0.25">
      <c r="A7" t="s">
        <v>604</v>
      </c>
      <c r="B7" t="s">
        <v>44</v>
      </c>
      <c r="C7" s="1" t="s">
        <v>163</v>
      </c>
      <c r="D7" s="4" t="s">
        <v>1073</v>
      </c>
      <c r="E7" s="4" t="s">
        <v>481</v>
      </c>
      <c r="F7" s="4" t="s">
        <v>1074</v>
      </c>
      <c r="G7" t="s">
        <v>1075</v>
      </c>
      <c r="H7" t="s">
        <v>211</v>
      </c>
      <c r="I7" s="3">
        <f>RUSH__2[[#This Row],[TD]]/RUSH__2[[#This Row],[Rec]]</f>
        <v>7.7519379844961239E-2</v>
      </c>
      <c r="J7" s="3">
        <f>D7/(VLOOKUP(B7,'2025 Team'!$B$2:$G$33,2,FALSE))</f>
        <v>0.27759197324414714</v>
      </c>
      <c r="K7" t="s">
        <v>1076</v>
      </c>
      <c r="L7" t="s">
        <v>300</v>
      </c>
    </row>
    <row r="8" spans="1:12" x14ac:dyDescent="0.25">
      <c r="A8" t="s">
        <v>681</v>
      </c>
      <c r="B8" t="s">
        <v>54</v>
      </c>
      <c r="C8" s="1" t="s">
        <v>163</v>
      </c>
      <c r="D8" s="4" t="s">
        <v>1077</v>
      </c>
      <c r="E8" s="4" t="s">
        <v>374</v>
      </c>
      <c r="F8" s="4" t="s">
        <v>1078</v>
      </c>
      <c r="G8" t="s">
        <v>779</v>
      </c>
      <c r="H8" t="s">
        <v>229</v>
      </c>
      <c r="I8" s="3">
        <f>RUSH__2[[#This Row],[TD]]/RUSH__2[[#This Row],[Rec]]</f>
        <v>4.3478260869565216E-2</v>
      </c>
      <c r="J8" s="3">
        <f>D8/(VLOOKUP(B8,'2025 Team'!$B$2:$G$33,2,FALSE))</f>
        <v>0.26615969581749049</v>
      </c>
      <c r="K8" t="s">
        <v>1079</v>
      </c>
      <c r="L8" t="s">
        <v>300</v>
      </c>
    </row>
    <row r="9" spans="1:12" x14ac:dyDescent="0.25">
      <c r="A9" t="s">
        <v>177</v>
      </c>
      <c r="B9" t="s">
        <v>52</v>
      </c>
      <c r="C9" s="1" t="s">
        <v>163</v>
      </c>
      <c r="D9" s="4" t="s">
        <v>1080</v>
      </c>
      <c r="E9" s="4" t="s">
        <v>1081</v>
      </c>
      <c r="F9" s="4" t="s">
        <v>1082</v>
      </c>
      <c r="G9" t="s">
        <v>1083</v>
      </c>
      <c r="H9" t="s">
        <v>270</v>
      </c>
      <c r="I9" s="3">
        <f>RUSH__2[[#This Row],[TD]]/RUSH__2[[#This Row],[Rec]]</f>
        <v>0.09</v>
      </c>
      <c r="J9" s="3">
        <f>D9/(VLOOKUP(B9,'2025 Team'!$B$2:$G$33,2,FALSE))</f>
        <v>0.26395939086294418</v>
      </c>
      <c r="K9" t="s">
        <v>1084</v>
      </c>
      <c r="L9" t="s">
        <v>417</v>
      </c>
    </row>
    <row r="10" spans="1:12" x14ac:dyDescent="0.25">
      <c r="A10" t="s">
        <v>795</v>
      </c>
      <c r="B10" t="s">
        <v>8</v>
      </c>
      <c r="C10" s="1" t="s">
        <v>153</v>
      </c>
      <c r="D10" s="4" t="s">
        <v>303</v>
      </c>
      <c r="E10" s="4" t="s">
        <v>1085</v>
      </c>
      <c r="F10" s="4" t="s">
        <v>1086</v>
      </c>
      <c r="G10" t="s">
        <v>579</v>
      </c>
      <c r="H10" t="s">
        <v>266</v>
      </c>
      <c r="I10" s="3">
        <f>RUSH__2[[#This Row],[TD]]/RUSH__2[[#This Row],[Rec]]</f>
        <v>8.7301587301587297E-2</v>
      </c>
      <c r="J10" s="3">
        <f>D10/(VLOOKUP(B10,'2025 Team'!$B$2:$G$33,2,FALSE))</f>
        <v>0.26040061633281975</v>
      </c>
      <c r="K10" t="s">
        <v>1087</v>
      </c>
      <c r="L10" t="s">
        <v>417</v>
      </c>
    </row>
    <row r="11" spans="1:12" x14ac:dyDescent="0.25">
      <c r="A11" t="s">
        <v>988</v>
      </c>
      <c r="B11" t="s">
        <v>58</v>
      </c>
      <c r="C11" s="1" t="s">
        <v>163</v>
      </c>
      <c r="D11" s="4" t="s">
        <v>1088</v>
      </c>
      <c r="E11" s="4" t="s">
        <v>552</v>
      </c>
      <c r="F11" s="4" t="s">
        <v>1089</v>
      </c>
      <c r="G11" t="s">
        <v>1090</v>
      </c>
      <c r="H11" t="s">
        <v>207</v>
      </c>
      <c r="I11" s="3">
        <f>RUSH__2[[#This Row],[TD]]/RUSH__2[[#This Row],[Rec]]</f>
        <v>8.9743589743589744E-2</v>
      </c>
      <c r="J11" s="3">
        <f>D11/(VLOOKUP(B11,'2025 Team'!$B$2:$G$33,2,FALSE))</f>
        <v>0.24346076458752516</v>
      </c>
      <c r="K11" t="s">
        <v>1091</v>
      </c>
      <c r="L11" t="s">
        <v>417</v>
      </c>
    </row>
    <row r="12" spans="1:12" x14ac:dyDescent="0.25">
      <c r="A12" t="s">
        <v>831</v>
      </c>
      <c r="B12" t="s">
        <v>16</v>
      </c>
      <c r="C12" t="s">
        <v>163</v>
      </c>
      <c r="D12" s="4" t="s">
        <v>357</v>
      </c>
      <c r="E12" s="4" t="s">
        <v>383</v>
      </c>
      <c r="F12" s="4" t="s">
        <v>1078</v>
      </c>
      <c r="G12" t="s">
        <v>1092</v>
      </c>
      <c r="H12" t="s">
        <v>207</v>
      </c>
      <c r="I12" s="3">
        <f>RUSH__2[[#This Row],[TD]]/RUSH__2[[#This Row],[Rec]]</f>
        <v>0.1</v>
      </c>
      <c r="J12" s="3">
        <f>D12/(VLOOKUP(B12,'2025 Team'!$B$2:$G$33,2,FALSE))</f>
        <v>0.23689320388349513</v>
      </c>
      <c r="K12" t="s">
        <v>1093</v>
      </c>
      <c r="L12" t="s">
        <v>300</v>
      </c>
    </row>
    <row r="13" spans="1:12" x14ac:dyDescent="0.25">
      <c r="A13" t="s">
        <v>708</v>
      </c>
      <c r="B13" t="s">
        <v>66</v>
      </c>
      <c r="C13" t="s">
        <v>163</v>
      </c>
      <c r="D13" s="4" t="s">
        <v>578</v>
      </c>
      <c r="E13" s="4" t="s">
        <v>1094</v>
      </c>
      <c r="F13" s="4" t="s">
        <v>1095</v>
      </c>
      <c r="G13" t="s">
        <v>1096</v>
      </c>
      <c r="H13" t="s">
        <v>247</v>
      </c>
      <c r="I13" s="3">
        <f>RUSH__2[[#This Row],[TD]]/RUSH__2[[#This Row],[Rec]]</f>
        <v>9.5238095238095233E-2</v>
      </c>
      <c r="J13" s="3">
        <f>D13/(VLOOKUP(B13,'2025 Team'!$B$2:$G$33,2,FALSE))</f>
        <v>0.22759856630824374</v>
      </c>
      <c r="K13" t="s">
        <v>1097</v>
      </c>
      <c r="L13" t="s">
        <v>417</v>
      </c>
    </row>
    <row r="14" spans="1:12" x14ac:dyDescent="0.25">
      <c r="A14" t="s">
        <v>996</v>
      </c>
      <c r="B14" t="s">
        <v>58</v>
      </c>
      <c r="C14" s="1" t="s">
        <v>163</v>
      </c>
      <c r="D14" s="4" t="s">
        <v>1098</v>
      </c>
      <c r="E14" s="4" t="s">
        <v>402</v>
      </c>
      <c r="F14" s="4" t="s">
        <v>1099</v>
      </c>
      <c r="G14" t="s">
        <v>1100</v>
      </c>
      <c r="H14" t="s">
        <v>229</v>
      </c>
      <c r="I14" s="3">
        <f>RUSH__2[[#This Row],[TD]]/RUSH__2[[#This Row],[Rec]]</f>
        <v>5.1948051948051951E-2</v>
      </c>
      <c r="J14" s="3">
        <f>D14/(VLOOKUP(B14,'2025 Team'!$B$2:$G$33,2,FALSE))</f>
        <v>0.22736418511066397</v>
      </c>
      <c r="K14" t="s">
        <v>1101</v>
      </c>
      <c r="L14" t="s">
        <v>417</v>
      </c>
    </row>
    <row r="15" spans="1:12" x14ac:dyDescent="0.25">
      <c r="A15" t="s">
        <v>182</v>
      </c>
      <c r="B15" t="s">
        <v>62</v>
      </c>
      <c r="C15" s="1" t="s">
        <v>159</v>
      </c>
      <c r="D15" s="4" t="s">
        <v>481</v>
      </c>
      <c r="E15" s="4" t="s">
        <v>1102</v>
      </c>
      <c r="F15" s="4" t="s">
        <v>1103</v>
      </c>
      <c r="G15" t="s">
        <v>622</v>
      </c>
      <c r="H15" t="s">
        <v>207</v>
      </c>
      <c r="I15" s="3">
        <f>RUSH__2[[#This Row],[TD]]/RUSH__2[[#This Row],[Rec]]</f>
        <v>6.8627450980392163E-2</v>
      </c>
      <c r="J15" s="3">
        <f>D15/(VLOOKUP(B15,'2025 Team'!$B$2:$G$33,2,FALSE))</f>
        <v>0.22473867595818817</v>
      </c>
      <c r="K15" t="s">
        <v>1104</v>
      </c>
      <c r="L15" t="s">
        <v>289</v>
      </c>
    </row>
    <row r="16" spans="1:12" x14ac:dyDescent="0.25">
      <c r="A16" t="s">
        <v>859</v>
      </c>
      <c r="B16" t="s">
        <v>24</v>
      </c>
      <c r="C16" s="1" t="s">
        <v>163</v>
      </c>
      <c r="D16" s="4" t="s">
        <v>1105</v>
      </c>
      <c r="E16" s="4" t="s">
        <v>523</v>
      </c>
      <c r="F16" s="4" t="s">
        <v>1106</v>
      </c>
      <c r="G16" t="s">
        <v>1107</v>
      </c>
      <c r="H16" t="s">
        <v>270</v>
      </c>
      <c r="I16" s="3">
        <f>RUSH__2[[#This Row],[TD]]/RUSH__2[[#This Row],[Rec]]</f>
        <v>9.6774193548387094E-2</v>
      </c>
      <c r="J16" s="3">
        <f>D16/(VLOOKUP(B16,'2025 Team'!$B$2:$G$33,2,FALSE))</f>
        <v>0.21955128205128205</v>
      </c>
      <c r="K16" t="s">
        <v>1108</v>
      </c>
      <c r="L16" t="s">
        <v>229</v>
      </c>
    </row>
    <row r="17" spans="1:12" x14ac:dyDescent="0.25">
      <c r="A17" t="s">
        <v>808</v>
      </c>
      <c r="B17" t="s">
        <v>10</v>
      </c>
      <c r="C17" s="1" t="s">
        <v>153</v>
      </c>
      <c r="D17" s="4" t="s">
        <v>366</v>
      </c>
      <c r="E17" s="4" t="s">
        <v>1109</v>
      </c>
      <c r="F17" s="4" t="s">
        <v>1110</v>
      </c>
      <c r="G17" t="s">
        <v>605</v>
      </c>
      <c r="H17" t="s">
        <v>220</v>
      </c>
      <c r="I17" s="3">
        <f>RUSH__2[[#This Row],[TD]]/RUSH__2[[#This Row],[Rec]]</f>
        <v>5.6818181818181816E-2</v>
      </c>
      <c r="J17" s="3">
        <f>D17/(VLOOKUP(B17,'2025 Team'!$B$2:$G$33,2,FALSE))</f>
        <v>0.21651376146788992</v>
      </c>
      <c r="K17" t="s">
        <v>1087</v>
      </c>
      <c r="L17" t="s">
        <v>417</v>
      </c>
    </row>
    <row r="18" spans="1:12" x14ac:dyDescent="0.25">
      <c r="A18" t="s">
        <v>916</v>
      </c>
      <c r="B18" t="s">
        <v>42</v>
      </c>
      <c r="C18" s="1" t="s">
        <v>163</v>
      </c>
      <c r="D18" s="4" t="s">
        <v>357</v>
      </c>
      <c r="E18" s="4" t="s">
        <v>698</v>
      </c>
      <c r="F18" s="4" t="s">
        <v>1111</v>
      </c>
      <c r="G18" t="s">
        <v>1112</v>
      </c>
      <c r="H18" t="s">
        <v>229</v>
      </c>
      <c r="I18" s="3">
        <f>RUSH__2[[#This Row],[TD]]/RUSH__2[[#This Row],[Rec]]</f>
        <v>4.9382716049382713E-2</v>
      </c>
      <c r="J18" s="3">
        <f>D18/(VLOOKUP(B18,'2025 Team'!$B$2:$G$33,2,FALSE))</f>
        <v>0.21441124780316345</v>
      </c>
      <c r="K18" t="s">
        <v>1113</v>
      </c>
      <c r="L18" t="s">
        <v>289</v>
      </c>
    </row>
    <row r="19" spans="1:12" x14ac:dyDescent="0.25">
      <c r="A19" t="s">
        <v>534</v>
      </c>
      <c r="B19" t="s">
        <v>70</v>
      </c>
      <c r="C19" t="s">
        <v>163</v>
      </c>
      <c r="D19" s="4" t="s">
        <v>1114</v>
      </c>
      <c r="E19" s="4" t="s">
        <v>411</v>
      </c>
      <c r="F19" s="4" t="s">
        <v>1115</v>
      </c>
      <c r="G19" t="s">
        <v>1116</v>
      </c>
      <c r="H19" t="s">
        <v>220</v>
      </c>
      <c r="I19" s="3">
        <f>RUSH__2[[#This Row],[TD]]/RUSH__2[[#This Row],[Rec]]</f>
        <v>6.9444444444444448E-2</v>
      </c>
      <c r="J19" s="3">
        <f>D19/(VLOOKUP(B19,'2025 Team'!$B$2:$G$33,2,FALSE))</f>
        <v>0.21108742004264391</v>
      </c>
      <c r="K19" t="s">
        <v>1117</v>
      </c>
      <c r="L19" t="s">
        <v>314</v>
      </c>
    </row>
    <row r="20" spans="1:12" x14ac:dyDescent="0.25">
      <c r="A20" t="s">
        <v>175</v>
      </c>
      <c r="B20" t="s">
        <v>46</v>
      </c>
      <c r="C20" t="s">
        <v>163</v>
      </c>
      <c r="D20" s="4" t="s">
        <v>1081</v>
      </c>
      <c r="E20" s="4" t="s">
        <v>424</v>
      </c>
      <c r="F20" s="4" t="s">
        <v>1118</v>
      </c>
      <c r="G20" t="s">
        <v>1119</v>
      </c>
      <c r="H20" t="s">
        <v>247</v>
      </c>
      <c r="I20" s="3">
        <f>RUSH__2[[#This Row],[TD]]/RUSH__2[[#This Row],[Rec]]</f>
        <v>9.375E-2</v>
      </c>
      <c r="J20" s="3">
        <f>D20/(VLOOKUP(B20,'2025 Team'!$B$2:$G$33,2,FALSE))</f>
        <v>0.20876826722338204</v>
      </c>
      <c r="K20" t="s">
        <v>1120</v>
      </c>
      <c r="L20" t="s">
        <v>300</v>
      </c>
    </row>
    <row r="21" spans="1:12" x14ac:dyDescent="0.25">
      <c r="A21" t="s">
        <v>725</v>
      </c>
      <c r="B21" t="s">
        <v>32</v>
      </c>
      <c r="C21" t="s">
        <v>163</v>
      </c>
      <c r="D21" s="4" t="s">
        <v>1121</v>
      </c>
      <c r="E21" s="4" t="s">
        <v>392</v>
      </c>
      <c r="F21" s="4" t="s">
        <v>1122</v>
      </c>
      <c r="G21" t="s">
        <v>1123</v>
      </c>
      <c r="H21" t="s">
        <v>247</v>
      </c>
      <c r="I21" s="3">
        <f>RUSH__2[[#This Row],[TD]]/RUSH__2[[#This Row],[Rec]]</f>
        <v>8.4507042253521125E-2</v>
      </c>
      <c r="J21" s="3">
        <f>D21/(VLOOKUP(B21,'2025 Team'!$B$2:$G$33,2,FALSE))</f>
        <v>0.20618556701030927</v>
      </c>
      <c r="K21" t="s">
        <v>1124</v>
      </c>
      <c r="L21" t="s">
        <v>300</v>
      </c>
    </row>
    <row r="22" spans="1:12" x14ac:dyDescent="0.25">
      <c r="A22" t="s">
        <v>803</v>
      </c>
      <c r="B22" t="s">
        <v>10</v>
      </c>
      <c r="C22" t="s">
        <v>163</v>
      </c>
      <c r="D22" s="4" t="s">
        <v>337</v>
      </c>
      <c r="E22" s="4" t="s">
        <v>1125</v>
      </c>
      <c r="F22" s="4" t="s">
        <v>1126</v>
      </c>
      <c r="G22" t="s">
        <v>1127</v>
      </c>
      <c r="H22" t="s">
        <v>207</v>
      </c>
      <c r="I22" s="3">
        <f>RUSH__2[[#This Row],[TD]]/RUSH__2[[#This Row],[Rec]]</f>
        <v>0.10294117647058823</v>
      </c>
      <c r="J22" s="3">
        <f>D22/(VLOOKUP(B22,'2025 Team'!$B$2:$G$33,2,FALSE))</f>
        <v>0.20550458715596331</v>
      </c>
      <c r="K22" t="s">
        <v>1128</v>
      </c>
      <c r="L22" t="s">
        <v>300</v>
      </c>
    </row>
    <row r="23" spans="1:12" x14ac:dyDescent="0.25">
      <c r="A23" t="s">
        <v>172</v>
      </c>
      <c r="B23" t="s">
        <v>34</v>
      </c>
      <c r="C23" s="1" t="s">
        <v>153</v>
      </c>
      <c r="D23" s="4" t="s">
        <v>337</v>
      </c>
      <c r="E23" s="4" t="s">
        <v>533</v>
      </c>
      <c r="F23" s="4" t="s">
        <v>1129</v>
      </c>
      <c r="G23" t="s">
        <v>1130</v>
      </c>
      <c r="H23" t="s">
        <v>229</v>
      </c>
      <c r="I23" s="3">
        <f>RUSH__2[[#This Row],[TD]]/RUSH__2[[#This Row],[Rec]]</f>
        <v>5.2631578947368418E-2</v>
      </c>
      <c r="J23" s="3">
        <f>D23/(VLOOKUP(B23,'2025 Team'!$B$2:$G$33,2,FALSE))</f>
        <v>0.20475319926873858</v>
      </c>
      <c r="K23" t="s">
        <v>1108</v>
      </c>
      <c r="L23" t="s">
        <v>300</v>
      </c>
    </row>
    <row r="24" spans="1:12" x14ac:dyDescent="0.25">
      <c r="A24" t="s">
        <v>965</v>
      </c>
      <c r="B24" t="s">
        <v>50</v>
      </c>
      <c r="C24" s="1" t="s">
        <v>163</v>
      </c>
      <c r="D24" s="4" t="s">
        <v>1102</v>
      </c>
      <c r="E24" s="4" t="s">
        <v>548</v>
      </c>
      <c r="F24" s="4" t="s">
        <v>1131</v>
      </c>
      <c r="G24" t="s">
        <v>1132</v>
      </c>
      <c r="H24" t="s">
        <v>229</v>
      </c>
      <c r="I24" s="3">
        <f>RUSH__2[[#This Row],[TD]]/RUSH__2[[#This Row],[Rec]]</f>
        <v>4.7058823529411764E-2</v>
      </c>
      <c r="J24" s="3">
        <f>D24/(VLOOKUP(B24,'2025 Team'!$B$2:$G$33,2,FALSE))</f>
        <v>0.20318725099601595</v>
      </c>
      <c r="K24" t="s">
        <v>1133</v>
      </c>
      <c r="L24" t="s">
        <v>417</v>
      </c>
    </row>
    <row r="25" spans="1:12" x14ac:dyDescent="0.25">
      <c r="A25" t="s">
        <v>898</v>
      </c>
      <c r="B25" t="s">
        <v>34</v>
      </c>
      <c r="C25" s="1" t="s">
        <v>163</v>
      </c>
      <c r="D25" s="4" t="s">
        <v>1134</v>
      </c>
      <c r="E25" s="4" t="s">
        <v>1135</v>
      </c>
      <c r="F25" s="4" t="s">
        <v>1136</v>
      </c>
      <c r="G25" t="s">
        <v>579</v>
      </c>
      <c r="H25" t="s">
        <v>207</v>
      </c>
      <c r="I25" s="3">
        <f>RUSH__2[[#This Row],[TD]]/RUSH__2[[#This Row],[Rec]]</f>
        <v>8.7499999999999994E-2</v>
      </c>
      <c r="J25" s="3">
        <f>D25/(VLOOKUP(B25,'2025 Team'!$B$2:$G$33,2,FALSE))</f>
        <v>0.20292504570383912</v>
      </c>
      <c r="K25" t="s">
        <v>1137</v>
      </c>
      <c r="L25" t="s">
        <v>417</v>
      </c>
    </row>
    <row r="26" spans="1:12" x14ac:dyDescent="0.25">
      <c r="A26" t="s">
        <v>184</v>
      </c>
      <c r="B26" t="s">
        <v>26</v>
      </c>
      <c r="C26" s="1" t="s">
        <v>163</v>
      </c>
      <c r="D26" s="4" t="s">
        <v>352</v>
      </c>
      <c r="E26" s="4" t="s">
        <v>1138</v>
      </c>
      <c r="F26" s="4" t="s">
        <v>1139</v>
      </c>
      <c r="G26" t="s">
        <v>1140</v>
      </c>
      <c r="H26" t="s">
        <v>207</v>
      </c>
      <c r="I26" s="3">
        <f>RUSH__2[[#This Row],[TD]]/RUSH__2[[#This Row],[Rec]]</f>
        <v>9.45945945945946E-2</v>
      </c>
      <c r="J26" s="3">
        <f>D26/(VLOOKUP(B26,'2025 Team'!$B$2:$G$33,2,FALSE))</f>
        <v>0.20228384991843393</v>
      </c>
      <c r="K26" t="s">
        <v>1141</v>
      </c>
      <c r="L26" t="s">
        <v>417</v>
      </c>
    </row>
    <row r="27" spans="1:12" x14ac:dyDescent="0.25">
      <c r="A27" t="s">
        <v>800</v>
      </c>
      <c r="B27" t="s">
        <v>8</v>
      </c>
      <c r="C27" s="1" t="s">
        <v>163</v>
      </c>
      <c r="D27" s="4" t="s">
        <v>1085</v>
      </c>
      <c r="E27" s="4" t="s">
        <v>552</v>
      </c>
      <c r="F27" s="4" t="s">
        <v>1142</v>
      </c>
      <c r="G27" t="s">
        <v>1090</v>
      </c>
      <c r="H27" t="s">
        <v>207</v>
      </c>
      <c r="I27" s="3">
        <f>RUSH__2[[#This Row],[TD]]/RUSH__2[[#This Row],[Rec]]</f>
        <v>8.9743589743589744E-2</v>
      </c>
      <c r="J27" s="3">
        <f>D27/(VLOOKUP(B27,'2025 Team'!$B$2:$G$33,2,FALSE))</f>
        <v>0.19414483821263481</v>
      </c>
      <c r="K27" t="s">
        <v>1143</v>
      </c>
      <c r="L27" t="s">
        <v>417</v>
      </c>
    </row>
    <row r="28" spans="1:12" x14ac:dyDescent="0.25">
      <c r="A28" t="s">
        <v>744</v>
      </c>
      <c r="B28" t="s">
        <v>14</v>
      </c>
      <c r="C28" t="s">
        <v>163</v>
      </c>
      <c r="D28" s="4" t="s">
        <v>468</v>
      </c>
      <c r="E28" s="4" t="s">
        <v>411</v>
      </c>
      <c r="F28" s="4" t="s">
        <v>1144</v>
      </c>
      <c r="G28" t="s">
        <v>662</v>
      </c>
      <c r="H28" t="s">
        <v>229</v>
      </c>
      <c r="I28" s="3">
        <f>RUSH__2[[#This Row],[TD]]/RUSH__2[[#This Row],[Rec]]</f>
        <v>5.5555555555555552E-2</v>
      </c>
      <c r="J28" s="3">
        <f>D28/(VLOOKUP(B28,'2025 Team'!$B$2:$G$33,2,FALSE))</f>
        <v>0.19191919191919191</v>
      </c>
      <c r="K28" t="s">
        <v>1145</v>
      </c>
      <c r="L28" t="s">
        <v>300</v>
      </c>
    </row>
    <row r="29" spans="1:12" x14ac:dyDescent="0.25">
      <c r="A29" t="s">
        <v>630</v>
      </c>
      <c r="B29" t="s">
        <v>22</v>
      </c>
      <c r="C29" t="s">
        <v>153</v>
      </c>
      <c r="D29" s="4" t="s">
        <v>1146</v>
      </c>
      <c r="E29" s="4" t="s">
        <v>411</v>
      </c>
      <c r="F29" s="4" t="s">
        <v>1147</v>
      </c>
      <c r="G29" t="s">
        <v>1148</v>
      </c>
      <c r="H29" t="s">
        <v>247</v>
      </c>
      <c r="I29" s="3">
        <f>RUSH__2[[#This Row],[TD]]/RUSH__2[[#This Row],[Rec]]</f>
        <v>8.3333333333333329E-2</v>
      </c>
      <c r="J29" s="3">
        <f>D29/(VLOOKUP(B29,'2025 Team'!$B$2:$G$33,2,FALSE))</f>
        <v>0.1917562724014337</v>
      </c>
      <c r="K29" t="s">
        <v>1149</v>
      </c>
      <c r="L29" t="s">
        <v>300</v>
      </c>
    </row>
    <row r="30" spans="1:12" x14ac:dyDescent="0.25">
      <c r="A30" t="s">
        <v>924</v>
      </c>
      <c r="B30" t="s">
        <v>44</v>
      </c>
      <c r="C30" t="s">
        <v>163</v>
      </c>
      <c r="D30" s="4" t="s">
        <v>360</v>
      </c>
      <c r="E30" s="4" t="s">
        <v>477</v>
      </c>
      <c r="F30" s="4" t="s">
        <v>1150</v>
      </c>
      <c r="G30" t="s">
        <v>1151</v>
      </c>
      <c r="H30" t="s">
        <v>344</v>
      </c>
      <c r="I30" s="3">
        <f>RUSH__2[[#This Row],[TD]]/RUSH__2[[#This Row],[Rec]]</f>
        <v>0.23333333333333334</v>
      </c>
      <c r="J30" s="3">
        <f>D30/(VLOOKUP(B30,'2025 Team'!$B$2:$G$33,2,FALSE))</f>
        <v>0.19063545150501673</v>
      </c>
      <c r="K30" t="s">
        <v>1152</v>
      </c>
      <c r="L30" t="s">
        <v>417</v>
      </c>
    </row>
    <row r="31" spans="1:12" x14ac:dyDescent="0.25">
      <c r="A31" t="s">
        <v>762</v>
      </c>
      <c r="B31" t="s">
        <v>22</v>
      </c>
      <c r="C31" t="s">
        <v>163</v>
      </c>
      <c r="D31" s="4" t="s">
        <v>491</v>
      </c>
      <c r="E31" s="4" t="s">
        <v>427</v>
      </c>
      <c r="F31" s="4" t="s">
        <v>1153</v>
      </c>
      <c r="G31" t="s">
        <v>752</v>
      </c>
      <c r="H31" t="s">
        <v>289</v>
      </c>
      <c r="I31" s="3">
        <f>RUSH__2[[#This Row],[TD]]/RUSH__2[[#This Row],[Rec]]</f>
        <v>0.04</v>
      </c>
      <c r="J31" s="3">
        <f>D31/(VLOOKUP(B31,'2025 Team'!$B$2:$G$33,2,FALSE))</f>
        <v>0.18996415770609318</v>
      </c>
      <c r="K31" t="s">
        <v>1154</v>
      </c>
      <c r="L31" t="s">
        <v>300</v>
      </c>
    </row>
    <row r="32" spans="1:12" x14ac:dyDescent="0.25">
      <c r="A32" t="s">
        <v>213</v>
      </c>
      <c r="B32" t="s">
        <v>10</v>
      </c>
      <c r="C32" s="1" t="s">
        <v>159</v>
      </c>
      <c r="D32" s="4" t="s">
        <v>363</v>
      </c>
      <c r="E32" s="4" t="s">
        <v>562</v>
      </c>
      <c r="F32" s="4" t="s">
        <v>1155</v>
      </c>
      <c r="G32" t="s">
        <v>1156</v>
      </c>
      <c r="H32" t="s">
        <v>229</v>
      </c>
      <c r="I32" s="3">
        <f>RUSH__2[[#This Row],[TD]]/RUSH__2[[#This Row],[Rec]]</f>
        <v>5.0632911392405063E-2</v>
      </c>
      <c r="J32" s="3">
        <f>D32/(VLOOKUP(B32,'2025 Team'!$B$2:$G$33,2,FALSE))</f>
        <v>0.1889908256880734</v>
      </c>
      <c r="K32" t="s">
        <v>1157</v>
      </c>
      <c r="L32" t="s">
        <v>229</v>
      </c>
    </row>
    <row r="33" spans="1:12" x14ac:dyDescent="0.25">
      <c r="A33" t="s">
        <v>785</v>
      </c>
      <c r="B33" t="s">
        <v>24</v>
      </c>
      <c r="C33" s="1" t="s">
        <v>163</v>
      </c>
      <c r="D33" s="4" t="s">
        <v>546</v>
      </c>
      <c r="E33" s="4" t="s">
        <v>536</v>
      </c>
      <c r="F33" s="4" t="s">
        <v>1158</v>
      </c>
      <c r="G33" t="s">
        <v>1159</v>
      </c>
      <c r="H33" t="s">
        <v>314</v>
      </c>
      <c r="I33" s="3">
        <f>RUSH__2[[#This Row],[TD]]/RUSH__2[[#This Row],[Rec]]</f>
        <v>0.04</v>
      </c>
      <c r="J33" s="3">
        <f>D33/(VLOOKUP(B33,'2025 Team'!$B$2:$G$33,2,FALSE))</f>
        <v>0.1875</v>
      </c>
      <c r="K33" t="s">
        <v>1084</v>
      </c>
      <c r="L33" t="s">
        <v>417</v>
      </c>
    </row>
    <row r="34" spans="1:12" x14ac:dyDescent="0.25">
      <c r="A34" t="s">
        <v>922</v>
      </c>
      <c r="B34" t="s">
        <v>42</v>
      </c>
      <c r="C34" t="s">
        <v>163</v>
      </c>
      <c r="D34" s="4" t="s">
        <v>491</v>
      </c>
      <c r="E34" s="4" t="s">
        <v>1160</v>
      </c>
      <c r="F34" s="4" t="s">
        <v>1150</v>
      </c>
      <c r="G34" t="s">
        <v>752</v>
      </c>
      <c r="H34" t="s">
        <v>247</v>
      </c>
      <c r="I34" s="3">
        <f>RUSH__2[[#This Row],[TD]]/RUSH__2[[#This Row],[Rec]]</f>
        <v>9.0909090909090912E-2</v>
      </c>
      <c r="J34" s="3">
        <f>D34/(VLOOKUP(B34,'2025 Team'!$B$2:$G$33,2,FALSE))</f>
        <v>0.18629173989455183</v>
      </c>
      <c r="K34" t="s">
        <v>1161</v>
      </c>
      <c r="L34" t="s">
        <v>417</v>
      </c>
    </row>
    <row r="35" spans="1:12" x14ac:dyDescent="0.25">
      <c r="A35" t="s">
        <v>777</v>
      </c>
      <c r="B35" t="s">
        <v>38</v>
      </c>
      <c r="C35" s="1" t="s">
        <v>153</v>
      </c>
      <c r="D35" s="4" t="s">
        <v>1162</v>
      </c>
      <c r="E35" s="4" t="s">
        <v>533</v>
      </c>
      <c r="F35" s="4" t="s">
        <v>1163</v>
      </c>
      <c r="G35" t="s">
        <v>1164</v>
      </c>
      <c r="H35" t="s">
        <v>220</v>
      </c>
      <c r="I35" s="3">
        <f>RUSH__2[[#This Row],[TD]]/RUSH__2[[#This Row],[Rec]]</f>
        <v>6.5789473684210523E-2</v>
      </c>
      <c r="J35" s="3">
        <f>D35/(VLOOKUP(B35,'2025 Team'!$B$2:$G$33,2,FALSE))</f>
        <v>0.18493150684931506</v>
      </c>
      <c r="K35" t="s">
        <v>1165</v>
      </c>
      <c r="L35" t="s">
        <v>300</v>
      </c>
    </row>
    <row r="36" spans="1:12" x14ac:dyDescent="0.25">
      <c r="A36" t="s">
        <v>889</v>
      </c>
      <c r="B36" t="s">
        <v>32</v>
      </c>
      <c r="C36" s="1" t="s">
        <v>153</v>
      </c>
      <c r="D36" s="4" t="s">
        <v>491</v>
      </c>
      <c r="E36" s="4" t="s">
        <v>390</v>
      </c>
      <c r="F36" s="4" t="s">
        <v>1111</v>
      </c>
      <c r="G36" t="s">
        <v>723</v>
      </c>
      <c r="H36" t="s">
        <v>314</v>
      </c>
      <c r="I36" s="3">
        <f>RUSH__2[[#This Row],[TD]]/RUSH__2[[#This Row],[Rec]]</f>
        <v>3.6585365853658534E-2</v>
      </c>
      <c r="J36" s="3">
        <f>D36/(VLOOKUP(B36,'2025 Team'!$B$2:$G$33,2,FALSE))</f>
        <v>0.18213058419243985</v>
      </c>
      <c r="K36" t="s">
        <v>1166</v>
      </c>
      <c r="L36" t="s">
        <v>300</v>
      </c>
    </row>
    <row r="37" spans="1:12" x14ac:dyDescent="0.25">
      <c r="A37" t="s">
        <v>707</v>
      </c>
      <c r="B37" t="s">
        <v>60</v>
      </c>
      <c r="C37" t="s">
        <v>163</v>
      </c>
      <c r="D37" s="4" t="s">
        <v>1114</v>
      </c>
      <c r="E37" s="4" t="s">
        <v>398</v>
      </c>
      <c r="F37" s="4" t="s">
        <v>1167</v>
      </c>
      <c r="G37" t="s">
        <v>1159</v>
      </c>
      <c r="H37" t="s">
        <v>247</v>
      </c>
      <c r="I37" s="3">
        <f>RUSH__2[[#This Row],[TD]]/RUSH__2[[#This Row],[Rec]]</f>
        <v>0.10169491525423729</v>
      </c>
      <c r="J37" s="3">
        <f>D37/(VLOOKUP(B37,'2025 Team'!$B$2:$G$33,2,FALSE))</f>
        <v>0.18</v>
      </c>
      <c r="K37" t="s">
        <v>1066</v>
      </c>
      <c r="L37" t="s">
        <v>417</v>
      </c>
    </row>
    <row r="38" spans="1:12" x14ac:dyDescent="0.25">
      <c r="A38" t="s">
        <v>581</v>
      </c>
      <c r="B38" t="s">
        <v>40</v>
      </c>
      <c r="C38" t="s">
        <v>163</v>
      </c>
      <c r="D38" s="4" t="s">
        <v>374</v>
      </c>
      <c r="E38" s="4" t="s">
        <v>436</v>
      </c>
      <c r="F38" s="4" t="s">
        <v>1168</v>
      </c>
      <c r="G38" t="s">
        <v>1169</v>
      </c>
      <c r="H38" t="s">
        <v>220</v>
      </c>
      <c r="I38" s="3">
        <f>RUSH__2[[#This Row],[TD]]/RUSH__2[[#This Row],[Rec]]</f>
        <v>8.771929824561403E-2</v>
      </c>
      <c r="J38" s="3">
        <f>D38/(VLOOKUP(B38,'2025 Team'!$B$2:$G$33,2,FALSE))</f>
        <v>0.17864077669902911</v>
      </c>
      <c r="K38" t="s">
        <v>1170</v>
      </c>
      <c r="L38" t="s">
        <v>417</v>
      </c>
    </row>
    <row r="39" spans="1:12" x14ac:dyDescent="0.25">
      <c r="A39" t="s">
        <v>222</v>
      </c>
      <c r="B39" t="s">
        <v>46</v>
      </c>
      <c r="C39" t="s">
        <v>159</v>
      </c>
      <c r="D39" s="4" t="s">
        <v>548</v>
      </c>
      <c r="E39" s="4" t="s">
        <v>376</v>
      </c>
      <c r="F39" s="4" t="s">
        <v>1171</v>
      </c>
      <c r="G39" t="s">
        <v>691</v>
      </c>
      <c r="H39" t="s">
        <v>229</v>
      </c>
      <c r="I39" s="3">
        <f>RUSH__2[[#This Row],[TD]]/RUSH__2[[#This Row],[Rec]]</f>
        <v>5.9701492537313432E-2</v>
      </c>
      <c r="J39" s="3">
        <f>D39/(VLOOKUP(B39,'2025 Team'!$B$2:$G$33,2,FALSE))</f>
        <v>0.17745302713987474</v>
      </c>
      <c r="K39" t="s">
        <v>1172</v>
      </c>
      <c r="L39" t="s">
        <v>300</v>
      </c>
    </row>
    <row r="40" spans="1:12" x14ac:dyDescent="0.25">
      <c r="A40" t="s">
        <v>642</v>
      </c>
      <c r="B40" t="s">
        <v>28</v>
      </c>
      <c r="C40" t="s">
        <v>163</v>
      </c>
      <c r="D40" s="4" t="s">
        <v>1102</v>
      </c>
      <c r="E40" s="4" t="s">
        <v>422</v>
      </c>
      <c r="F40" s="4" t="s">
        <v>1122</v>
      </c>
      <c r="G40" t="s">
        <v>1173</v>
      </c>
      <c r="H40" t="s">
        <v>207</v>
      </c>
      <c r="I40" s="3">
        <f>RUSH__2[[#This Row],[TD]]/RUSH__2[[#This Row],[Rec]]</f>
        <v>0.1076923076923077</v>
      </c>
      <c r="J40" s="3">
        <f>D40/(VLOOKUP(B40,'2025 Team'!$B$2:$G$33,2,FALSE))</f>
        <v>0.17525773195876287</v>
      </c>
      <c r="K40" t="s">
        <v>1174</v>
      </c>
      <c r="L40" t="s">
        <v>417</v>
      </c>
    </row>
    <row r="41" spans="1:12" x14ac:dyDescent="0.25">
      <c r="A41" t="s">
        <v>879</v>
      </c>
      <c r="B41" t="s">
        <v>30</v>
      </c>
      <c r="C41" t="s">
        <v>163</v>
      </c>
      <c r="D41" s="4" t="s">
        <v>548</v>
      </c>
      <c r="E41" s="4" t="s">
        <v>433</v>
      </c>
      <c r="F41" s="4" t="s">
        <v>1175</v>
      </c>
      <c r="G41" t="s">
        <v>1151</v>
      </c>
      <c r="H41" t="s">
        <v>247</v>
      </c>
      <c r="I41" s="3">
        <f>RUSH__2[[#This Row],[TD]]/RUSH__2[[#This Row],[Rec]]</f>
        <v>0.10909090909090909</v>
      </c>
      <c r="J41" s="3">
        <f>D41/(VLOOKUP(B41,'2025 Team'!$B$2:$G$33,2,FALSE))</f>
        <v>0.17382413087934559</v>
      </c>
      <c r="K41" t="s">
        <v>1176</v>
      </c>
      <c r="L41" t="s">
        <v>300</v>
      </c>
    </row>
    <row r="42" spans="1:12" x14ac:dyDescent="0.25">
      <c r="A42" t="s">
        <v>966</v>
      </c>
      <c r="B42" t="s">
        <v>50</v>
      </c>
      <c r="C42" t="s">
        <v>153</v>
      </c>
      <c r="D42" s="4" t="s">
        <v>598</v>
      </c>
      <c r="E42" s="4" t="s">
        <v>477</v>
      </c>
      <c r="F42" s="4" t="s">
        <v>1177</v>
      </c>
      <c r="G42" t="s">
        <v>1178</v>
      </c>
      <c r="H42" t="s">
        <v>207</v>
      </c>
      <c r="I42" s="3">
        <f>RUSH__2[[#This Row],[TD]]/RUSH__2[[#This Row],[Rec]]</f>
        <v>0.11666666666666667</v>
      </c>
      <c r="J42" s="3">
        <f>D42/(VLOOKUP(B42,'2025 Team'!$B$2:$G$33,2,FALSE))</f>
        <v>0.17330677290836655</v>
      </c>
      <c r="K42" t="s">
        <v>1179</v>
      </c>
      <c r="L42" t="s">
        <v>417</v>
      </c>
    </row>
    <row r="43" spans="1:12" x14ac:dyDescent="0.25">
      <c r="A43" t="s">
        <v>956</v>
      </c>
      <c r="B43" t="s">
        <v>52</v>
      </c>
      <c r="C43" s="1" t="s">
        <v>153</v>
      </c>
      <c r="D43" s="4" t="s">
        <v>1102</v>
      </c>
      <c r="E43" s="4" t="s">
        <v>402</v>
      </c>
      <c r="F43" s="4" t="s">
        <v>1180</v>
      </c>
      <c r="G43" t="s">
        <v>1181</v>
      </c>
      <c r="H43" t="s">
        <v>314</v>
      </c>
      <c r="I43" s="3">
        <f>RUSH__2[[#This Row],[TD]]/RUSH__2[[#This Row],[Rec]]</f>
        <v>3.896103896103896E-2</v>
      </c>
      <c r="J43" s="3">
        <f>D43/(VLOOKUP(B43,'2025 Team'!$B$2:$G$33,2,FALSE))</f>
        <v>0.17258883248730963</v>
      </c>
      <c r="K43" t="s">
        <v>1182</v>
      </c>
      <c r="L43" t="s">
        <v>289</v>
      </c>
    </row>
    <row r="44" spans="1:12" x14ac:dyDescent="0.25">
      <c r="A44" t="s">
        <v>659</v>
      </c>
      <c r="B44" t="s">
        <v>26</v>
      </c>
      <c r="C44" t="s">
        <v>163</v>
      </c>
      <c r="D44" s="4" t="s">
        <v>521</v>
      </c>
      <c r="E44" s="4" t="s">
        <v>422</v>
      </c>
      <c r="F44" s="4" t="s">
        <v>1183</v>
      </c>
      <c r="G44" t="s">
        <v>1184</v>
      </c>
      <c r="H44" t="s">
        <v>247</v>
      </c>
      <c r="I44" s="3">
        <f>RUSH__2[[#This Row],[TD]]/RUSH__2[[#This Row],[Rec]]</f>
        <v>9.2307692307692313E-2</v>
      </c>
      <c r="J44" s="3">
        <f>D44/(VLOOKUP(B44,'2025 Team'!$B$2:$G$33,2,FALSE))</f>
        <v>0.16965742251223492</v>
      </c>
      <c r="K44" t="s">
        <v>1185</v>
      </c>
      <c r="L44" t="s">
        <v>300</v>
      </c>
    </row>
    <row r="45" spans="1:12" x14ac:dyDescent="0.25">
      <c r="A45" t="s">
        <v>633</v>
      </c>
      <c r="B45" t="s">
        <v>36</v>
      </c>
      <c r="C45" t="s">
        <v>163</v>
      </c>
      <c r="D45" s="4" t="s">
        <v>468</v>
      </c>
      <c r="E45" s="4" t="s">
        <v>413</v>
      </c>
      <c r="F45" s="4" t="s">
        <v>1186</v>
      </c>
      <c r="G45" t="s">
        <v>1187</v>
      </c>
      <c r="H45" t="s">
        <v>220</v>
      </c>
      <c r="I45" s="3">
        <f>RUSH__2[[#This Row],[TD]]/RUSH__2[[#This Row],[Rec]]</f>
        <v>8.6206896551724144E-2</v>
      </c>
      <c r="J45" s="3">
        <f>D45/(VLOOKUP(B45,'2025 Team'!$B$2:$G$33,2,FALSE))</f>
        <v>0.16873889875666073</v>
      </c>
      <c r="K45" t="s">
        <v>1188</v>
      </c>
      <c r="L45" t="s">
        <v>289</v>
      </c>
    </row>
    <row r="46" spans="1:12" x14ac:dyDescent="0.25">
      <c r="A46" t="s">
        <v>704</v>
      </c>
      <c r="B46" t="s">
        <v>40</v>
      </c>
      <c r="C46" t="s">
        <v>153</v>
      </c>
      <c r="D46" s="4" t="s">
        <v>371</v>
      </c>
      <c r="E46" s="4" t="s">
        <v>424</v>
      </c>
      <c r="F46" s="4" t="s">
        <v>1189</v>
      </c>
      <c r="G46" t="s">
        <v>1190</v>
      </c>
      <c r="H46" t="s">
        <v>207</v>
      </c>
      <c r="I46" s="3">
        <f>RUSH__2[[#This Row],[TD]]/RUSH__2[[#This Row],[Rec]]</f>
        <v>0.109375</v>
      </c>
      <c r="J46" s="3">
        <f>D46/(VLOOKUP(B46,'2025 Team'!$B$2:$G$33,2,FALSE))</f>
        <v>0.16699029126213591</v>
      </c>
      <c r="K46" t="s">
        <v>1191</v>
      </c>
      <c r="L46" t="s">
        <v>417</v>
      </c>
    </row>
    <row r="47" spans="1:12" x14ac:dyDescent="0.25">
      <c r="A47" t="s">
        <v>571</v>
      </c>
      <c r="B47" t="s">
        <v>12</v>
      </c>
      <c r="C47" t="s">
        <v>153</v>
      </c>
      <c r="D47" s="4" t="s">
        <v>383</v>
      </c>
      <c r="E47" s="4" t="s">
        <v>450</v>
      </c>
      <c r="F47" s="4" t="s">
        <v>425</v>
      </c>
      <c r="G47" t="s">
        <v>1192</v>
      </c>
      <c r="H47" t="s">
        <v>220</v>
      </c>
      <c r="I47" s="3">
        <f>RUSH__2[[#This Row],[TD]]/RUSH__2[[#This Row],[Rec]]</f>
        <v>0.10416666666666667</v>
      </c>
      <c r="J47" s="3">
        <f>D47/(VLOOKUP(B47,'2025 Team'!$B$2:$G$33,2,FALSE))</f>
        <v>0.16587677725118483</v>
      </c>
      <c r="K47" t="s">
        <v>1193</v>
      </c>
      <c r="L47" t="s">
        <v>300</v>
      </c>
    </row>
    <row r="48" spans="1:12" x14ac:dyDescent="0.25">
      <c r="A48" t="s">
        <v>994</v>
      </c>
      <c r="B48" t="s">
        <v>58</v>
      </c>
      <c r="C48" t="s">
        <v>153</v>
      </c>
      <c r="D48" s="4" t="s">
        <v>390</v>
      </c>
      <c r="E48" s="4" t="s">
        <v>477</v>
      </c>
      <c r="F48" s="4" t="s">
        <v>1194</v>
      </c>
      <c r="G48" t="s">
        <v>1195</v>
      </c>
      <c r="H48" t="s">
        <v>266</v>
      </c>
      <c r="I48" s="3">
        <f>RUSH__2[[#This Row],[TD]]/RUSH__2[[#This Row],[Rec]]</f>
        <v>0.18333333333333332</v>
      </c>
      <c r="J48" s="3">
        <f>D48/(VLOOKUP(B48,'2025 Team'!$B$2:$G$33,2,FALSE))</f>
        <v>0.16498993963782696</v>
      </c>
      <c r="K48" t="s">
        <v>1196</v>
      </c>
      <c r="L48" t="s">
        <v>417</v>
      </c>
    </row>
    <row r="49" spans="1:12" x14ac:dyDescent="0.25">
      <c r="A49" t="s">
        <v>784</v>
      </c>
      <c r="B49" t="s">
        <v>24</v>
      </c>
      <c r="C49" s="1" t="s">
        <v>153</v>
      </c>
      <c r="D49" s="4" t="s">
        <v>1102</v>
      </c>
      <c r="E49" s="4" t="s">
        <v>390</v>
      </c>
      <c r="F49" s="4" t="s">
        <v>1197</v>
      </c>
      <c r="G49" t="s">
        <v>691</v>
      </c>
      <c r="H49" t="s">
        <v>225</v>
      </c>
      <c r="I49" s="3">
        <f>RUSH__2[[#This Row],[TD]]/RUSH__2[[#This Row],[Rec]]</f>
        <v>9.7560975609756101E-2</v>
      </c>
      <c r="J49" s="3">
        <f>D49/(VLOOKUP(B49,'2025 Team'!$B$2:$G$33,2,FALSE))</f>
        <v>0.16346153846153846</v>
      </c>
      <c r="K49" t="s">
        <v>1198</v>
      </c>
      <c r="L49" t="s">
        <v>314</v>
      </c>
    </row>
    <row r="50" spans="1:12" x14ac:dyDescent="0.25">
      <c r="A50" t="s">
        <v>697</v>
      </c>
      <c r="B50" t="s">
        <v>48</v>
      </c>
      <c r="C50" t="s">
        <v>163</v>
      </c>
      <c r="D50" s="4" t="s">
        <v>562</v>
      </c>
      <c r="E50" s="4" t="s">
        <v>1199</v>
      </c>
      <c r="F50" s="4" t="s">
        <v>1200</v>
      </c>
      <c r="G50" t="s">
        <v>1092</v>
      </c>
      <c r="H50" t="s">
        <v>314</v>
      </c>
      <c r="I50" s="3">
        <f>RUSH__2[[#This Row],[TD]]/RUSH__2[[#This Row],[Rec]]</f>
        <v>7.1428571428571425E-2</v>
      </c>
      <c r="J50" s="3">
        <f>D50/(VLOOKUP(B50,'2025 Team'!$B$2:$G$33,2,FALSE))</f>
        <v>0.16322314049586778</v>
      </c>
      <c r="K50" t="s">
        <v>1201</v>
      </c>
      <c r="L50" t="s">
        <v>417</v>
      </c>
    </row>
    <row r="51" spans="1:12" x14ac:dyDescent="0.25">
      <c r="A51" t="s">
        <v>685</v>
      </c>
      <c r="B51" t="s">
        <v>36</v>
      </c>
      <c r="C51" t="s">
        <v>163</v>
      </c>
      <c r="D51" s="4" t="s">
        <v>1202</v>
      </c>
      <c r="E51" s="4" t="s">
        <v>450</v>
      </c>
      <c r="F51" s="4" t="s">
        <v>1203</v>
      </c>
      <c r="G51" t="s">
        <v>683</v>
      </c>
      <c r="H51" t="s">
        <v>289</v>
      </c>
      <c r="I51" s="3">
        <f>RUSH__2[[#This Row],[TD]]/RUSH__2[[#This Row],[Rec]]</f>
        <v>4.1666666666666664E-2</v>
      </c>
      <c r="J51" s="3">
        <f>D51/(VLOOKUP(B51,'2025 Team'!$B$2:$G$33,2,FALSE))</f>
        <v>0.16163410301953818</v>
      </c>
      <c r="K51" t="s">
        <v>1204</v>
      </c>
      <c r="L51" t="s">
        <v>417</v>
      </c>
    </row>
    <row r="52" spans="1:12" x14ac:dyDescent="0.25">
      <c r="A52" t="s">
        <v>256</v>
      </c>
      <c r="B52" t="s">
        <v>28</v>
      </c>
      <c r="C52" s="1" t="s">
        <v>159</v>
      </c>
      <c r="D52" s="4" t="s">
        <v>526</v>
      </c>
      <c r="E52" s="4" t="s">
        <v>402</v>
      </c>
      <c r="F52" s="4" t="s">
        <v>1205</v>
      </c>
      <c r="G52" t="s">
        <v>531</v>
      </c>
      <c r="H52" t="s">
        <v>220</v>
      </c>
      <c r="I52" s="3">
        <f>RUSH__2[[#This Row],[TD]]/RUSH__2[[#This Row],[Rec]]</f>
        <v>6.4935064935064929E-2</v>
      </c>
      <c r="J52" s="3">
        <f>D52/(VLOOKUP(B52,'2025 Team'!$B$2:$G$33,2,FALSE))</f>
        <v>0.16151202749140894</v>
      </c>
      <c r="K52" t="s">
        <v>1206</v>
      </c>
      <c r="L52" t="s">
        <v>289</v>
      </c>
    </row>
    <row r="53" spans="1:12" x14ac:dyDescent="0.25">
      <c r="A53" t="s">
        <v>706</v>
      </c>
      <c r="B53" t="s">
        <v>34</v>
      </c>
      <c r="C53" t="s">
        <v>163</v>
      </c>
      <c r="D53" s="4" t="s">
        <v>1109</v>
      </c>
      <c r="E53" s="4" t="s">
        <v>413</v>
      </c>
      <c r="F53" s="4" t="s">
        <v>1207</v>
      </c>
      <c r="G53" t="s">
        <v>579</v>
      </c>
      <c r="H53" t="s">
        <v>229</v>
      </c>
      <c r="I53" s="3">
        <f>RUSH__2[[#This Row],[TD]]/RUSH__2[[#This Row],[Rec]]</f>
        <v>6.8965517241379309E-2</v>
      </c>
      <c r="J53" s="3">
        <f>D53/(VLOOKUP(B53,'2025 Team'!$B$2:$G$33,2,FALSE))</f>
        <v>0.16087751371115175</v>
      </c>
      <c r="K53" t="s">
        <v>1208</v>
      </c>
      <c r="L53" t="s">
        <v>300</v>
      </c>
    </row>
    <row r="54" spans="1:12" x14ac:dyDescent="0.25">
      <c r="A54" t="s">
        <v>1017</v>
      </c>
      <c r="B54" t="s">
        <v>62</v>
      </c>
      <c r="C54" t="s">
        <v>163</v>
      </c>
      <c r="D54" s="4" t="s">
        <v>1209</v>
      </c>
      <c r="E54" s="4" t="s">
        <v>433</v>
      </c>
      <c r="F54" s="4" t="s">
        <v>313</v>
      </c>
      <c r="G54" t="s">
        <v>1210</v>
      </c>
      <c r="H54" t="s">
        <v>270</v>
      </c>
      <c r="I54" s="3">
        <f>RUSH__2[[#This Row],[TD]]/RUSH__2[[#This Row],[Rec]]</f>
        <v>0.16363636363636364</v>
      </c>
      <c r="J54" s="3">
        <f>D54/(VLOOKUP(B54,'2025 Team'!$B$2:$G$33,2,FALSE))</f>
        <v>0.156794425087108</v>
      </c>
      <c r="K54" t="s">
        <v>1188</v>
      </c>
      <c r="L54" t="s">
        <v>300</v>
      </c>
    </row>
    <row r="55" spans="1:12" x14ac:dyDescent="0.25">
      <c r="A55" t="s">
        <v>838</v>
      </c>
      <c r="B55" t="s">
        <v>18</v>
      </c>
      <c r="C55" t="s">
        <v>163</v>
      </c>
      <c r="D55" s="4" t="s">
        <v>1209</v>
      </c>
      <c r="E55" s="4" t="s">
        <v>440</v>
      </c>
      <c r="F55" s="4" t="s">
        <v>1211</v>
      </c>
      <c r="G55" t="s">
        <v>1212</v>
      </c>
      <c r="H55" t="s">
        <v>247</v>
      </c>
      <c r="I55" s="3">
        <f>RUSH__2[[#This Row],[TD]]/RUSH__2[[#This Row],[Rec]]</f>
        <v>0.13636363636363635</v>
      </c>
      <c r="J55" s="3">
        <f>D55/(VLOOKUP(B55,'2025 Team'!$B$2:$G$33,2,FALSE))</f>
        <v>0.156794425087108</v>
      </c>
      <c r="K55" t="s">
        <v>1213</v>
      </c>
      <c r="L55" t="s">
        <v>417</v>
      </c>
    </row>
    <row r="56" spans="1:12" x14ac:dyDescent="0.25">
      <c r="A56" t="s">
        <v>1029</v>
      </c>
      <c r="B56" t="s">
        <v>68</v>
      </c>
      <c r="C56" t="s">
        <v>163</v>
      </c>
      <c r="D56" s="4" t="s">
        <v>559</v>
      </c>
      <c r="E56" s="4" t="s">
        <v>454</v>
      </c>
      <c r="F56" s="4" t="s">
        <v>1214</v>
      </c>
      <c r="G56" t="s">
        <v>1215</v>
      </c>
      <c r="H56" t="s">
        <v>229</v>
      </c>
      <c r="I56" s="3">
        <f>RUSH__2[[#This Row],[TD]]/RUSH__2[[#This Row],[Rec]]</f>
        <v>9.7560975609756101E-2</v>
      </c>
      <c r="J56" s="3">
        <f>D56/(VLOOKUP(B56,'2025 Team'!$B$2:$G$33,2,FALSE))</f>
        <v>0.156140350877193</v>
      </c>
      <c r="K56" t="s">
        <v>1216</v>
      </c>
      <c r="L56" t="s">
        <v>417</v>
      </c>
    </row>
    <row r="57" spans="1:12" x14ac:dyDescent="0.25">
      <c r="A57" t="s">
        <v>359</v>
      </c>
      <c r="B57" t="s">
        <v>60</v>
      </c>
      <c r="C57" s="1" t="s">
        <v>159</v>
      </c>
      <c r="D57" s="4" t="s">
        <v>548</v>
      </c>
      <c r="E57" s="4" t="s">
        <v>511</v>
      </c>
      <c r="F57" s="4" t="s">
        <v>1217</v>
      </c>
      <c r="G57" t="s">
        <v>608</v>
      </c>
      <c r="H57" t="s">
        <v>314</v>
      </c>
      <c r="I57" s="3">
        <f>RUSH__2[[#This Row],[TD]]/RUSH__2[[#This Row],[Rec]]</f>
        <v>4.1095890410958902E-2</v>
      </c>
      <c r="J57" s="3">
        <f>D57/(VLOOKUP(B57,'2025 Team'!$B$2:$G$33,2,FALSE))</f>
        <v>0.15454545454545454</v>
      </c>
      <c r="K57" t="s">
        <v>1218</v>
      </c>
      <c r="L57" t="s">
        <v>289</v>
      </c>
    </row>
    <row r="58" spans="1:12" x14ac:dyDescent="0.25">
      <c r="A58" t="s">
        <v>897</v>
      </c>
      <c r="B58" t="s">
        <v>34</v>
      </c>
      <c r="C58" t="s">
        <v>163</v>
      </c>
      <c r="D58" s="4" t="s">
        <v>405</v>
      </c>
      <c r="E58" s="4" t="s">
        <v>438</v>
      </c>
      <c r="F58" s="4" t="s">
        <v>1089</v>
      </c>
      <c r="G58" t="s">
        <v>1219</v>
      </c>
      <c r="H58" t="s">
        <v>247</v>
      </c>
      <c r="I58" s="3">
        <f>RUSH__2[[#This Row],[TD]]/RUSH__2[[#This Row],[Rec]]</f>
        <v>0.1276595744680851</v>
      </c>
      <c r="J58" s="3">
        <f>D58/(VLOOKUP(B58,'2025 Team'!$B$2:$G$33,2,FALSE))</f>
        <v>0.15356489945155394</v>
      </c>
      <c r="K58" t="s">
        <v>1220</v>
      </c>
      <c r="L58" t="s">
        <v>417</v>
      </c>
    </row>
    <row r="59" spans="1:12" x14ac:dyDescent="0.25">
      <c r="A59" t="s">
        <v>1044</v>
      </c>
      <c r="B59" t="s">
        <v>70</v>
      </c>
      <c r="C59" t="s">
        <v>153</v>
      </c>
      <c r="D59" s="4" t="s">
        <v>411</v>
      </c>
      <c r="E59" s="4" t="s">
        <v>427</v>
      </c>
      <c r="F59" s="4" t="s">
        <v>1221</v>
      </c>
      <c r="G59" t="s">
        <v>1116</v>
      </c>
      <c r="H59" t="s">
        <v>229</v>
      </c>
      <c r="I59" s="3">
        <f>RUSH__2[[#This Row],[TD]]/RUSH__2[[#This Row],[Rec]]</f>
        <v>0.08</v>
      </c>
      <c r="J59" s="3">
        <f>D59/(VLOOKUP(B59,'2025 Team'!$B$2:$G$33,2,FALSE))</f>
        <v>0.15351812366737741</v>
      </c>
      <c r="K59" t="s">
        <v>1222</v>
      </c>
      <c r="L59" t="s">
        <v>300</v>
      </c>
    </row>
    <row r="60" spans="1:12" x14ac:dyDescent="0.25">
      <c r="A60" t="s">
        <v>846</v>
      </c>
      <c r="B60" t="s">
        <v>20</v>
      </c>
      <c r="C60" t="s">
        <v>163</v>
      </c>
      <c r="D60" s="4" t="s">
        <v>1223</v>
      </c>
      <c r="E60" s="4" t="s">
        <v>398</v>
      </c>
      <c r="F60" s="4" t="s">
        <v>1224</v>
      </c>
      <c r="G60" t="s">
        <v>1225</v>
      </c>
      <c r="H60" t="s">
        <v>266</v>
      </c>
      <c r="I60" s="3">
        <f>RUSH__2[[#This Row],[TD]]/RUSH__2[[#This Row],[Rec]]</f>
        <v>0.1864406779661017</v>
      </c>
      <c r="J60" s="3">
        <f>D60/(VLOOKUP(B60,'2025 Team'!$B$2:$G$33,2,FALSE))</f>
        <v>0.15312500000000001</v>
      </c>
      <c r="K60" t="s">
        <v>1226</v>
      </c>
      <c r="L60" t="s">
        <v>417</v>
      </c>
    </row>
    <row r="61" spans="1:12" x14ac:dyDescent="0.25">
      <c r="A61" t="s">
        <v>167</v>
      </c>
      <c r="B61" t="s">
        <v>18</v>
      </c>
      <c r="C61" t="s">
        <v>163</v>
      </c>
      <c r="D61" s="4" t="s">
        <v>548</v>
      </c>
      <c r="E61" s="4" t="s">
        <v>427</v>
      </c>
      <c r="F61" s="4" t="s">
        <v>1227</v>
      </c>
      <c r="G61" t="s">
        <v>1228</v>
      </c>
      <c r="H61" t="s">
        <v>247</v>
      </c>
      <c r="I61" s="3">
        <f>RUSH__2[[#This Row],[TD]]/RUSH__2[[#This Row],[Rec]]</f>
        <v>0.12</v>
      </c>
      <c r="J61" s="3">
        <f>D61/(VLOOKUP(B61,'2025 Team'!$B$2:$G$33,2,FALSE))</f>
        <v>0.1480836236933798</v>
      </c>
      <c r="K61" t="s">
        <v>1229</v>
      </c>
      <c r="L61" t="s">
        <v>300</v>
      </c>
    </row>
    <row r="62" spans="1:12" x14ac:dyDescent="0.25">
      <c r="A62" t="s">
        <v>715</v>
      </c>
      <c r="B62" t="s">
        <v>42</v>
      </c>
      <c r="C62" t="s">
        <v>163</v>
      </c>
      <c r="D62" s="4" t="s">
        <v>405</v>
      </c>
      <c r="E62" s="4" t="s">
        <v>582</v>
      </c>
      <c r="F62" s="4" t="s">
        <v>1230</v>
      </c>
      <c r="G62" t="s">
        <v>1159</v>
      </c>
      <c r="H62" t="s">
        <v>225</v>
      </c>
      <c r="I62" s="3">
        <f>RUSH__2[[#This Row],[TD]]/RUSH__2[[#This Row],[Rec]]</f>
        <v>0.15686274509803921</v>
      </c>
      <c r="J62" s="3">
        <f>D62/(VLOOKUP(B62,'2025 Team'!$B$2:$G$33,2,FALSE))</f>
        <v>0.14762741652021089</v>
      </c>
      <c r="K62" t="s">
        <v>1128</v>
      </c>
      <c r="L62" t="s">
        <v>300</v>
      </c>
    </row>
    <row r="63" spans="1:12" x14ac:dyDescent="0.25">
      <c r="A63" t="s">
        <v>181</v>
      </c>
      <c r="B63" t="s">
        <v>64</v>
      </c>
      <c r="C63" t="s">
        <v>163</v>
      </c>
      <c r="D63" s="4" t="s">
        <v>383</v>
      </c>
      <c r="E63" s="4" t="s">
        <v>438</v>
      </c>
      <c r="F63" s="4" t="s">
        <v>1231</v>
      </c>
      <c r="G63" t="s">
        <v>1215</v>
      </c>
      <c r="H63" t="s">
        <v>289</v>
      </c>
      <c r="I63" s="3">
        <f>RUSH__2[[#This Row],[TD]]/RUSH__2[[#This Row],[Rec]]</f>
        <v>4.2553191489361701E-2</v>
      </c>
      <c r="J63" s="3">
        <f>D63/(VLOOKUP(B63,'2025 Team'!$B$2:$G$33,2,FALSE))</f>
        <v>0.14553014553014554</v>
      </c>
      <c r="K63" t="s">
        <v>1232</v>
      </c>
      <c r="L63" t="s">
        <v>300</v>
      </c>
    </row>
    <row r="64" spans="1:12" x14ac:dyDescent="0.25">
      <c r="A64" t="s">
        <v>1027</v>
      </c>
      <c r="B64" t="s">
        <v>66</v>
      </c>
      <c r="C64" t="s">
        <v>153</v>
      </c>
      <c r="D64" s="4" t="s">
        <v>698</v>
      </c>
      <c r="E64" s="4" t="s">
        <v>398</v>
      </c>
      <c r="F64" s="4" t="s">
        <v>342</v>
      </c>
      <c r="G64" t="s">
        <v>1233</v>
      </c>
      <c r="H64" t="s">
        <v>300</v>
      </c>
      <c r="I64" s="3">
        <f>RUSH__2[[#This Row],[TD]]/RUSH__2[[#This Row],[Rec]]</f>
        <v>1.6949152542372881E-2</v>
      </c>
      <c r="J64" s="3">
        <f>D64/(VLOOKUP(B64,'2025 Team'!$B$2:$G$33,2,FALSE))</f>
        <v>0.14516129032258066</v>
      </c>
      <c r="K64" t="s">
        <v>1234</v>
      </c>
      <c r="L64" t="s">
        <v>417</v>
      </c>
    </row>
    <row r="65" spans="1:12" x14ac:dyDescent="0.25">
      <c r="A65" t="s">
        <v>769</v>
      </c>
      <c r="B65" t="s">
        <v>18</v>
      </c>
      <c r="C65" t="s">
        <v>153</v>
      </c>
      <c r="D65" s="4" t="s">
        <v>390</v>
      </c>
      <c r="E65" s="4" t="s">
        <v>413</v>
      </c>
      <c r="F65" s="4" t="s">
        <v>1235</v>
      </c>
      <c r="G65" t="s">
        <v>1236</v>
      </c>
      <c r="H65" t="s">
        <v>247</v>
      </c>
      <c r="I65" s="3">
        <f>RUSH__2[[#This Row],[TD]]/RUSH__2[[#This Row],[Rec]]</f>
        <v>0.10344827586206896</v>
      </c>
      <c r="J65" s="3">
        <f>D65/(VLOOKUP(B65,'2025 Team'!$B$2:$G$33,2,FALSE))</f>
        <v>0.14285714285714285</v>
      </c>
      <c r="K65" t="s">
        <v>1237</v>
      </c>
      <c r="L65" t="s">
        <v>417</v>
      </c>
    </row>
    <row r="66" spans="1:12" x14ac:dyDescent="0.25">
      <c r="A66" t="s">
        <v>217</v>
      </c>
      <c r="B66" t="s">
        <v>40</v>
      </c>
      <c r="C66" t="s">
        <v>159</v>
      </c>
      <c r="D66" s="4" t="s">
        <v>511</v>
      </c>
      <c r="E66" s="4" t="s">
        <v>433</v>
      </c>
      <c r="F66" s="4" t="s">
        <v>1238</v>
      </c>
      <c r="G66" t="s">
        <v>488</v>
      </c>
      <c r="H66" t="s">
        <v>220</v>
      </c>
      <c r="I66" s="3">
        <f>RUSH__2[[#This Row],[TD]]/RUSH__2[[#This Row],[Rec]]</f>
        <v>9.0909090909090912E-2</v>
      </c>
      <c r="J66" s="3">
        <f>D66/(VLOOKUP(B66,'2025 Team'!$B$2:$G$33,2,FALSE))</f>
        <v>0.14174757281553399</v>
      </c>
      <c r="K66" t="s">
        <v>1239</v>
      </c>
      <c r="L66" t="s">
        <v>289</v>
      </c>
    </row>
    <row r="67" spans="1:12" x14ac:dyDescent="0.25">
      <c r="A67" t="s">
        <v>585</v>
      </c>
      <c r="B67" t="s">
        <v>64</v>
      </c>
      <c r="C67" t="s">
        <v>153</v>
      </c>
      <c r="D67" s="4" t="s">
        <v>1125</v>
      </c>
      <c r="E67" s="4" t="s">
        <v>441</v>
      </c>
      <c r="F67" s="4" t="s">
        <v>1240</v>
      </c>
      <c r="G67" t="s">
        <v>662</v>
      </c>
      <c r="H67" t="s">
        <v>247</v>
      </c>
      <c r="I67" s="3">
        <f>RUSH__2[[#This Row],[TD]]/RUSH__2[[#This Row],[Rec]]</f>
        <v>0.11538461538461539</v>
      </c>
      <c r="J67" s="3">
        <f>D67/(VLOOKUP(B67,'2025 Team'!$B$2:$G$33,2,FALSE))</f>
        <v>0.14137214137214138</v>
      </c>
      <c r="K67" t="s">
        <v>1241</v>
      </c>
      <c r="L67" t="s">
        <v>289</v>
      </c>
    </row>
    <row r="68" spans="1:12" x14ac:dyDescent="0.25">
      <c r="A68" t="s">
        <v>973</v>
      </c>
      <c r="B68" t="s">
        <v>54</v>
      </c>
      <c r="C68" t="s">
        <v>153</v>
      </c>
      <c r="D68" s="4" t="s">
        <v>1138</v>
      </c>
      <c r="E68" s="4" t="s">
        <v>452</v>
      </c>
      <c r="F68" s="4" t="s">
        <v>1242</v>
      </c>
      <c r="G68" t="s">
        <v>1210</v>
      </c>
      <c r="H68" t="s">
        <v>220</v>
      </c>
      <c r="I68" s="3">
        <f>RUSH__2[[#This Row],[TD]]/RUSH__2[[#This Row],[Rec]]</f>
        <v>0.1111111111111111</v>
      </c>
      <c r="J68" s="3">
        <f>D68/(VLOOKUP(B68,'2025 Team'!$B$2:$G$33,2,FALSE))</f>
        <v>0.14068441064638784</v>
      </c>
      <c r="K68" t="s">
        <v>1243</v>
      </c>
      <c r="L68" t="s">
        <v>417</v>
      </c>
    </row>
    <row r="69" spans="1:12" x14ac:dyDescent="0.25">
      <c r="A69" t="s">
        <v>1034</v>
      </c>
      <c r="B69" t="s">
        <v>68</v>
      </c>
      <c r="C69" t="s">
        <v>153</v>
      </c>
      <c r="D69" s="4" t="s">
        <v>562</v>
      </c>
      <c r="E69" s="4" t="s">
        <v>1244</v>
      </c>
      <c r="F69" s="4" t="s">
        <v>1245</v>
      </c>
      <c r="G69" t="s">
        <v>662</v>
      </c>
      <c r="H69" t="s">
        <v>289</v>
      </c>
      <c r="I69" s="3">
        <f>RUSH__2[[#This Row],[TD]]/RUSH__2[[#This Row],[Rec]]</f>
        <v>3.5714285714285712E-2</v>
      </c>
      <c r="J69" s="3">
        <f>D69/(VLOOKUP(B69,'2025 Team'!$B$2:$G$33,2,FALSE))</f>
        <v>0.13859649122807016</v>
      </c>
      <c r="K69" t="s">
        <v>1246</v>
      </c>
      <c r="L69" t="s">
        <v>417</v>
      </c>
    </row>
    <row r="70" spans="1:12" x14ac:dyDescent="0.25">
      <c r="A70" t="s">
        <v>280</v>
      </c>
      <c r="B70" t="s">
        <v>20</v>
      </c>
      <c r="C70" t="s">
        <v>159</v>
      </c>
      <c r="D70" s="4" t="s">
        <v>1109</v>
      </c>
      <c r="E70" s="4" t="s">
        <v>497</v>
      </c>
      <c r="F70" s="4" t="s">
        <v>347</v>
      </c>
      <c r="G70" t="s">
        <v>488</v>
      </c>
      <c r="H70" t="s">
        <v>220</v>
      </c>
      <c r="I70" s="3">
        <f>RUSH__2[[#This Row],[TD]]/RUSH__2[[#This Row],[Rec]]</f>
        <v>7.2463768115942032E-2</v>
      </c>
      <c r="J70" s="3">
        <f>D70/(VLOOKUP(B70,'2025 Team'!$B$2:$G$33,2,FALSE))</f>
        <v>0.13750000000000001</v>
      </c>
      <c r="K70" t="s">
        <v>1247</v>
      </c>
      <c r="L70" t="s">
        <v>289</v>
      </c>
    </row>
    <row r="71" spans="1:12" x14ac:dyDescent="0.25">
      <c r="A71" t="s">
        <v>737</v>
      </c>
      <c r="B71" t="s">
        <v>48</v>
      </c>
      <c r="C71" t="s">
        <v>153</v>
      </c>
      <c r="D71" s="4" t="s">
        <v>1160</v>
      </c>
      <c r="E71" s="4" t="s">
        <v>582</v>
      </c>
      <c r="F71" s="4" t="s">
        <v>1248</v>
      </c>
      <c r="G71" t="s">
        <v>616</v>
      </c>
      <c r="H71" t="s">
        <v>314</v>
      </c>
      <c r="I71" s="3">
        <f>RUSH__2[[#This Row],[TD]]/RUSH__2[[#This Row],[Rec]]</f>
        <v>5.8823529411764705E-2</v>
      </c>
      <c r="J71" s="3">
        <f>D71/(VLOOKUP(B71,'2025 Team'!$B$2:$G$33,2,FALSE))</f>
        <v>0.13636363636363635</v>
      </c>
      <c r="K71" t="s">
        <v>1249</v>
      </c>
      <c r="L71" t="s">
        <v>417</v>
      </c>
    </row>
    <row r="72" spans="1:12" x14ac:dyDescent="0.25">
      <c r="A72" t="s">
        <v>537</v>
      </c>
      <c r="B72" t="s">
        <v>46</v>
      </c>
      <c r="C72" t="s">
        <v>163</v>
      </c>
      <c r="D72" s="4" t="s">
        <v>422</v>
      </c>
      <c r="E72" s="4" t="s">
        <v>459</v>
      </c>
      <c r="F72" s="4" t="s">
        <v>1250</v>
      </c>
      <c r="G72" t="s">
        <v>434</v>
      </c>
      <c r="H72" t="s">
        <v>314</v>
      </c>
      <c r="I72" s="3">
        <f>RUSH__2[[#This Row],[TD]]/RUSH__2[[#This Row],[Rec]]</f>
        <v>6.5217391304347824E-2</v>
      </c>
      <c r="J72" s="3">
        <f>D72/(VLOOKUP(B72,'2025 Team'!$B$2:$G$33,2,FALSE))</f>
        <v>0.13569937369519833</v>
      </c>
      <c r="K72" t="s">
        <v>1251</v>
      </c>
      <c r="L72" t="s">
        <v>300</v>
      </c>
    </row>
    <row r="73" spans="1:12" x14ac:dyDescent="0.25">
      <c r="A73" t="s">
        <v>657</v>
      </c>
      <c r="B73" t="s">
        <v>38</v>
      </c>
      <c r="C73" t="s">
        <v>163</v>
      </c>
      <c r="D73" s="4" t="s">
        <v>552</v>
      </c>
      <c r="E73" s="4" t="s">
        <v>446</v>
      </c>
      <c r="F73" s="4" t="s">
        <v>1252</v>
      </c>
      <c r="G73" t="s">
        <v>1130</v>
      </c>
      <c r="H73" t="s">
        <v>220</v>
      </c>
      <c r="I73" s="3">
        <f>RUSH__2[[#This Row],[TD]]/RUSH__2[[#This Row],[Rec]]</f>
        <v>9.4339622641509441E-2</v>
      </c>
      <c r="J73" s="3">
        <f>D73/(VLOOKUP(B73,'2025 Team'!$B$2:$G$33,2,FALSE))</f>
        <v>0.13356164383561644</v>
      </c>
      <c r="K73" t="s">
        <v>1108</v>
      </c>
      <c r="L73" t="s">
        <v>289</v>
      </c>
    </row>
    <row r="74" spans="1:12" x14ac:dyDescent="0.25">
      <c r="A74" t="s">
        <v>807</v>
      </c>
      <c r="B74" t="s">
        <v>10</v>
      </c>
      <c r="C74" t="s">
        <v>163</v>
      </c>
      <c r="D74" s="4" t="s">
        <v>411</v>
      </c>
      <c r="E74" s="4" t="s">
        <v>475</v>
      </c>
      <c r="F74" s="4" t="s">
        <v>1253</v>
      </c>
      <c r="G74" t="s">
        <v>1254</v>
      </c>
      <c r="H74" t="s">
        <v>300</v>
      </c>
      <c r="I74" s="3">
        <f>RUSH__2[[#This Row],[TD]]/RUSH__2[[#This Row],[Rec]]</f>
        <v>3.125E-2</v>
      </c>
      <c r="J74" s="3">
        <f>D74/(VLOOKUP(B74,'2025 Team'!$B$2:$G$33,2,FALSE))</f>
        <v>0.13211009174311927</v>
      </c>
      <c r="K74" t="s">
        <v>1255</v>
      </c>
      <c r="L74" t="s">
        <v>289</v>
      </c>
    </row>
    <row r="75" spans="1:12" x14ac:dyDescent="0.25">
      <c r="A75" t="s">
        <v>985</v>
      </c>
      <c r="B75" t="s">
        <v>56</v>
      </c>
      <c r="C75" t="s">
        <v>153</v>
      </c>
      <c r="D75" s="4" t="s">
        <v>422</v>
      </c>
      <c r="E75" s="4" t="s">
        <v>440</v>
      </c>
      <c r="F75" s="4" t="s">
        <v>1256</v>
      </c>
      <c r="G75" t="s">
        <v>1257</v>
      </c>
      <c r="H75" t="s">
        <v>300</v>
      </c>
      <c r="I75" s="3">
        <f>RUSH__2[[#This Row],[TD]]/RUSH__2[[#This Row],[Rec]]</f>
        <v>2.2727272727272728E-2</v>
      </c>
      <c r="J75" s="3">
        <f>D75/(VLOOKUP(B75,'2025 Team'!$B$2:$G$33,2,FALSE))</f>
        <v>0.13157894736842105</v>
      </c>
      <c r="K75" t="s">
        <v>1258</v>
      </c>
      <c r="L75" t="s">
        <v>417</v>
      </c>
    </row>
    <row r="76" spans="1:12" x14ac:dyDescent="0.25">
      <c r="A76" t="s">
        <v>593</v>
      </c>
      <c r="B76" t="s">
        <v>68</v>
      </c>
      <c r="C76" t="s">
        <v>163</v>
      </c>
      <c r="D76" s="4" t="s">
        <v>1138</v>
      </c>
      <c r="E76" s="4" t="s">
        <v>450</v>
      </c>
      <c r="F76" s="4" t="s">
        <v>1259</v>
      </c>
      <c r="G76" t="s">
        <v>1192</v>
      </c>
      <c r="H76" t="s">
        <v>229</v>
      </c>
      <c r="I76" s="3">
        <f>RUSH__2[[#This Row],[TD]]/RUSH__2[[#This Row],[Rec]]</f>
        <v>8.3333333333333329E-2</v>
      </c>
      <c r="J76" s="3">
        <f>D76/(VLOOKUP(B76,'2025 Team'!$B$2:$G$33,2,FALSE))</f>
        <v>0.12982456140350876</v>
      </c>
      <c r="K76" t="s">
        <v>1260</v>
      </c>
      <c r="L76" t="s">
        <v>289</v>
      </c>
    </row>
    <row r="77" spans="1:12" x14ac:dyDescent="0.25">
      <c r="A77" t="s">
        <v>748</v>
      </c>
      <c r="B77" t="s">
        <v>50</v>
      </c>
      <c r="C77" t="s">
        <v>163</v>
      </c>
      <c r="D77" s="4" t="s">
        <v>422</v>
      </c>
      <c r="E77" s="4" t="s">
        <v>459</v>
      </c>
      <c r="F77" s="4" t="s">
        <v>1261</v>
      </c>
      <c r="G77" t="s">
        <v>752</v>
      </c>
      <c r="H77" t="s">
        <v>289</v>
      </c>
      <c r="I77" s="3">
        <f>RUSH__2[[#This Row],[TD]]/RUSH__2[[#This Row],[Rec]]</f>
        <v>4.3478260869565216E-2</v>
      </c>
      <c r="J77" s="3">
        <f>D77/(VLOOKUP(B77,'2025 Team'!$B$2:$G$33,2,FALSE))</f>
        <v>0.12948207171314741</v>
      </c>
      <c r="K77" t="s">
        <v>1251</v>
      </c>
      <c r="L77" t="s">
        <v>300</v>
      </c>
    </row>
    <row r="78" spans="1:12" x14ac:dyDescent="0.25">
      <c r="A78" t="s">
        <v>1048</v>
      </c>
      <c r="B78" t="s">
        <v>70</v>
      </c>
      <c r="C78" t="s">
        <v>163</v>
      </c>
      <c r="D78" s="4" t="s">
        <v>477</v>
      </c>
      <c r="E78" s="4" t="s">
        <v>480</v>
      </c>
      <c r="F78" s="4" t="s">
        <v>1262</v>
      </c>
      <c r="G78" t="s">
        <v>1263</v>
      </c>
      <c r="H78" t="s">
        <v>314</v>
      </c>
      <c r="I78" s="3">
        <f>RUSH__2[[#This Row],[TD]]/RUSH__2[[#This Row],[Rec]]</f>
        <v>7.8947368421052627E-2</v>
      </c>
      <c r="J78" s="3">
        <f>D78/(VLOOKUP(B78,'2025 Team'!$B$2:$G$33,2,FALSE))</f>
        <v>0.1279317697228145</v>
      </c>
      <c r="K78" t="s">
        <v>1264</v>
      </c>
      <c r="L78" t="s">
        <v>417</v>
      </c>
    </row>
    <row r="79" spans="1:12" x14ac:dyDescent="0.25">
      <c r="A79" t="s">
        <v>907</v>
      </c>
      <c r="B79" t="s">
        <v>38</v>
      </c>
      <c r="C79" t="s">
        <v>163</v>
      </c>
      <c r="D79" s="4" t="s">
        <v>1138</v>
      </c>
      <c r="E79" s="4" t="s">
        <v>554</v>
      </c>
      <c r="F79" s="4" t="s">
        <v>1265</v>
      </c>
      <c r="G79" t="s">
        <v>752</v>
      </c>
      <c r="H79" t="s">
        <v>220</v>
      </c>
      <c r="I79" s="3">
        <f>RUSH__2[[#This Row],[TD]]/RUSH__2[[#This Row],[Rec]]</f>
        <v>0.10204081632653061</v>
      </c>
      <c r="J79" s="3">
        <f>D79/(VLOOKUP(B79,'2025 Team'!$B$2:$G$33,2,FALSE))</f>
        <v>0.12671232876712329</v>
      </c>
      <c r="K79" t="s">
        <v>1266</v>
      </c>
      <c r="L79" t="s">
        <v>300</v>
      </c>
    </row>
    <row r="80" spans="1:12" x14ac:dyDescent="0.25">
      <c r="A80" t="s">
        <v>597</v>
      </c>
      <c r="B80" t="s">
        <v>38</v>
      </c>
      <c r="C80" t="s">
        <v>163</v>
      </c>
      <c r="D80" s="4" t="s">
        <v>511</v>
      </c>
      <c r="E80" s="4" t="s">
        <v>1199</v>
      </c>
      <c r="F80" s="4" t="s">
        <v>1267</v>
      </c>
      <c r="G80" t="s">
        <v>1268</v>
      </c>
      <c r="H80" t="s">
        <v>300</v>
      </c>
      <c r="I80" s="3">
        <f>RUSH__2[[#This Row],[TD]]/RUSH__2[[#This Row],[Rec]]</f>
        <v>2.3809523809523808E-2</v>
      </c>
      <c r="J80" s="3">
        <f>D80/(VLOOKUP(B80,'2025 Team'!$B$2:$G$33,2,FALSE))</f>
        <v>0.125</v>
      </c>
      <c r="K80" t="s">
        <v>1269</v>
      </c>
      <c r="L80" t="s">
        <v>417</v>
      </c>
    </row>
    <row r="81" spans="1:12" x14ac:dyDescent="0.25">
      <c r="A81" t="s">
        <v>750</v>
      </c>
      <c r="B81" t="s">
        <v>16</v>
      </c>
      <c r="C81" t="s">
        <v>163</v>
      </c>
      <c r="D81" s="4" t="s">
        <v>424</v>
      </c>
      <c r="E81" s="4" t="s">
        <v>467</v>
      </c>
      <c r="F81" s="4" t="s">
        <v>1270</v>
      </c>
      <c r="G81" t="s">
        <v>1156</v>
      </c>
      <c r="H81" t="s">
        <v>314</v>
      </c>
      <c r="I81" s="3">
        <f>RUSH__2[[#This Row],[TD]]/RUSH__2[[#This Row],[Rec]]</f>
        <v>8.5714285714285715E-2</v>
      </c>
      <c r="J81" s="3">
        <f>D81/(VLOOKUP(B81,'2025 Team'!$B$2:$G$33,2,FALSE))</f>
        <v>0.12427184466019417</v>
      </c>
      <c r="K81" t="s">
        <v>1271</v>
      </c>
      <c r="L81" t="s">
        <v>300</v>
      </c>
    </row>
    <row r="82" spans="1:12" x14ac:dyDescent="0.25">
      <c r="A82" t="s">
        <v>781</v>
      </c>
      <c r="B82" t="s">
        <v>26</v>
      </c>
      <c r="C82" t="s">
        <v>153</v>
      </c>
      <c r="D82" s="4" t="s">
        <v>533</v>
      </c>
      <c r="E82" s="4" t="s">
        <v>427</v>
      </c>
      <c r="F82" s="4" t="s">
        <v>1272</v>
      </c>
      <c r="G82" t="s">
        <v>1273</v>
      </c>
      <c r="H82" t="s">
        <v>300</v>
      </c>
      <c r="I82" s="3">
        <f>RUSH__2[[#This Row],[TD]]/RUSH__2[[#This Row],[Rec]]</f>
        <v>0.02</v>
      </c>
      <c r="J82" s="3">
        <f>D82/(VLOOKUP(B82,'2025 Team'!$B$2:$G$33,2,FALSE))</f>
        <v>0.12398042414355628</v>
      </c>
      <c r="K82" t="s">
        <v>1274</v>
      </c>
      <c r="L82" t="s">
        <v>417</v>
      </c>
    </row>
    <row r="83" spans="1:12" x14ac:dyDescent="0.25">
      <c r="A83" t="s">
        <v>919</v>
      </c>
      <c r="B83" t="s">
        <v>42</v>
      </c>
      <c r="C83" t="s">
        <v>153</v>
      </c>
      <c r="D83" s="4" t="s">
        <v>497</v>
      </c>
      <c r="E83" s="4" t="s">
        <v>554</v>
      </c>
      <c r="F83" s="4" t="s">
        <v>1275</v>
      </c>
      <c r="G83" t="s">
        <v>1228</v>
      </c>
      <c r="H83" t="s">
        <v>314</v>
      </c>
      <c r="I83" s="3">
        <f>RUSH__2[[#This Row],[TD]]/RUSH__2[[#This Row],[Rec]]</f>
        <v>6.1224489795918366E-2</v>
      </c>
      <c r="J83" s="3">
        <f>D83/(VLOOKUP(B83,'2025 Team'!$B$2:$G$33,2,FALSE))</f>
        <v>0.12126537785588752</v>
      </c>
      <c r="K83" t="s">
        <v>1276</v>
      </c>
      <c r="L83" t="s">
        <v>300</v>
      </c>
    </row>
    <row r="84" spans="1:12" x14ac:dyDescent="0.25">
      <c r="A84" t="s">
        <v>770</v>
      </c>
      <c r="B84" t="s">
        <v>62</v>
      </c>
      <c r="C84" t="s">
        <v>153</v>
      </c>
      <c r="D84" s="4" t="s">
        <v>497</v>
      </c>
      <c r="E84" s="4" t="s">
        <v>436</v>
      </c>
      <c r="F84" s="4" t="s">
        <v>1277</v>
      </c>
      <c r="G84" t="s">
        <v>779</v>
      </c>
      <c r="H84" t="s">
        <v>207</v>
      </c>
      <c r="I84" s="3">
        <f>RUSH__2[[#This Row],[TD]]/RUSH__2[[#This Row],[Rec]]</f>
        <v>0.12280701754385964</v>
      </c>
      <c r="J84" s="3">
        <f>D84/(VLOOKUP(B84,'2025 Team'!$B$2:$G$33,2,FALSE))</f>
        <v>0.12020905923344948</v>
      </c>
      <c r="K84" t="s">
        <v>1278</v>
      </c>
      <c r="L84" t="s">
        <v>417</v>
      </c>
    </row>
    <row r="85" spans="1:12" x14ac:dyDescent="0.25">
      <c r="A85" t="s">
        <v>976</v>
      </c>
      <c r="B85" t="s">
        <v>54</v>
      </c>
      <c r="C85" t="s">
        <v>163</v>
      </c>
      <c r="D85" s="4" t="s">
        <v>1094</v>
      </c>
      <c r="E85" s="4" t="s">
        <v>461</v>
      </c>
      <c r="F85" s="4" t="s">
        <v>1279</v>
      </c>
      <c r="G85" t="s">
        <v>1092</v>
      </c>
      <c r="H85" t="s">
        <v>300</v>
      </c>
      <c r="I85" s="3">
        <f>RUSH__2[[#This Row],[TD]]/RUSH__2[[#This Row],[Rec]]</f>
        <v>2.7027027027027029E-2</v>
      </c>
      <c r="J85" s="3">
        <f>D85/(VLOOKUP(B85,'2025 Team'!$B$2:$G$33,2,FALSE))</f>
        <v>0.11977186311787072</v>
      </c>
      <c r="K85" t="s">
        <v>1280</v>
      </c>
      <c r="L85" t="s">
        <v>300</v>
      </c>
    </row>
    <row r="86" spans="1:12" x14ac:dyDescent="0.25">
      <c r="A86" t="s">
        <v>986</v>
      </c>
      <c r="B86" t="s">
        <v>56</v>
      </c>
      <c r="C86" t="s">
        <v>163</v>
      </c>
      <c r="D86" s="4" t="s">
        <v>398</v>
      </c>
      <c r="E86" s="4" t="s">
        <v>476</v>
      </c>
      <c r="F86" s="4" t="s">
        <v>1281</v>
      </c>
      <c r="G86" t="s">
        <v>779</v>
      </c>
      <c r="H86" t="s">
        <v>229</v>
      </c>
      <c r="I86" s="3">
        <f>RUSH__2[[#This Row],[TD]]/RUSH__2[[#This Row],[Rec]]</f>
        <v>0.1111111111111111</v>
      </c>
      <c r="J86" s="3">
        <f>D86/(VLOOKUP(B86,'2025 Team'!$B$2:$G$33,2,FALSE))</f>
        <v>0.1194331983805668</v>
      </c>
      <c r="K86" t="s">
        <v>1282</v>
      </c>
      <c r="L86" t="s">
        <v>300</v>
      </c>
    </row>
    <row r="87" spans="1:12" x14ac:dyDescent="0.25">
      <c r="A87" t="s">
        <v>819</v>
      </c>
      <c r="B87" t="s">
        <v>14</v>
      </c>
      <c r="C87" t="s">
        <v>163</v>
      </c>
      <c r="D87" s="4" t="s">
        <v>398</v>
      </c>
      <c r="E87" s="4" t="s">
        <v>480</v>
      </c>
      <c r="F87" s="4" t="s">
        <v>1283</v>
      </c>
      <c r="G87" t="s">
        <v>1190</v>
      </c>
      <c r="H87" t="s">
        <v>229</v>
      </c>
      <c r="I87" s="3">
        <f>RUSH__2[[#This Row],[TD]]/RUSH__2[[#This Row],[Rec]]</f>
        <v>0.10526315789473684</v>
      </c>
      <c r="J87" s="3">
        <f>D87/(VLOOKUP(B87,'2025 Team'!$B$2:$G$33,2,FALSE))</f>
        <v>0.1191919191919192</v>
      </c>
      <c r="K87" t="s">
        <v>1284</v>
      </c>
      <c r="L87" t="s">
        <v>300</v>
      </c>
    </row>
    <row r="88" spans="1:12" x14ac:dyDescent="0.25">
      <c r="A88" t="s">
        <v>742</v>
      </c>
      <c r="B88" t="s">
        <v>56</v>
      </c>
      <c r="C88" t="s">
        <v>163</v>
      </c>
      <c r="D88" s="4" t="s">
        <v>413</v>
      </c>
      <c r="E88" s="4" t="s">
        <v>487</v>
      </c>
      <c r="F88" s="4" t="s">
        <v>1285</v>
      </c>
      <c r="G88" t="s">
        <v>1065</v>
      </c>
      <c r="H88" t="s">
        <v>289</v>
      </c>
      <c r="I88" s="3">
        <f>RUSH__2[[#This Row],[TD]]/RUSH__2[[#This Row],[Rec]]</f>
        <v>8.3333333333333329E-2</v>
      </c>
      <c r="J88" s="3">
        <f>D88/(VLOOKUP(B88,'2025 Team'!$B$2:$G$33,2,FALSE))</f>
        <v>0.11740890688259109</v>
      </c>
      <c r="K88" t="s">
        <v>1286</v>
      </c>
      <c r="L88" t="s">
        <v>417</v>
      </c>
    </row>
    <row r="89" spans="1:12" x14ac:dyDescent="0.25">
      <c r="A89" t="s">
        <v>887</v>
      </c>
      <c r="B89" t="s">
        <v>32</v>
      </c>
      <c r="C89" t="s">
        <v>163</v>
      </c>
      <c r="D89" s="4" t="s">
        <v>1125</v>
      </c>
      <c r="E89" s="4" t="s">
        <v>454</v>
      </c>
      <c r="F89" s="4" t="s">
        <v>1287</v>
      </c>
      <c r="G89" t="s">
        <v>1178</v>
      </c>
      <c r="H89" t="s">
        <v>247</v>
      </c>
      <c r="I89" s="3">
        <f>RUSH__2[[#This Row],[TD]]/RUSH__2[[#This Row],[Rec]]</f>
        <v>0.14634146341463414</v>
      </c>
      <c r="J89" s="3">
        <f>D89/(VLOOKUP(B89,'2025 Team'!$B$2:$G$33,2,FALSE))</f>
        <v>0.11683848797250859</v>
      </c>
      <c r="K89" t="s">
        <v>1288</v>
      </c>
      <c r="L89" t="s">
        <v>417</v>
      </c>
    </row>
    <row r="90" spans="1:12" x14ac:dyDescent="0.25">
      <c r="A90" t="s">
        <v>667</v>
      </c>
      <c r="B90" t="s">
        <v>18</v>
      </c>
      <c r="C90" t="s">
        <v>163</v>
      </c>
      <c r="D90" s="4" t="s">
        <v>422</v>
      </c>
      <c r="E90" s="4" t="s">
        <v>470</v>
      </c>
      <c r="F90" s="4" t="s">
        <v>1289</v>
      </c>
      <c r="G90" t="s">
        <v>531</v>
      </c>
      <c r="H90" t="s">
        <v>289</v>
      </c>
      <c r="I90" s="3">
        <f>RUSH__2[[#This Row],[TD]]/RUSH__2[[#This Row],[Rec]]</f>
        <v>5.128205128205128E-2</v>
      </c>
      <c r="J90" s="3">
        <f>D90/(VLOOKUP(B90,'2025 Team'!$B$2:$G$33,2,FALSE))</f>
        <v>0.1132404181184669</v>
      </c>
      <c r="K90" t="s">
        <v>1290</v>
      </c>
      <c r="L90" t="s">
        <v>417</v>
      </c>
    </row>
    <row r="91" spans="1:12" x14ac:dyDescent="0.25">
      <c r="A91" t="s">
        <v>792</v>
      </c>
      <c r="B91" t="s">
        <v>8</v>
      </c>
      <c r="C91" t="s">
        <v>163</v>
      </c>
      <c r="D91" s="4" t="s">
        <v>511</v>
      </c>
      <c r="E91" s="4" t="s">
        <v>454</v>
      </c>
      <c r="F91" s="4" t="s">
        <v>1291</v>
      </c>
      <c r="G91" t="s">
        <v>1292</v>
      </c>
      <c r="H91" t="s">
        <v>229</v>
      </c>
      <c r="I91" s="3">
        <f>RUSH__2[[#This Row],[TD]]/RUSH__2[[#This Row],[Rec]]</f>
        <v>9.7560975609756101E-2</v>
      </c>
      <c r="J91" s="3">
        <f>D91/(VLOOKUP(B91,'2025 Team'!$B$2:$G$33,2,FALSE))</f>
        <v>0.11248073959938366</v>
      </c>
      <c r="K91" t="s">
        <v>1293</v>
      </c>
      <c r="L91" t="s">
        <v>417</v>
      </c>
    </row>
    <row r="92" spans="1:12" x14ac:dyDescent="0.25">
      <c r="A92" t="s">
        <v>739</v>
      </c>
      <c r="B92" t="s">
        <v>30</v>
      </c>
      <c r="C92" t="s">
        <v>163</v>
      </c>
      <c r="D92" s="4" t="s">
        <v>433</v>
      </c>
      <c r="E92" s="4" t="s">
        <v>467</v>
      </c>
      <c r="F92" s="4" t="s">
        <v>307</v>
      </c>
      <c r="G92" t="s">
        <v>1294</v>
      </c>
      <c r="H92" t="s">
        <v>247</v>
      </c>
      <c r="I92" s="3">
        <f>RUSH__2[[#This Row],[TD]]/RUSH__2[[#This Row],[Rec]]</f>
        <v>0.17142857142857143</v>
      </c>
      <c r="J92" s="3">
        <f>D92/(VLOOKUP(B92,'2025 Team'!$B$2:$G$33,2,FALSE))</f>
        <v>0.11247443762781185</v>
      </c>
      <c r="K92" t="s">
        <v>1295</v>
      </c>
      <c r="L92" t="s">
        <v>417</v>
      </c>
    </row>
    <row r="93" spans="1:12" x14ac:dyDescent="0.25">
      <c r="A93" t="s">
        <v>621</v>
      </c>
      <c r="B93" t="s">
        <v>52</v>
      </c>
      <c r="C93" t="s">
        <v>163</v>
      </c>
      <c r="D93" s="4" t="s">
        <v>1160</v>
      </c>
      <c r="E93" s="4" t="s">
        <v>440</v>
      </c>
      <c r="F93" s="4" t="s">
        <v>1296</v>
      </c>
      <c r="G93" t="s">
        <v>680</v>
      </c>
      <c r="H93" t="s">
        <v>289</v>
      </c>
      <c r="I93" s="3">
        <f>RUSH__2[[#This Row],[TD]]/RUSH__2[[#This Row],[Rec]]</f>
        <v>4.5454545454545456E-2</v>
      </c>
      <c r="J93" s="3">
        <f>D93/(VLOOKUP(B93,'2025 Team'!$B$2:$G$33,2,FALSE))</f>
        <v>0.1116751269035533</v>
      </c>
      <c r="K93" t="s">
        <v>1297</v>
      </c>
      <c r="L93" t="s">
        <v>300</v>
      </c>
    </row>
    <row r="94" spans="1:12" x14ac:dyDescent="0.25">
      <c r="A94" t="s">
        <v>1024</v>
      </c>
      <c r="B94" t="s">
        <v>66</v>
      </c>
      <c r="C94" t="s">
        <v>163</v>
      </c>
      <c r="D94" s="4" t="s">
        <v>573</v>
      </c>
      <c r="E94" s="4" t="s">
        <v>639</v>
      </c>
      <c r="F94" s="4" t="s">
        <v>1298</v>
      </c>
      <c r="G94" t="s">
        <v>1236</v>
      </c>
      <c r="H94" t="s">
        <v>314</v>
      </c>
      <c r="I94" s="3">
        <f>RUSH__2[[#This Row],[TD]]/RUSH__2[[#This Row],[Rec]]</f>
        <v>0.1</v>
      </c>
      <c r="J94" s="3">
        <f>D94/(VLOOKUP(B94,'2025 Team'!$B$2:$G$33,2,FALSE))</f>
        <v>0.1111111111111111</v>
      </c>
      <c r="K94" t="s">
        <v>1299</v>
      </c>
      <c r="L94" t="s">
        <v>417</v>
      </c>
    </row>
    <row r="95" spans="1:12" x14ac:dyDescent="0.25">
      <c r="A95" t="s">
        <v>701</v>
      </c>
      <c r="B95" t="s">
        <v>48</v>
      </c>
      <c r="C95" t="s">
        <v>163</v>
      </c>
      <c r="D95" s="4" t="s">
        <v>446</v>
      </c>
      <c r="E95" s="4" t="s">
        <v>503</v>
      </c>
      <c r="F95" s="4" t="s">
        <v>1300</v>
      </c>
      <c r="G95" t="s">
        <v>1263</v>
      </c>
      <c r="H95" t="s">
        <v>229</v>
      </c>
      <c r="I95" s="3">
        <f>RUSH__2[[#This Row],[TD]]/RUSH__2[[#This Row],[Rec]]</f>
        <v>0.13793103448275862</v>
      </c>
      <c r="J95" s="3">
        <f>D95/(VLOOKUP(B95,'2025 Team'!$B$2:$G$33,2,FALSE))</f>
        <v>0.10950413223140495</v>
      </c>
      <c r="K95" t="s">
        <v>1271</v>
      </c>
      <c r="L95" t="s">
        <v>417</v>
      </c>
    </row>
    <row r="96" spans="1:12" x14ac:dyDescent="0.25">
      <c r="A96" t="s">
        <v>654</v>
      </c>
      <c r="B96" t="s">
        <v>36</v>
      </c>
      <c r="C96" s="1" t="s">
        <v>163</v>
      </c>
      <c r="D96" s="4" t="s">
        <v>529</v>
      </c>
      <c r="E96" s="4" t="s">
        <v>1199</v>
      </c>
      <c r="F96" s="4" t="s">
        <v>1301</v>
      </c>
      <c r="G96" t="s">
        <v>1181</v>
      </c>
      <c r="H96" t="s">
        <v>314</v>
      </c>
      <c r="I96" s="3">
        <f>RUSH__2[[#This Row],[TD]]/RUSH__2[[#This Row],[Rec]]</f>
        <v>7.1428571428571425E-2</v>
      </c>
      <c r="J96" s="3">
        <f>D96/(VLOOKUP(B96,'2025 Team'!$B$2:$G$33,2,FALSE))</f>
        <v>0.10834813499111901</v>
      </c>
      <c r="K96" t="s">
        <v>1302</v>
      </c>
      <c r="L96" t="s">
        <v>300</v>
      </c>
    </row>
    <row r="97" spans="1:12" x14ac:dyDescent="0.25">
      <c r="A97" t="s">
        <v>905</v>
      </c>
      <c r="B97" t="s">
        <v>36</v>
      </c>
      <c r="C97" t="s">
        <v>153</v>
      </c>
      <c r="D97" s="4" t="s">
        <v>477</v>
      </c>
      <c r="E97" s="4" t="s">
        <v>459</v>
      </c>
      <c r="F97" s="4" t="s">
        <v>340</v>
      </c>
      <c r="G97" t="s">
        <v>1210</v>
      </c>
      <c r="H97" t="s">
        <v>314</v>
      </c>
      <c r="I97" s="3">
        <f>RUSH__2[[#This Row],[TD]]/RUSH__2[[#This Row],[Rec]]</f>
        <v>6.5217391304347824E-2</v>
      </c>
      <c r="J97" s="3">
        <f>D97/(VLOOKUP(B97,'2025 Team'!$B$2:$G$33,2,FALSE))</f>
        <v>0.10657193605683836</v>
      </c>
      <c r="K97" t="s">
        <v>1157</v>
      </c>
      <c r="L97" t="s">
        <v>417</v>
      </c>
    </row>
    <row r="98" spans="1:12" x14ac:dyDescent="0.25">
      <c r="A98" t="s">
        <v>640</v>
      </c>
      <c r="B98" t="s">
        <v>18</v>
      </c>
      <c r="C98" t="s">
        <v>163</v>
      </c>
      <c r="D98" s="4" t="s">
        <v>477</v>
      </c>
      <c r="E98" s="4" t="s">
        <v>438</v>
      </c>
      <c r="F98" s="4" t="s">
        <v>1303</v>
      </c>
      <c r="G98" t="s">
        <v>1304</v>
      </c>
      <c r="H98" t="s">
        <v>289</v>
      </c>
      <c r="I98" s="3">
        <f>RUSH__2[[#This Row],[TD]]/RUSH__2[[#This Row],[Rec]]</f>
        <v>4.2553191489361701E-2</v>
      </c>
      <c r="J98" s="3">
        <f>D98/(VLOOKUP(B98,'2025 Team'!$B$2:$G$33,2,FALSE))</f>
        <v>0.10452961672473868</v>
      </c>
      <c r="K98" t="s">
        <v>1305</v>
      </c>
      <c r="L98" t="s">
        <v>417</v>
      </c>
    </row>
    <row r="99" spans="1:12" x14ac:dyDescent="0.25">
      <c r="A99" t="s">
        <v>204</v>
      </c>
      <c r="B99" t="s">
        <v>58</v>
      </c>
      <c r="C99" t="s">
        <v>159</v>
      </c>
      <c r="D99" s="4" t="s">
        <v>427</v>
      </c>
      <c r="E99" s="4" t="s">
        <v>461</v>
      </c>
      <c r="F99" s="4" t="s">
        <v>1306</v>
      </c>
      <c r="G99" t="s">
        <v>656</v>
      </c>
      <c r="H99" t="s">
        <v>289</v>
      </c>
      <c r="I99" s="3">
        <f>RUSH__2[[#This Row],[TD]]/RUSH__2[[#This Row],[Rec]]</f>
        <v>5.4054054054054057E-2</v>
      </c>
      <c r="J99" s="3">
        <f>D99/(VLOOKUP(B99,'2025 Team'!$B$2:$G$33,2,FALSE))</f>
        <v>0.1006036217303823</v>
      </c>
      <c r="K99" t="s">
        <v>1307</v>
      </c>
      <c r="L99" t="s">
        <v>300</v>
      </c>
    </row>
    <row r="100" spans="1:12" x14ac:dyDescent="0.25">
      <c r="A100" t="s">
        <v>199</v>
      </c>
      <c r="B100" t="s">
        <v>34</v>
      </c>
      <c r="C100" t="s">
        <v>159</v>
      </c>
      <c r="D100" s="4" t="s">
        <v>433</v>
      </c>
      <c r="E100" s="4" t="s">
        <v>459</v>
      </c>
      <c r="F100" s="4" t="s">
        <v>1308</v>
      </c>
      <c r="G100" t="s">
        <v>1309</v>
      </c>
      <c r="H100" t="s">
        <v>289</v>
      </c>
      <c r="I100" s="3">
        <f>RUSH__2[[#This Row],[TD]]/RUSH__2[[#This Row],[Rec]]</f>
        <v>4.3478260869565216E-2</v>
      </c>
      <c r="J100" s="3">
        <f>D100/(VLOOKUP(B100,'2025 Team'!$B$2:$G$33,2,FALSE))</f>
        <v>0.10054844606946983</v>
      </c>
      <c r="K100" t="s">
        <v>1310</v>
      </c>
      <c r="L100" t="s">
        <v>289</v>
      </c>
    </row>
    <row r="101" spans="1:12" x14ac:dyDescent="0.25">
      <c r="A101" t="s">
        <v>999</v>
      </c>
      <c r="B101" t="s">
        <v>60</v>
      </c>
      <c r="C101" t="s">
        <v>163</v>
      </c>
      <c r="D101" s="4" t="s">
        <v>433</v>
      </c>
      <c r="E101" s="4" t="s">
        <v>493</v>
      </c>
      <c r="F101" s="4" t="s">
        <v>1311</v>
      </c>
      <c r="G101" t="s">
        <v>752</v>
      </c>
      <c r="H101" t="s">
        <v>314</v>
      </c>
      <c r="I101" s="3">
        <f>RUSH__2[[#This Row],[TD]]/RUSH__2[[#This Row],[Rec]]</f>
        <v>9.6774193548387094E-2</v>
      </c>
      <c r="J101" s="3">
        <f>D101/(VLOOKUP(B101,'2025 Team'!$B$2:$G$33,2,FALSE))</f>
        <v>0.1</v>
      </c>
      <c r="K101" t="s">
        <v>1312</v>
      </c>
      <c r="L101" t="s">
        <v>417</v>
      </c>
    </row>
    <row r="102" spans="1:12" x14ac:dyDescent="0.25">
      <c r="A102" t="s">
        <v>824</v>
      </c>
      <c r="B102" t="s">
        <v>14</v>
      </c>
      <c r="C102" t="s">
        <v>153</v>
      </c>
      <c r="D102" s="4" t="s">
        <v>554</v>
      </c>
      <c r="E102" s="4" t="s">
        <v>470</v>
      </c>
      <c r="F102" s="4" t="s">
        <v>1252</v>
      </c>
      <c r="G102" t="s">
        <v>1187</v>
      </c>
      <c r="H102" t="s">
        <v>220</v>
      </c>
      <c r="I102" s="3">
        <f>RUSH__2[[#This Row],[TD]]/RUSH__2[[#This Row],[Rec]]</f>
        <v>0.12820512820512819</v>
      </c>
      <c r="J102" s="3">
        <f>D102/(VLOOKUP(B102,'2025 Team'!$B$2:$G$33,2,FALSE))</f>
        <v>9.8989898989898989E-2</v>
      </c>
      <c r="K102" t="s">
        <v>1313</v>
      </c>
      <c r="L102" t="s">
        <v>300</v>
      </c>
    </row>
    <row r="103" spans="1:12" x14ac:dyDescent="0.25">
      <c r="A103" t="s">
        <v>825</v>
      </c>
      <c r="B103" t="s">
        <v>14</v>
      </c>
      <c r="C103" t="s">
        <v>153</v>
      </c>
      <c r="D103" s="4" t="s">
        <v>554</v>
      </c>
      <c r="E103" s="4" t="s">
        <v>476</v>
      </c>
      <c r="F103" s="4" t="s">
        <v>1314</v>
      </c>
      <c r="G103" t="s">
        <v>1083</v>
      </c>
      <c r="H103" t="s">
        <v>229</v>
      </c>
      <c r="I103" s="3">
        <f>RUSH__2[[#This Row],[TD]]/RUSH__2[[#This Row],[Rec]]</f>
        <v>0.1111111111111111</v>
      </c>
      <c r="J103" s="3">
        <f>D103/(VLOOKUP(B103,'2025 Team'!$B$2:$G$33,2,FALSE))</f>
        <v>9.8989898989898989E-2</v>
      </c>
      <c r="K103" t="s">
        <v>1315</v>
      </c>
      <c r="L103" t="s">
        <v>417</v>
      </c>
    </row>
    <row r="104" spans="1:12" x14ac:dyDescent="0.25">
      <c r="A104" t="s">
        <v>610</v>
      </c>
      <c r="B104" t="s">
        <v>60</v>
      </c>
      <c r="C104" t="s">
        <v>153</v>
      </c>
      <c r="D104" s="4" t="s">
        <v>429</v>
      </c>
      <c r="E104" s="4" t="s">
        <v>480</v>
      </c>
      <c r="F104" s="4" t="s">
        <v>1316</v>
      </c>
      <c r="G104" t="s">
        <v>400</v>
      </c>
      <c r="H104" t="s">
        <v>289</v>
      </c>
      <c r="I104" s="3">
        <f>RUSH__2[[#This Row],[TD]]/RUSH__2[[#This Row],[Rec]]</f>
        <v>5.2631578947368418E-2</v>
      </c>
      <c r="J104" s="3">
        <f>D104/(VLOOKUP(B104,'2025 Team'!$B$2:$G$33,2,FALSE))</f>
        <v>9.8181818181818176E-2</v>
      </c>
      <c r="K104" t="s">
        <v>1165</v>
      </c>
      <c r="L104" t="s">
        <v>300</v>
      </c>
    </row>
    <row r="105" spans="1:12" x14ac:dyDescent="0.25">
      <c r="A105" t="s">
        <v>1000</v>
      </c>
      <c r="B105" t="s">
        <v>60</v>
      </c>
      <c r="C105" t="s">
        <v>153</v>
      </c>
      <c r="D105" s="4" t="s">
        <v>429</v>
      </c>
      <c r="E105" s="4" t="s">
        <v>454</v>
      </c>
      <c r="F105" s="4" t="s">
        <v>1217</v>
      </c>
      <c r="G105" t="s">
        <v>1132</v>
      </c>
      <c r="H105" t="s">
        <v>229</v>
      </c>
      <c r="I105" s="3">
        <f>RUSH__2[[#This Row],[TD]]/RUSH__2[[#This Row],[Rec]]</f>
        <v>9.7560975609756101E-2</v>
      </c>
      <c r="J105" s="3">
        <f>D105/(VLOOKUP(B105,'2025 Team'!$B$2:$G$33,2,FALSE))</f>
        <v>9.8181818181818176E-2</v>
      </c>
      <c r="K105" t="s">
        <v>1317</v>
      </c>
      <c r="L105" t="s">
        <v>417</v>
      </c>
    </row>
    <row r="106" spans="1:12" x14ac:dyDescent="0.25">
      <c r="A106" t="s">
        <v>690</v>
      </c>
      <c r="B106" t="s">
        <v>32</v>
      </c>
      <c r="C106" t="s">
        <v>163</v>
      </c>
      <c r="D106" s="4" t="s">
        <v>436</v>
      </c>
      <c r="E106" s="4" t="s">
        <v>467</v>
      </c>
      <c r="F106" s="4" t="s">
        <v>1318</v>
      </c>
      <c r="G106" t="s">
        <v>1169</v>
      </c>
      <c r="H106" t="s">
        <v>314</v>
      </c>
      <c r="I106" s="3">
        <f>RUSH__2[[#This Row],[TD]]/RUSH__2[[#This Row],[Rec]]</f>
        <v>8.5714285714285715E-2</v>
      </c>
      <c r="J106" s="3">
        <f>D106/(VLOOKUP(B106,'2025 Team'!$B$2:$G$33,2,FALSE))</f>
        <v>9.7938144329896906E-2</v>
      </c>
      <c r="K106" t="s">
        <v>1319</v>
      </c>
      <c r="L106" t="s">
        <v>417</v>
      </c>
    </row>
    <row r="107" spans="1:12" x14ac:dyDescent="0.25">
      <c r="A107" t="s">
        <v>178</v>
      </c>
      <c r="B107" t="s">
        <v>56</v>
      </c>
      <c r="C107" t="s">
        <v>159</v>
      </c>
      <c r="D107" s="4" t="s">
        <v>450</v>
      </c>
      <c r="E107" s="4" t="s">
        <v>476</v>
      </c>
      <c r="F107" s="4" t="s">
        <v>1320</v>
      </c>
      <c r="G107" t="s">
        <v>1233</v>
      </c>
      <c r="H107" t="s">
        <v>300</v>
      </c>
      <c r="I107" s="3">
        <f>RUSH__2[[#This Row],[TD]]/RUSH__2[[#This Row],[Rec]]</f>
        <v>2.7777777777777776E-2</v>
      </c>
      <c r="J107" s="3">
        <f>D107/(VLOOKUP(B107,'2025 Team'!$B$2:$G$33,2,FALSE))</f>
        <v>9.7165991902834009E-2</v>
      </c>
      <c r="K107" t="s">
        <v>1321</v>
      </c>
      <c r="L107" t="s">
        <v>289</v>
      </c>
    </row>
    <row r="108" spans="1:12" x14ac:dyDescent="0.25">
      <c r="A108" t="s">
        <v>936</v>
      </c>
      <c r="B108" t="s">
        <v>40</v>
      </c>
      <c r="C108" t="s">
        <v>153</v>
      </c>
      <c r="D108" s="4" t="s">
        <v>427</v>
      </c>
      <c r="E108" s="4" t="s">
        <v>467</v>
      </c>
      <c r="F108" s="4" t="s">
        <v>1322</v>
      </c>
      <c r="G108" t="s">
        <v>1323</v>
      </c>
      <c r="H108" t="s">
        <v>300</v>
      </c>
      <c r="I108" s="3">
        <f>RUSH__2[[#This Row],[TD]]/RUSH__2[[#This Row],[Rec]]</f>
        <v>2.8571428571428571E-2</v>
      </c>
      <c r="J108" s="3">
        <f>D108/(VLOOKUP(B108,'2025 Team'!$B$2:$G$33,2,FALSE))</f>
        <v>9.7087378640776698E-2</v>
      </c>
      <c r="K108" t="s">
        <v>1324</v>
      </c>
      <c r="L108" t="s">
        <v>300</v>
      </c>
    </row>
    <row r="109" spans="1:12" x14ac:dyDescent="0.25">
      <c r="A109" t="s">
        <v>244</v>
      </c>
      <c r="B109" t="s">
        <v>16</v>
      </c>
      <c r="C109" t="s">
        <v>159</v>
      </c>
      <c r="D109" s="4" t="s">
        <v>427</v>
      </c>
      <c r="E109" s="4" t="s">
        <v>470</v>
      </c>
      <c r="F109" s="4" t="s">
        <v>428</v>
      </c>
      <c r="G109" t="s">
        <v>1325</v>
      </c>
      <c r="H109" t="s">
        <v>300</v>
      </c>
      <c r="I109" s="3">
        <f>RUSH__2[[#This Row],[TD]]/RUSH__2[[#This Row],[Rec]]</f>
        <v>2.564102564102564E-2</v>
      </c>
      <c r="J109" s="3">
        <f>D109/(VLOOKUP(B109,'2025 Team'!$B$2:$G$33,2,FALSE))</f>
        <v>9.7087378640776698E-2</v>
      </c>
      <c r="K109" t="s">
        <v>1326</v>
      </c>
      <c r="L109" t="s">
        <v>289</v>
      </c>
    </row>
    <row r="110" spans="1:12" x14ac:dyDescent="0.25">
      <c r="A110" t="s">
        <v>1030</v>
      </c>
      <c r="B110" t="s">
        <v>68</v>
      </c>
      <c r="C110" t="s">
        <v>153</v>
      </c>
      <c r="D110" s="4" t="s">
        <v>433</v>
      </c>
      <c r="E110" s="4" t="s">
        <v>440</v>
      </c>
      <c r="F110" s="4" t="s">
        <v>1327</v>
      </c>
      <c r="G110" t="s">
        <v>1328</v>
      </c>
      <c r="H110" t="s">
        <v>289</v>
      </c>
      <c r="I110" s="3">
        <f>RUSH__2[[#This Row],[TD]]/RUSH__2[[#This Row],[Rec]]</f>
        <v>4.5454545454545456E-2</v>
      </c>
      <c r="J110" s="3">
        <f>D110/(VLOOKUP(B110,'2025 Team'!$B$2:$G$33,2,FALSE))</f>
        <v>9.6491228070175433E-2</v>
      </c>
      <c r="K110" t="s">
        <v>1329</v>
      </c>
      <c r="L110" t="s">
        <v>417</v>
      </c>
    </row>
    <row r="111" spans="1:12" x14ac:dyDescent="0.25">
      <c r="A111" t="s">
        <v>654</v>
      </c>
      <c r="B111" t="s">
        <v>40</v>
      </c>
      <c r="C111" s="1" t="s">
        <v>163</v>
      </c>
      <c r="D111" s="4" t="s">
        <v>554</v>
      </c>
      <c r="E111" s="4" t="s">
        <v>485</v>
      </c>
      <c r="F111" s="4" t="s">
        <v>1330</v>
      </c>
      <c r="G111" t="s">
        <v>1331</v>
      </c>
      <c r="H111" t="s">
        <v>417</v>
      </c>
      <c r="I111" s="3">
        <f>RUSH__2[[#This Row],[TD]]/RUSH__2[[#This Row],[Rec]]</f>
        <v>0</v>
      </c>
      <c r="J111" s="3">
        <f>D111/(VLOOKUP(B111,'2025 Team'!$B$2:$G$33,2,FALSE))</f>
        <v>9.5145631067961159E-2</v>
      </c>
      <c r="K111" t="s">
        <v>1149</v>
      </c>
      <c r="L111" t="s">
        <v>417</v>
      </c>
    </row>
    <row r="112" spans="1:12" x14ac:dyDescent="0.25">
      <c r="A112" t="s">
        <v>665</v>
      </c>
      <c r="B112" t="s">
        <v>66</v>
      </c>
      <c r="C112" t="s">
        <v>163</v>
      </c>
      <c r="D112" s="4" t="s">
        <v>446</v>
      </c>
      <c r="E112" s="4" t="s">
        <v>470</v>
      </c>
      <c r="F112" s="4" t="s">
        <v>1332</v>
      </c>
      <c r="G112" t="s">
        <v>723</v>
      </c>
      <c r="H112" t="s">
        <v>300</v>
      </c>
      <c r="I112" s="3">
        <f>RUSH__2[[#This Row],[TD]]/RUSH__2[[#This Row],[Rec]]</f>
        <v>2.564102564102564E-2</v>
      </c>
      <c r="J112" s="3">
        <f>D112/(VLOOKUP(B112,'2025 Team'!$B$2:$G$33,2,FALSE))</f>
        <v>9.4982078853046589E-2</v>
      </c>
      <c r="K112" t="s">
        <v>1333</v>
      </c>
      <c r="L112" t="s">
        <v>300</v>
      </c>
    </row>
    <row r="113" spans="1:12" x14ac:dyDescent="0.25">
      <c r="A113" t="s">
        <v>170</v>
      </c>
      <c r="B113" t="s">
        <v>26</v>
      </c>
      <c r="C113" t="s">
        <v>159</v>
      </c>
      <c r="D113" s="4" t="s">
        <v>413</v>
      </c>
      <c r="E113" s="4" t="s">
        <v>438</v>
      </c>
      <c r="F113" s="4" t="s">
        <v>401</v>
      </c>
      <c r="G113" t="s">
        <v>1325</v>
      </c>
      <c r="H113" t="s">
        <v>220</v>
      </c>
      <c r="I113" s="3">
        <f>RUSH__2[[#This Row],[TD]]/RUSH__2[[#This Row],[Rec]]</f>
        <v>0.10638297872340426</v>
      </c>
      <c r="J113" s="3">
        <f>D113/(VLOOKUP(B113,'2025 Team'!$B$2:$G$33,2,FALSE))</f>
        <v>9.461663947797716E-2</v>
      </c>
      <c r="K113" t="s">
        <v>1334</v>
      </c>
      <c r="L113" t="s">
        <v>300</v>
      </c>
    </row>
    <row r="114" spans="1:12" x14ac:dyDescent="0.25">
      <c r="A114" t="s">
        <v>740</v>
      </c>
      <c r="B114" t="s">
        <v>30</v>
      </c>
      <c r="C114" t="s">
        <v>163</v>
      </c>
      <c r="D114" s="4" t="s">
        <v>459</v>
      </c>
      <c r="E114" s="4" t="s">
        <v>639</v>
      </c>
      <c r="F114" s="4" t="s">
        <v>1335</v>
      </c>
      <c r="G114" t="s">
        <v>1336</v>
      </c>
      <c r="H114" t="s">
        <v>289</v>
      </c>
      <c r="I114" s="3">
        <f>RUSH__2[[#This Row],[TD]]/RUSH__2[[#This Row],[Rec]]</f>
        <v>6.6666666666666666E-2</v>
      </c>
      <c r="J114" s="3">
        <f>D114/(VLOOKUP(B114,'2025 Team'!$B$2:$G$33,2,FALSE))</f>
        <v>9.4069529652351741E-2</v>
      </c>
      <c r="K114" t="s">
        <v>1337</v>
      </c>
      <c r="L114" t="s">
        <v>417</v>
      </c>
    </row>
    <row r="115" spans="1:12" x14ac:dyDescent="0.25">
      <c r="A115" t="s">
        <v>929</v>
      </c>
      <c r="B115" t="s">
        <v>44</v>
      </c>
      <c r="C115" t="s">
        <v>153</v>
      </c>
      <c r="D115" s="4" t="s">
        <v>1244</v>
      </c>
      <c r="E115" s="4" t="s">
        <v>444</v>
      </c>
      <c r="F115" s="4" t="s">
        <v>1338</v>
      </c>
      <c r="G115" t="s">
        <v>723</v>
      </c>
      <c r="H115" t="s">
        <v>225</v>
      </c>
      <c r="I115" s="3">
        <f>RUSH__2[[#This Row],[TD]]/RUSH__2[[#This Row],[Rec]]</f>
        <v>0.18604651162790697</v>
      </c>
      <c r="J115" s="3">
        <f>D115/(VLOOKUP(B115,'2025 Team'!$B$2:$G$33,2,FALSE))</f>
        <v>9.3645484949832769E-2</v>
      </c>
      <c r="K115" t="s">
        <v>1339</v>
      </c>
      <c r="L115" t="s">
        <v>300</v>
      </c>
    </row>
    <row r="116" spans="1:12" x14ac:dyDescent="0.25">
      <c r="A116" t="s">
        <v>813</v>
      </c>
      <c r="B116" t="s">
        <v>12</v>
      </c>
      <c r="C116" t="s">
        <v>163</v>
      </c>
      <c r="D116" s="4" t="s">
        <v>470</v>
      </c>
      <c r="E116" s="4" t="s">
        <v>514</v>
      </c>
      <c r="F116" s="4" t="s">
        <v>1340</v>
      </c>
      <c r="G116" t="s">
        <v>1212</v>
      </c>
      <c r="H116" t="s">
        <v>289</v>
      </c>
      <c r="I116" s="3">
        <f>RUSH__2[[#This Row],[TD]]/RUSH__2[[#This Row],[Rec]]</f>
        <v>9.0909090909090912E-2</v>
      </c>
      <c r="J116" s="3">
        <f>D116/(VLOOKUP(B116,'2025 Team'!$B$2:$G$33,2,FALSE))</f>
        <v>9.2417061611374404E-2</v>
      </c>
      <c r="K116" t="s">
        <v>1312</v>
      </c>
      <c r="L116" t="s">
        <v>417</v>
      </c>
    </row>
    <row r="117" spans="1:12" x14ac:dyDescent="0.25">
      <c r="A117" t="s">
        <v>236</v>
      </c>
      <c r="B117" t="s">
        <v>36</v>
      </c>
      <c r="C117" t="s">
        <v>159</v>
      </c>
      <c r="D117" s="4" t="s">
        <v>441</v>
      </c>
      <c r="E117" s="4" t="s">
        <v>476</v>
      </c>
      <c r="F117" s="4" t="s">
        <v>1341</v>
      </c>
      <c r="G117" t="s">
        <v>1328</v>
      </c>
      <c r="H117" t="s">
        <v>247</v>
      </c>
      <c r="I117" s="3">
        <f>RUSH__2[[#This Row],[TD]]/RUSH__2[[#This Row],[Rec]]</f>
        <v>0.16666666666666666</v>
      </c>
      <c r="J117" s="3">
        <f>D117/(VLOOKUP(B117,'2025 Team'!$B$2:$G$33,2,FALSE))</f>
        <v>9.236234458259325E-2</v>
      </c>
      <c r="K117" t="s">
        <v>1342</v>
      </c>
      <c r="L117" t="s">
        <v>300</v>
      </c>
    </row>
    <row r="118" spans="1:12" x14ac:dyDescent="0.25">
      <c r="A118" t="s">
        <v>1014</v>
      </c>
      <c r="B118" t="s">
        <v>62</v>
      </c>
      <c r="C118" t="s">
        <v>163</v>
      </c>
      <c r="D118" s="4" t="s">
        <v>446</v>
      </c>
      <c r="E118" s="4" t="s">
        <v>461</v>
      </c>
      <c r="F118" s="4" t="s">
        <v>1343</v>
      </c>
      <c r="G118" t="s">
        <v>1096</v>
      </c>
      <c r="H118" t="s">
        <v>417</v>
      </c>
      <c r="I118" s="3">
        <f>RUSH__2[[#This Row],[TD]]/RUSH__2[[#This Row],[Rec]]</f>
        <v>0</v>
      </c>
      <c r="J118" s="3">
        <f>D118/(VLOOKUP(B118,'2025 Team'!$B$2:$G$33,2,FALSE))</f>
        <v>9.2334494773519168E-2</v>
      </c>
      <c r="K118" t="s">
        <v>1344</v>
      </c>
      <c r="L118" t="s">
        <v>417</v>
      </c>
    </row>
    <row r="119" spans="1:12" x14ac:dyDescent="0.25">
      <c r="A119" t="s">
        <v>721</v>
      </c>
      <c r="B119" t="s">
        <v>62</v>
      </c>
      <c r="C119" t="s">
        <v>163</v>
      </c>
      <c r="D119" s="4" t="s">
        <v>446</v>
      </c>
      <c r="E119" s="4" t="s">
        <v>476</v>
      </c>
      <c r="F119" s="4" t="s">
        <v>1242</v>
      </c>
      <c r="G119" t="s">
        <v>683</v>
      </c>
      <c r="H119" t="s">
        <v>417</v>
      </c>
      <c r="I119" s="3">
        <f>RUSH__2[[#This Row],[TD]]/RUSH__2[[#This Row],[Rec]]</f>
        <v>0</v>
      </c>
      <c r="J119" s="3">
        <f>D119/(VLOOKUP(B119,'2025 Team'!$B$2:$G$33,2,FALSE))</f>
        <v>9.2334494773519168E-2</v>
      </c>
      <c r="K119" t="s">
        <v>1108</v>
      </c>
      <c r="L119" t="s">
        <v>417</v>
      </c>
    </row>
    <row r="120" spans="1:12" x14ac:dyDescent="0.25">
      <c r="A120" t="s">
        <v>624</v>
      </c>
      <c r="B120" t="s">
        <v>50</v>
      </c>
      <c r="C120" t="s">
        <v>163</v>
      </c>
      <c r="D120" s="4" t="s">
        <v>459</v>
      </c>
      <c r="E120" s="4" t="s">
        <v>493</v>
      </c>
      <c r="F120" s="4" t="s">
        <v>1345</v>
      </c>
      <c r="G120" t="s">
        <v>1159</v>
      </c>
      <c r="H120" t="s">
        <v>314</v>
      </c>
      <c r="I120" s="3">
        <f>RUSH__2[[#This Row],[TD]]/RUSH__2[[#This Row],[Rec]]</f>
        <v>9.6774193548387094E-2</v>
      </c>
      <c r="J120" s="3">
        <f>D120/(VLOOKUP(B120,'2025 Team'!$B$2:$G$33,2,FALSE))</f>
        <v>9.1633466135458169E-2</v>
      </c>
      <c r="K120" t="s">
        <v>1346</v>
      </c>
      <c r="L120" t="s">
        <v>417</v>
      </c>
    </row>
    <row r="121" spans="1:12" x14ac:dyDescent="0.25">
      <c r="A121" t="s">
        <v>963</v>
      </c>
      <c r="B121" t="s">
        <v>50</v>
      </c>
      <c r="C121" t="s">
        <v>163</v>
      </c>
      <c r="D121" s="4" t="s">
        <v>459</v>
      </c>
      <c r="E121" s="4" t="s">
        <v>485</v>
      </c>
      <c r="F121" s="4" t="s">
        <v>1343</v>
      </c>
      <c r="G121" t="s">
        <v>1347</v>
      </c>
      <c r="H121" t="s">
        <v>247</v>
      </c>
      <c r="I121" s="3">
        <f>RUSH__2[[#This Row],[TD]]/RUSH__2[[#This Row],[Rec]]</f>
        <v>0.18181818181818182</v>
      </c>
      <c r="J121" s="3">
        <f>D121/(VLOOKUP(B121,'2025 Team'!$B$2:$G$33,2,FALSE))</f>
        <v>9.1633466135458169E-2</v>
      </c>
      <c r="K121" t="s">
        <v>1348</v>
      </c>
      <c r="L121" t="s">
        <v>417</v>
      </c>
    </row>
    <row r="122" spans="1:12" x14ac:dyDescent="0.25">
      <c r="A122" t="s">
        <v>1025</v>
      </c>
      <c r="B122" t="s">
        <v>66</v>
      </c>
      <c r="C122" t="s">
        <v>163</v>
      </c>
      <c r="D122" s="4" t="s">
        <v>582</v>
      </c>
      <c r="E122" s="4" t="s">
        <v>485</v>
      </c>
      <c r="F122" s="4" t="s">
        <v>1349</v>
      </c>
      <c r="G122" t="s">
        <v>1184</v>
      </c>
      <c r="H122" t="s">
        <v>289</v>
      </c>
      <c r="I122" s="3">
        <f>RUSH__2[[#This Row],[TD]]/RUSH__2[[#This Row],[Rec]]</f>
        <v>6.0606060606060608E-2</v>
      </c>
      <c r="J122" s="3">
        <f>D122/(VLOOKUP(B122,'2025 Team'!$B$2:$G$33,2,FALSE))</f>
        <v>9.1397849462365593E-2</v>
      </c>
      <c r="K122" t="s">
        <v>1176</v>
      </c>
      <c r="L122" t="s">
        <v>417</v>
      </c>
    </row>
    <row r="123" spans="1:12" x14ac:dyDescent="0.25">
      <c r="A123" t="s">
        <v>290</v>
      </c>
      <c r="B123" t="s">
        <v>54</v>
      </c>
      <c r="C123" t="s">
        <v>159</v>
      </c>
      <c r="D123" s="4" t="s">
        <v>450</v>
      </c>
      <c r="E123" s="4" t="s">
        <v>476</v>
      </c>
      <c r="F123" s="4" t="s">
        <v>387</v>
      </c>
      <c r="G123" t="s">
        <v>531</v>
      </c>
      <c r="H123" t="s">
        <v>289</v>
      </c>
      <c r="I123" s="3">
        <f>RUSH__2[[#This Row],[TD]]/RUSH__2[[#This Row],[Rec]]</f>
        <v>5.5555555555555552E-2</v>
      </c>
      <c r="J123" s="3">
        <f>D123/(VLOOKUP(B123,'2025 Team'!$B$2:$G$33,2,FALSE))</f>
        <v>9.125475285171103E-2</v>
      </c>
      <c r="K123" t="s">
        <v>1321</v>
      </c>
      <c r="L123" t="s">
        <v>300</v>
      </c>
    </row>
    <row r="124" spans="1:12" x14ac:dyDescent="0.25">
      <c r="A124" t="s">
        <v>1031</v>
      </c>
      <c r="B124" t="s">
        <v>68</v>
      </c>
      <c r="C124" t="s">
        <v>163</v>
      </c>
      <c r="D124" s="4" t="s">
        <v>441</v>
      </c>
      <c r="E124" s="4" t="s">
        <v>503</v>
      </c>
      <c r="F124" s="4" t="s">
        <v>1320</v>
      </c>
      <c r="G124" t="s">
        <v>1350</v>
      </c>
      <c r="H124" t="s">
        <v>300</v>
      </c>
      <c r="I124" s="3">
        <f>RUSH__2[[#This Row],[TD]]/RUSH__2[[#This Row],[Rec]]</f>
        <v>3.4482758620689655E-2</v>
      </c>
      <c r="J124" s="3">
        <f>D124/(VLOOKUP(B124,'2025 Team'!$B$2:$G$33,2,FALSE))</f>
        <v>9.1228070175438603E-2</v>
      </c>
      <c r="K124" t="s">
        <v>1351</v>
      </c>
      <c r="L124" t="s">
        <v>417</v>
      </c>
    </row>
    <row r="125" spans="1:12" x14ac:dyDescent="0.25">
      <c r="A125" t="s">
        <v>694</v>
      </c>
      <c r="B125" t="s">
        <v>20</v>
      </c>
      <c r="C125" t="s">
        <v>163</v>
      </c>
      <c r="D125" s="4" t="s">
        <v>413</v>
      </c>
      <c r="E125" s="4" t="s">
        <v>485</v>
      </c>
      <c r="F125" s="4" t="s">
        <v>1352</v>
      </c>
      <c r="G125" t="s">
        <v>1151</v>
      </c>
      <c r="H125" t="s">
        <v>289</v>
      </c>
      <c r="I125" s="3">
        <f>RUSH__2[[#This Row],[TD]]/RUSH__2[[#This Row],[Rec]]</f>
        <v>6.0606060606060608E-2</v>
      </c>
      <c r="J125" s="3">
        <f>D125/(VLOOKUP(B125,'2025 Team'!$B$2:$G$33,2,FALSE))</f>
        <v>9.0624999999999997E-2</v>
      </c>
      <c r="K125" t="s">
        <v>1353</v>
      </c>
      <c r="L125" t="s">
        <v>417</v>
      </c>
    </row>
    <row r="126" spans="1:12" x14ac:dyDescent="0.25">
      <c r="A126" t="s">
        <v>812</v>
      </c>
      <c r="B126" t="s">
        <v>12</v>
      </c>
      <c r="C126" t="s">
        <v>163</v>
      </c>
      <c r="D126" s="4" t="s">
        <v>480</v>
      </c>
      <c r="E126" s="4" t="s">
        <v>541</v>
      </c>
      <c r="F126" s="4" t="s">
        <v>1354</v>
      </c>
      <c r="G126" t="s">
        <v>1355</v>
      </c>
      <c r="H126" t="s">
        <v>289</v>
      </c>
      <c r="I126" s="3">
        <f>RUSH__2[[#This Row],[TD]]/RUSH__2[[#This Row],[Rec]]</f>
        <v>0.10526315789473684</v>
      </c>
      <c r="J126" s="3">
        <f>D126/(VLOOKUP(B126,'2025 Team'!$B$2:$G$33,2,FALSE))</f>
        <v>9.004739336492891E-2</v>
      </c>
      <c r="K126" t="s">
        <v>1356</v>
      </c>
      <c r="L126" t="s">
        <v>417</v>
      </c>
    </row>
    <row r="127" spans="1:12" x14ac:dyDescent="0.25">
      <c r="A127" t="s">
        <v>231</v>
      </c>
      <c r="B127" t="s">
        <v>30</v>
      </c>
      <c r="C127" t="s">
        <v>159</v>
      </c>
      <c r="D127" s="4" t="s">
        <v>440</v>
      </c>
      <c r="E127" s="4" t="s">
        <v>476</v>
      </c>
      <c r="F127" s="4" t="s">
        <v>1357</v>
      </c>
      <c r="G127" t="s">
        <v>611</v>
      </c>
      <c r="H127" t="s">
        <v>300</v>
      </c>
      <c r="I127" s="3">
        <f>RUSH__2[[#This Row],[TD]]/RUSH__2[[#This Row],[Rec]]</f>
        <v>2.7777777777777776E-2</v>
      </c>
      <c r="J127" s="3">
        <f>D127/(VLOOKUP(B127,'2025 Team'!$B$2:$G$33,2,FALSE))</f>
        <v>8.9979550102249492E-2</v>
      </c>
      <c r="K127" t="s">
        <v>1358</v>
      </c>
      <c r="L127" t="s">
        <v>314</v>
      </c>
    </row>
    <row r="128" spans="1:12" x14ac:dyDescent="0.25">
      <c r="A128" t="s">
        <v>587</v>
      </c>
      <c r="B128" t="s">
        <v>30</v>
      </c>
      <c r="C128" t="s">
        <v>163</v>
      </c>
      <c r="D128" s="4" t="s">
        <v>440</v>
      </c>
      <c r="E128" s="4" t="s">
        <v>503</v>
      </c>
      <c r="F128" s="4" t="s">
        <v>1359</v>
      </c>
      <c r="G128" t="s">
        <v>1360</v>
      </c>
      <c r="H128" t="s">
        <v>417</v>
      </c>
      <c r="I128" s="3">
        <f>RUSH__2[[#This Row],[TD]]/RUSH__2[[#This Row],[Rec]]</f>
        <v>0</v>
      </c>
      <c r="J128" s="3">
        <f>D128/(VLOOKUP(B128,'2025 Team'!$B$2:$G$33,2,FALSE))</f>
        <v>8.9979550102249492E-2</v>
      </c>
      <c r="K128" t="s">
        <v>1208</v>
      </c>
      <c r="L128" t="s">
        <v>417</v>
      </c>
    </row>
    <row r="129" spans="1:12" x14ac:dyDescent="0.25">
      <c r="A129" t="s">
        <v>738</v>
      </c>
      <c r="B129" t="s">
        <v>30</v>
      </c>
      <c r="C129" t="s">
        <v>153</v>
      </c>
      <c r="D129" s="4" t="s">
        <v>440</v>
      </c>
      <c r="E129" s="4" t="s">
        <v>475</v>
      </c>
      <c r="F129" s="4" t="s">
        <v>1361</v>
      </c>
      <c r="G129" t="s">
        <v>1263</v>
      </c>
      <c r="H129" t="s">
        <v>247</v>
      </c>
      <c r="I129" s="3">
        <f>RUSH__2[[#This Row],[TD]]/RUSH__2[[#This Row],[Rec]]</f>
        <v>0.1875</v>
      </c>
      <c r="J129" s="3">
        <f>D129/(VLOOKUP(B129,'2025 Team'!$B$2:$G$33,2,FALSE))</f>
        <v>8.9979550102249492E-2</v>
      </c>
      <c r="K129" t="s">
        <v>1117</v>
      </c>
      <c r="L129" t="s">
        <v>417</v>
      </c>
    </row>
    <row r="130" spans="1:12" x14ac:dyDescent="0.25">
      <c r="A130" t="s">
        <v>671</v>
      </c>
      <c r="B130" t="s">
        <v>24</v>
      </c>
      <c r="C130" t="s">
        <v>163</v>
      </c>
      <c r="D130" s="4" t="s">
        <v>1244</v>
      </c>
      <c r="E130" s="4" t="s">
        <v>592</v>
      </c>
      <c r="F130" s="4" t="s">
        <v>1362</v>
      </c>
      <c r="G130" t="s">
        <v>1132</v>
      </c>
      <c r="H130" t="s">
        <v>229</v>
      </c>
      <c r="I130" s="3">
        <f>RUSH__2[[#This Row],[TD]]/RUSH__2[[#This Row],[Rec]]</f>
        <v>0.1</v>
      </c>
      <c r="J130" s="3">
        <f>D130/(VLOOKUP(B130,'2025 Team'!$B$2:$G$33,2,FALSE))</f>
        <v>8.9743589743589744E-2</v>
      </c>
      <c r="K130" t="s">
        <v>1363</v>
      </c>
      <c r="L130" t="s">
        <v>417</v>
      </c>
    </row>
    <row r="131" spans="1:12" x14ac:dyDescent="0.25">
      <c r="A131" t="s">
        <v>888</v>
      </c>
      <c r="B131" t="s">
        <v>32</v>
      </c>
      <c r="C131" t="s">
        <v>163</v>
      </c>
      <c r="D131" s="4" t="s">
        <v>441</v>
      </c>
      <c r="E131" s="4" t="s">
        <v>496</v>
      </c>
      <c r="F131" s="4" t="s">
        <v>1364</v>
      </c>
      <c r="G131" t="s">
        <v>717</v>
      </c>
      <c r="H131" t="s">
        <v>300</v>
      </c>
      <c r="I131" s="3">
        <f>RUSH__2[[#This Row],[TD]]/RUSH__2[[#This Row],[Rec]]</f>
        <v>3.5714285714285712E-2</v>
      </c>
      <c r="J131" s="3">
        <f>D131/(VLOOKUP(B131,'2025 Team'!$B$2:$G$33,2,FALSE))</f>
        <v>8.9347079037800689E-2</v>
      </c>
      <c r="K131" t="s">
        <v>1365</v>
      </c>
      <c r="L131" t="s">
        <v>417</v>
      </c>
    </row>
    <row r="132" spans="1:12" x14ac:dyDescent="0.25">
      <c r="A132" t="s">
        <v>677</v>
      </c>
      <c r="B132" t="s">
        <v>56</v>
      </c>
      <c r="C132" t="s">
        <v>163</v>
      </c>
      <c r="D132" s="4" t="s">
        <v>440</v>
      </c>
      <c r="E132" s="4" t="s">
        <v>503</v>
      </c>
      <c r="F132" s="4" t="s">
        <v>1366</v>
      </c>
      <c r="G132" t="s">
        <v>1192</v>
      </c>
      <c r="H132" t="s">
        <v>289</v>
      </c>
      <c r="I132" s="3">
        <f>RUSH__2[[#This Row],[TD]]/RUSH__2[[#This Row],[Rec]]</f>
        <v>6.8965517241379309E-2</v>
      </c>
      <c r="J132" s="3">
        <f>D132/(VLOOKUP(B132,'2025 Team'!$B$2:$G$33,2,FALSE))</f>
        <v>8.9068825910931168E-2</v>
      </c>
      <c r="K132" t="s">
        <v>1208</v>
      </c>
      <c r="L132" t="s">
        <v>417</v>
      </c>
    </row>
    <row r="133" spans="1:12" x14ac:dyDescent="0.25">
      <c r="A133" t="s">
        <v>410</v>
      </c>
      <c r="B133" t="s">
        <v>68</v>
      </c>
      <c r="C133" t="s">
        <v>159</v>
      </c>
      <c r="D133" s="4" t="s">
        <v>427</v>
      </c>
      <c r="E133" s="4" t="s">
        <v>452</v>
      </c>
      <c r="F133" s="4" t="s">
        <v>1367</v>
      </c>
      <c r="G133" t="s">
        <v>420</v>
      </c>
      <c r="H133" t="s">
        <v>417</v>
      </c>
      <c r="I133" s="3">
        <f>RUSH__2[[#This Row],[TD]]/RUSH__2[[#This Row],[Rec]]</f>
        <v>0</v>
      </c>
      <c r="J133" s="3">
        <f>D133/(VLOOKUP(B133,'2025 Team'!$B$2:$G$33,2,FALSE))</f>
        <v>8.771929824561403E-2</v>
      </c>
      <c r="K133" t="s">
        <v>1368</v>
      </c>
      <c r="L133" t="s">
        <v>417</v>
      </c>
    </row>
    <row r="134" spans="1:12" x14ac:dyDescent="0.25">
      <c r="A134" t="s">
        <v>852</v>
      </c>
      <c r="B134" t="s">
        <v>22</v>
      </c>
      <c r="C134" t="s">
        <v>153</v>
      </c>
      <c r="D134" s="4" t="s">
        <v>450</v>
      </c>
      <c r="E134" s="4" t="s">
        <v>485</v>
      </c>
      <c r="F134" s="4" t="s">
        <v>1369</v>
      </c>
      <c r="G134" t="s">
        <v>1370</v>
      </c>
      <c r="H134" t="s">
        <v>229</v>
      </c>
      <c r="I134" s="3">
        <f>RUSH__2[[#This Row],[TD]]/RUSH__2[[#This Row],[Rec]]</f>
        <v>0.12121212121212122</v>
      </c>
      <c r="J134" s="3">
        <f>D134/(VLOOKUP(B134,'2025 Team'!$B$2:$G$33,2,FALSE))</f>
        <v>8.6021505376344093E-2</v>
      </c>
      <c r="K134" t="s">
        <v>1371</v>
      </c>
      <c r="L134" t="s">
        <v>417</v>
      </c>
    </row>
    <row r="135" spans="1:12" x14ac:dyDescent="0.25">
      <c r="A135" t="s">
        <v>815</v>
      </c>
      <c r="B135" t="s">
        <v>12</v>
      </c>
      <c r="C135" t="s">
        <v>153</v>
      </c>
      <c r="D135" s="4" t="s">
        <v>476</v>
      </c>
      <c r="E135" s="4" t="s">
        <v>490</v>
      </c>
      <c r="F135" s="4" t="s">
        <v>191</v>
      </c>
      <c r="G135" t="s">
        <v>1372</v>
      </c>
      <c r="H135" t="s">
        <v>300</v>
      </c>
      <c r="I135" s="3">
        <f>RUSH__2[[#This Row],[TD]]/RUSH__2[[#This Row],[Rec]]</f>
        <v>3.7037037037037035E-2</v>
      </c>
      <c r="J135" s="3">
        <f>D135/(VLOOKUP(B135,'2025 Team'!$B$2:$G$33,2,FALSE))</f>
        <v>8.5308056872037921E-2</v>
      </c>
      <c r="K135" t="s">
        <v>1321</v>
      </c>
      <c r="L135" t="s">
        <v>289</v>
      </c>
    </row>
    <row r="136" spans="1:12" x14ac:dyDescent="0.25">
      <c r="A136" t="s">
        <v>308</v>
      </c>
      <c r="B136" t="s">
        <v>48</v>
      </c>
      <c r="C136" t="s">
        <v>159</v>
      </c>
      <c r="D136" s="4" t="s">
        <v>454</v>
      </c>
      <c r="E136" s="4" t="s">
        <v>496</v>
      </c>
      <c r="F136" s="4" t="s">
        <v>384</v>
      </c>
      <c r="G136" t="s">
        <v>473</v>
      </c>
      <c r="H136" t="s">
        <v>300</v>
      </c>
      <c r="I136" s="3">
        <f>RUSH__2[[#This Row],[TD]]/RUSH__2[[#This Row],[Rec]]</f>
        <v>3.5714285714285712E-2</v>
      </c>
      <c r="J136" s="3">
        <f>D136/(VLOOKUP(B136,'2025 Team'!$B$2:$G$33,2,FALSE))</f>
        <v>8.4710743801652888E-2</v>
      </c>
      <c r="K136" t="s">
        <v>1373</v>
      </c>
      <c r="L136" t="s">
        <v>289</v>
      </c>
    </row>
    <row r="137" spans="1:12" x14ac:dyDescent="0.25">
      <c r="A137" t="s">
        <v>873</v>
      </c>
      <c r="B137" t="s">
        <v>28</v>
      </c>
      <c r="C137" t="s">
        <v>153</v>
      </c>
      <c r="D137" s="4" t="s">
        <v>554</v>
      </c>
      <c r="E137" s="4" t="s">
        <v>592</v>
      </c>
      <c r="F137" s="4" t="s">
        <v>1361</v>
      </c>
      <c r="G137" t="s">
        <v>1169</v>
      </c>
      <c r="H137" t="s">
        <v>314</v>
      </c>
      <c r="I137" s="3">
        <f>RUSH__2[[#This Row],[TD]]/RUSH__2[[#This Row],[Rec]]</f>
        <v>7.4999999999999997E-2</v>
      </c>
      <c r="J137" s="3">
        <f>D137/(VLOOKUP(B137,'2025 Team'!$B$2:$G$33,2,FALSE))</f>
        <v>8.4192439862542962E-2</v>
      </c>
      <c r="K137" t="s">
        <v>1374</v>
      </c>
      <c r="L137" t="s">
        <v>417</v>
      </c>
    </row>
    <row r="138" spans="1:12" x14ac:dyDescent="0.25">
      <c r="A138" t="s">
        <v>283</v>
      </c>
      <c r="B138" t="s">
        <v>50</v>
      </c>
      <c r="C138" t="s">
        <v>159</v>
      </c>
      <c r="D138" s="4" t="s">
        <v>1199</v>
      </c>
      <c r="E138" s="4" t="s">
        <v>467</v>
      </c>
      <c r="F138" s="4" t="s">
        <v>241</v>
      </c>
      <c r="G138" t="s">
        <v>488</v>
      </c>
      <c r="H138" t="s">
        <v>300</v>
      </c>
      <c r="I138" s="3">
        <f>RUSH__2[[#This Row],[TD]]/RUSH__2[[#This Row],[Rec]]</f>
        <v>2.8571428571428571E-2</v>
      </c>
      <c r="J138" s="3">
        <f>D138/(VLOOKUP(B138,'2025 Team'!$B$2:$G$33,2,FALSE))</f>
        <v>8.3665338645418322E-2</v>
      </c>
      <c r="K138" t="s">
        <v>1133</v>
      </c>
      <c r="L138" t="s">
        <v>300</v>
      </c>
    </row>
    <row r="139" spans="1:12" x14ac:dyDescent="0.25">
      <c r="A139" t="s">
        <v>168</v>
      </c>
      <c r="B139" t="s">
        <v>18</v>
      </c>
      <c r="C139" t="s">
        <v>153</v>
      </c>
      <c r="D139" s="4" t="s">
        <v>450</v>
      </c>
      <c r="E139" s="4" t="s">
        <v>639</v>
      </c>
      <c r="F139" s="4" t="s">
        <v>1375</v>
      </c>
      <c r="G139" t="s">
        <v>1083</v>
      </c>
      <c r="H139" t="s">
        <v>289</v>
      </c>
      <c r="I139" s="3">
        <f>RUSH__2[[#This Row],[TD]]/RUSH__2[[#This Row],[Rec]]</f>
        <v>6.6666666666666666E-2</v>
      </c>
      <c r="J139" s="3">
        <f>D139/(VLOOKUP(B139,'2025 Team'!$B$2:$G$33,2,FALSE))</f>
        <v>8.3623693379790948E-2</v>
      </c>
      <c r="K139" t="s">
        <v>1185</v>
      </c>
      <c r="L139" t="s">
        <v>417</v>
      </c>
    </row>
    <row r="140" spans="1:12" x14ac:dyDescent="0.25">
      <c r="A140" t="s">
        <v>267</v>
      </c>
      <c r="B140" t="s">
        <v>18</v>
      </c>
      <c r="C140" t="s">
        <v>159</v>
      </c>
      <c r="D140" s="4" t="s">
        <v>450</v>
      </c>
      <c r="E140" s="4" t="s">
        <v>679</v>
      </c>
      <c r="F140" s="4" t="s">
        <v>1376</v>
      </c>
      <c r="G140" t="s">
        <v>1192</v>
      </c>
      <c r="H140" t="s">
        <v>300</v>
      </c>
      <c r="I140" s="3">
        <f>RUSH__2[[#This Row],[TD]]/RUSH__2[[#This Row],[Rec]]</f>
        <v>2.9411764705882353E-2</v>
      </c>
      <c r="J140" s="3">
        <f>D140/(VLOOKUP(B140,'2025 Team'!$B$2:$G$33,2,FALSE))</f>
        <v>8.3623693379790948E-2</v>
      </c>
      <c r="K140" t="s">
        <v>1251</v>
      </c>
      <c r="L140" t="s">
        <v>289</v>
      </c>
    </row>
    <row r="141" spans="1:12" x14ac:dyDescent="0.25">
      <c r="A141" t="s">
        <v>248</v>
      </c>
      <c r="B141" t="s">
        <v>44</v>
      </c>
      <c r="C141" t="s">
        <v>159</v>
      </c>
      <c r="D141" s="4" t="s">
        <v>427</v>
      </c>
      <c r="E141" s="4" t="s">
        <v>476</v>
      </c>
      <c r="F141" s="4" t="s">
        <v>1377</v>
      </c>
      <c r="G141" t="s">
        <v>611</v>
      </c>
      <c r="H141" t="s">
        <v>314</v>
      </c>
      <c r="I141" s="3">
        <f>RUSH__2[[#This Row],[TD]]/RUSH__2[[#This Row],[Rec]]</f>
        <v>8.3333333333333329E-2</v>
      </c>
      <c r="J141" s="3">
        <f>D141/(VLOOKUP(B141,'2025 Team'!$B$2:$G$33,2,FALSE))</f>
        <v>8.3612040133779264E-2</v>
      </c>
      <c r="K141" t="s">
        <v>1378</v>
      </c>
      <c r="L141" t="s">
        <v>289</v>
      </c>
    </row>
    <row r="142" spans="1:12" x14ac:dyDescent="0.25">
      <c r="A142" t="s">
        <v>830</v>
      </c>
      <c r="B142" t="s">
        <v>16</v>
      </c>
      <c r="C142" t="s">
        <v>163</v>
      </c>
      <c r="D142" s="4" t="s">
        <v>444</v>
      </c>
      <c r="E142" s="4" t="s">
        <v>485</v>
      </c>
      <c r="F142" s="4" t="s">
        <v>1379</v>
      </c>
      <c r="G142" t="s">
        <v>1132</v>
      </c>
      <c r="H142" t="s">
        <v>314</v>
      </c>
      <c r="I142" s="3">
        <f>RUSH__2[[#This Row],[TD]]/RUSH__2[[#This Row],[Rec]]</f>
        <v>9.0909090909090912E-2</v>
      </c>
      <c r="J142" s="3">
        <f>D142/(VLOOKUP(B142,'2025 Team'!$B$2:$G$33,2,FALSE))</f>
        <v>8.3495145631067955E-2</v>
      </c>
      <c r="K142" t="s">
        <v>1157</v>
      </c>
      <c r="L142" t="s">
        <v>300</v>
      </c>
    </row>
    <row r="143" spans=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t="s">
        <v>461</v>
      </c>
      <c r="F143" s="4" t="s">
        <v>1380</v>
      </c>
      <c r="G143" t="s">
        <v>1381</v>
      </c>
      <c r="H143" t="s">
        <v>300</v>
      </c>
      <c r="I143" s="3">
        <f>RUSH__2[[#This Row],[TD]]/RUSH__2[[#This Row],[Rec]]</f>
        <v>2.7027027027027029E-2</v>
      </c>
      <c r="J143" s="3">
        <f>D143/(VLOOKUP(B143,'2025 Team'!$B$2:$G$33,2,FALSE))</f>
        <v>8.3197389885807507E-2</v>
      </c>
      <c r="K143" t="s">
        <v>1382</v>
      </c>
      <c r="L143" t="s">
        <v>289</v>
      </c>
    </row>
    <row r="144" spans="1:12" x14ac:dyDescent="0.25">
      <c r="A144" t="s">
        <v>271</v>
      </c>
      <c r="B144" t="s">
        <v>60</v>
      </c>
      <c r="C144" t="s">
        <v>159</v>
      </c>
      <c r="D144" s="4" t="s">
        <v>452</v>
      </c>
      <c r="E144" s="4" t="s">
        <v>592</v>
      </c>
      <c r="F144" s="4" t="s">
        <v>396</v>
      </c>
      <c r="G144" t="s">
        <v>1383</v>
      </c>
      <c r="H144" t="s">
        <v>289</v>
      </c>
      <c r="I144" s="3">
        <f>RUSH__2[[#This Row],[TD]]/RUSH__2[[#This Row],[Rec]]</f>
        <v>0.05</v>
      </c>
      <c r="J144" s="3">
        <f>D144/(VLOOKUP(B144,'2025 Team'!$B$2:$G$33,2,FALSE))</f>
        <v>8.1818181818181818E-2</v>
      </c>
      <c r="K144" t="s">
        <v>1384</v>
      </c>
      <c r="L144" t="s">
        <v>300</v>
      </c>
    </row>
    <row r="145" spans="1:12" x14ac:dyDescent="0.25">
      <c r="A145" t="s">
        <v>263</v>
      </c>
      <c r="B145" t="s">
        <v>24</v>
      </c>
      <c r="C145" t="s">
        <v>159</v>
      </c>
      <c r="D145" s="4" t="s">
        <v>582</v>
      </c>
      <c r="E145" s="4" t="s">
        <v>467</v>
      </c>
      <c r="F145" s="4" t="s">
        <v>1105</v>
      </c>
      <c r="G145" t="s">
        <v>212</v>
      </c>
      <c r="H145" t="s">
        <v>289</v>
      </c>
      <c r="I145" s="3">
        <f>RUSH__2[[#This Row],[TD]]/RUSH__2[[#This Row],[Rec]]</f>
        <v>5.7142857142857141E-2</v>
      </c>
      <c r="J145" s="3">
        <f>D145/(VLOOKUP(B145,'2025 Team'!$B$2:$G$33,2,FALSE))</f>
        <v>8.1730769230769232E-2</v>
      </c>
      <c r="K145" t="s">
        <v>1193</v>
      </c>
      <c r="L145" t="s">
        <v>289</v>
      </c>
    </row>
    <row r="146" spans="1:12" x14ac:dyDescent="0.25">
      <c r="A146" t="s">
        <v>195</v>
      </c>
      <c r="B146" t="s">
        <v>14</v>
      </c>
      <c r="C146" t="s">
        <v>159</v>
      </c>
      <c r="D146" s="4" t="s">
        <v>592</v>
      </c>
      <c r="E146" s="4" t="s">
        <v>485</v>
      </c>
      <c r="F146" s="4" t="s">
        <v>1385</v>
      </c>
      <c r="G146" t="s">
        <v>1192</v>
      </c>
      <c r="H146" t="s">
        <v>289</v>
      </c>
      <c r="I146" s="3">
        <f>RUSH__2[[#This Row],[TD]]/RUSH__2[[#This Row],[Rec]]</f>
        <v>6.0606060606060608E-2</v>
      </c>
      <c r="J146" s="3">
        <f>D146/(VLOOKUP(B146,'2025 Team'!$B$2:$G$33,2,FALSE))</f>
        <v>8.0808080808080815E-2</v>
      </c>
      <c r="K146" t="s">
        <v>1386</v>
      </c>
      <c r="L146" t="s">
        <v>247</v>
      </c>
    </row>
    <row r="147" spans="1:12" x14ac:dyDescent="0.25">
      <c r="A147" t="s">
        <v>341</v>
      </c>
      <c r="B147" t="s">
        <v>66</v>
      </c>
      <c r="C147" t="s">
        <v>159</v>
      </c>
      <c r="D147" s="4" t="s">
        <v>452</v>
      </c>
      <c r="E147" s="4" t="s">
        <v>592</v>
      </c>
      <c r="F147" s="4" t="s">
        <v>1387</v>
      </c>
      <c r="G147" t="s">
        <v>445</v>
      </c>
      <c r="H147" t="s">
        <v>417</v>
      </c>
      <c r="I147" s="3">
        <f>RUSH__2[[#This Row],[TD]]/RUSH__2[[#This Row],[Rec]]</f>
        <v>0</v>
      </c>
      <c r="J147" s="3">
        <f>D147/(VLOOKUP(B147,'2025 Team'!$B$2:$G$33,2,FALSE))</f>
        <v>8.0645161290322578E-2</v>
      </c>
      <c r="K147" t="s">
        <v>1384</v>
      </c>
      <c r="L147" t="s">
        <v>417</v>
      </c>
    </row>
    <row r="148" spans="1:12" x14ac:dyDescent="0.25">
      <c r="A148" t="s">
        <v>1018</v>
      </c>
      <c r="B148" t="s">
        <v>62</v>
      </c>
      <c r="C148" t="s">
        <v>153</v>
      </c>
      <c r="D148" s="4" t="s">
        <v>459</v>
      </c>
      <c r="E148" s="4" t="s">
        <v>679</v>
      </c>
      <c r="F148" s="4" t="s">
        <v>1369</v>
      </c>
      <c r="G148" t="s">
        <v>616</v>
      </c>
      <c r="H148" t="s">
        <v>220</v>
      </c>
      <c r="I148" s="3">
        <f>RUSH__2[[#This Row],[TD]]/RUSH__2[[#This Row],[Rec]]</f>
        <v>0.14705882352941177</v>
      </c>
      <c r="J148" s="3">
        <f>D148/(VLOOKUP(B148,'2025 Team'!$B$2:$G$33,2,FALSE))</f>
        <v>8.0139372822299645E-2</v>
      </c>
      <c r="K148" t="s">
        <v>1388</v>
      </c>
      <c r="L148" t="s">
        <v>417</v>
      </c>
    </row>
    <row r="149" spans="1:12" x14ac:dyDescent="0.25">
      <c r="A149" t="s">
        <v>866</v>
      </c>
      <c r="B149" t="s">
        <v>26</v>
      </c>
      <c r="C149" t="s">
        <v>163</v>
      </c>
      <c r="D149" s="4" t="s">
        <v>554</v>
      </c>
      <c r="E149" s="4" t="s">
        <v>493</v>
      </c>
      <c r="F149" s="4" t="s">
        <v>1308</v>
      </c>
      <c r="G149" t="s">
        <v>1169</v>
      </c>
      <c r="H149" t="s">
        <v>300</v>
      </c>
      <c r="I149" s="3">
        <f>RUSH__2[[#This Row],[TD]]/RUSH__2[[#This Row],[Rec]]</f>
        <v>3.2258064516129031E-2</v>
      </c>
      <c r="J149" s="3">
        <f>D149/(VLOOKUP(B149,'2025 Team'!$B$2:$G$33,2,FALSE))</f>
        <v>7.9934747145187598E-2</v>
      </c>
      <c r="K149" t="s">
        <v>1264</v>
      </c>
      <c r="L149" t="s">
        <v>417</v>
      </c>
    </row>
    <row r="150" spans="1:12" x14ac:dyDescent="0.25">
      <c r="A150" t="s">
        <v>765</v>
      </c>
      <c r="B150" t="s">
        <v>36</v>
      </c>
      <c r="C150" t="s">
        <v>163</v>
      </c>
      <c r="D150" s="4" t="s">
        <v>452</v>
      </c>
      <c r="E150" s="4" t="s">
        <v>496</v>
      </c>
      <c r="F150" s="4" t="s">
        <v>1389</v>
      </c>
      <c r="G150" t="s">
        <v>1190</v>
      </c>
      <c r="H150" t="s">
        <v>300</v>
      </c>
      <c r="I150" s="3">
        <f>RUSH__2[[#This Row],[TD]]/RUSH__2[[#This Row],[Rec]]</f>
        <v>3.5714285714285712E-2</v>
      </c>
      <c r="J150" s="3">
        <f>D150/(VLOOKUP(B150,'2025 Team'!$B$2:$G$33,2,FALSE))</f>
        <v>7.9928952042628773E-2</v>
      </c>
      <c r="K150" t="s">
        <v>1390</v>
      </c>
      <c r="L150" t="s">
        <v>300</v>
      </c>
    </row>
    <row r="151" spans="1:12" x14ac:dyDescent="0.25">
      <c r="A151" t="s">
        <v>653</v>
      </c>
      <c r="B151" t="s">
        <v>22</v>
      </c>
      <c r="C151" t="s">
        <v>163</v>
      </c>
      <c r="D151" s="4" t="s">
        <v>440</v>
      </c>
      <c r="E151" s="4" t="s">
        <v>202</v>
      </c>
      <c r="F151" s="4" t="s">
        <v>1391</v>
      </c>
      <c r="G151" t="s">
        <v>1392</v>
      </c>
      <c r="H151" t="s">
        <v>417</v>
      </c>
      <c r="I151" s="3">
        <f>RUSH__2[[#This Row],[TD]]/RUSH__2[[#This Row],[Rec]]</f>
        <v>0</v>
      </c>
      <c r="J151" s="3">
        <f>D151/(VLOOKUP(B151,'2025 Team'!$B$2:$G$33,2,FALSE))</f>
        <v>7.8853046594982074E-2</v>
      </c>
      <c r="K151" t="s">
        <v>1393</v>
      </c>
      <c r="L151" t="s">
        <v>417</v>
      </c>
    </row>
    <row r="152" spans="1:12" x14ac:dyDescent="0.25">
      <c r="A152" t="s">
        <v>631</v>
      </c>
      <c r="B152" t="s">
        <v>66</v>
      </c>
      <c r="C152" t="s">
        <v>163</v>
      </c>
      <c r="D152" s="4" t="s">
        <v>440</v>
      </c>
      <c r="E152" s="4" t="s">
        <v>496</v>
      </c>
      <c r="F152" s="4" t="s">
        <v>1380</v>
      </c>
      <c r="G152" t="s">
        <v>1181</v>
      </c>
      <c r="H152" t="s">
        <v>220</v>
      </c>
      <c r="I152" s="3">
        <f>RUSH__2[[#This Row],[TD]]/RUSH__2[[#This Row],[Rec]]</f>
        <v>0.17857142857142858</v>
      </c>
      <c r="J152" s="3">
        <f>D152/(VLOOKUP(B152,'2025 Team'!$B$2:$G$33,2,FALSE))</f>
        <v>7.8853046594982074E-2</v>
      </c>
      <c r="K152" t="s">
        <v>1295</v>
      </c>
      <c r="L152" t="s">
        <v>417</v>
      </c>
    </row>
    <row r="153" spans="1:12" x14ac:dyDescent="0.25">
      <c r="A153" t="s">
        <v>1004</v>
      </c>
      <c r="B153" t="s">
        <v>60</v>
      </c>
      <c r="C153" t="s">
        <v>153</v>
      </c>
      <c r="D153" s="4" t="s">
        <v>444</v>
      </c>
      <c r="E153" s="4" t="s">
        <v>493</v>
      </c>
      <c r="F153" s="4" t="s">
        <v>1394</v>
      </c>
      <c r="G153" t="s">
        <v>1210</v>
      </c>
      <c r="H153" t="s">
        <v>300</v>
      </c>
      <c r="I153" s="3">
        <f>RUSH__2[[#This Row],[TD]]/RUSH__2[[#This Row],[Rec]]</f>
        <v>3.2258064516129031E-2</v>
      </c>
      <c r="J153" s="3">
        <f>D153/(VLOOKUP(B153,'2025 Team'!$B$2:$G$33,2,FALSE))</f>
        <v>7.8181818181818186E-2</v>
      </c>
      <c r="K153" t="s">
        <v>1137</v>
      </c>
      <c r="L153" t="s">
        <v>289</v>
      </c>
    </row>
    <row r="154" spans="1:12" x14ac:dyDescent="0.25">
      <c r="A154" t="s">
        <v>912</v>
      </c>
      <c r="B154" t="s">
        <v>38</v>
      </c>
      <c r="C154" t="s">
        <v>163</v>
      </c>
      <c r="D154" s="4" t="s">
        <v>452</v>
      </c>
      <c r="E154" s="4" t="s">
        <v>485</v>
      </c>
      <c r="F154" s="4" t="s">
        <v>1395</v>
      </c>
      <c r="G154" t="s">
        <v>605</v>
      </c>
      <c r="H154" t="s">
        <v>300</v>
      </c>
      <c r="I154" s="3">
        <f>RUSH__2[[#This Row],[TD]]/RUSH__2[[#This Row],[Rec]]</f>
        <v>3.0303030303030304E-2</v>
      </c>
      <c r="J154" s="3">
        <f>D154/(VLOOKUP(B154,'2025 Team'!$B$2:$G$33,2,FALSE))</f>
        <v>7.7054794520547948E-2</v>
      </c>
      <c r="K154" t="s">
        <v>1396</v>
      </c>
      <c r="L154" t="s">
        <v>417</v>
      </c>
    </row>
    <row r="155" spans="1:12" x14ac:dyDescent="0.25">
      <c r="A155" t="s">
        <v>320</v>
      </c>
      <c r="B155" t="s">
        <v>16</v>
      </c>
      <c r="C155" t="s">
        <v>159</v>
      </c>
      <c r="D155" s="4" t="s">
        <v>470</v>
      </c>
      <c r="E155" s="4" t="s">
        <v>639</v>
      </c>
      <c r="F155" s="4" t="s">
        <v>268</v>
      </c>
      <c r="G155" t="s">
        <v>656</v>
      </c>
      <c r="H155" t="s">
        <v>314</v>
      </c>
      <c r="I155" s="3">
        <f>RUSH__2[[#This Row],[TD]]/RUSH__2[[#This Row],[Rec]]</f>
        <v>0.1</v>
      </c>
      <c r="J155" s="3">
        <f>D155/(VLOOKUP(B155,'2025 Team'!$B$2:$G$33,2,FALSE))</f>
        <v>7.5728155339805828E-2</v>
      </c>
      <c r="K155" t="s">
        <v>1397</v>
      </c>
      <c r="L155" t="s">
        <v>300</v>
      </c>
    </row>
    <row r="156" spans="1:12" x14ac:dyDescent="0.25">
      <c r="A156" t="s">
        <v>712</v>
      </c>
      <c r="B156" t="s">
        <v>42</v>
      </c>
      <c r="C156" t="s">
        <v>163</v>
      </c>
      <c r="D156" s="4" t="s">
        <v>444</v>
      </c>
      <c r="E156" s="4" t="s">
        <v>639</v>
      </c>
      <c r="F156" s="4" t="s">
        <v>1398</v>
      </c>
      <c r="G156" t="s">
        <v>1130</v>
      </c>
      <c r="H156" t="s">
        <v>300</v>
      </c>
      <c r="I156" s="3">
        <f>RUSH__2[[#This Row],[TD]]/RUSH__2[[#This Row],[Rec]]</f>
        <v>3.3333333333333333E-2</v>
      </c>
      <c r="J156" s="3">
        <f>D156/(VLOOKUP(B156,'2025 Team'!$B$2:$G$33,2,FALSE))</f>
        <v>7.5571177504393669E-2</v>
      </c>
      <c r="K156" t="s">
        <v>1344</v>
      </c>
      <c r="L156" t="s">
        <v>417</v>
      </c>
    </row>
    <row r="157" spans="1:12" x14ac:dyDescent="0.25">
      <c r="A157" t="s">
        <v>240</v>
      </c>
      <c r="B157" t="s">
        <v>64</v>
      </c>
      <c r="C157" t="s">
        <v>159</v>
      </c>
      <c r="D157" s="4" t="s">
        <v>476</v>
      </c>
      <c r="E157" s="4" t="s">
        <v>493</v>
      </c>
      <c r="F157" s="4" t="s">
        <v>1357</v>
      </c>
      <c r="G157" t="s">
        <v>622</v>
      </c>
      <c r="H157" t="s">
        <v>417</v>
      </c>
      <c r="I157" s="3">
        <f>RUSH__2[[#This Row],[TD]]/RUSH__2[[#This Row],[Rec]]</f>
        <v>0</v>
      </c>
      <c r="J157" s="3">
        <f>D157/(VLOOKUP(B157,'2025 Team'!$B$2:$G$33,2,FALSE))</f>
        <v>7.4844074844074848E-2</v>
      </c>
      <c r="K157" t="s">
        <v>1399</v>
      </c>
      <c r="L157" t="s">
        <v>300</v>
      </c>
    </row>
    <row r="158" spans="1:12" x14ac:dyDescent="0.25">
      <c r="A158" t="s">
        <v>827</v>
      </c>
      <c r="B158" t="s">
        <v>14</v>
      </c>
      <c r="C158" t="s">
        <v>163</v>
      </c>
      <c r="D158" s="4" t="s">
        <v>461</v>
      </c>
      <c r="E158" s="4" t="s">
        <v>514</v>
      </c>
      <c r="F158" s="4" t="s">
        <v>1400</v>
      </c>
      <c r="G158" t="s">
        <v>1254</v>
      </c>
      <c r="H158" t="s">
        <v>417</v>
      </c>
      <c r="I158" s="3">
        <f>RUSH__2[[#This Row],[TD]]/RUSH__2[[#This Row],[Rec]]</f>
        <v>0</v>
      </c>
      <c r="J158" s="3">
        <f>D158/(VLOOKUP(B158,'2025 Team'!$B$2:$G$33,2,FALSE))</f>
        <v>7.4747474747474743E-2</v>
      </c>
      <c r="K158" t="s">
        <v>1401</v>
      </c>
      <c r="L158" t="s">
        <v>417</v>
      </c>
    </row>
    <row r="159" spans="1:12" x14ac:dyDescent="0.25">
      <c r="A159" t="s">
        <v>324</v>
      </c>
      <c r="B159" t="s">
        <v>50</v>
      </c>
      <c r="C159" t="s">
        <v>159</v>
      </c>
      <c r="D159" s="4" t="s">
        <v>461</v>
      </c>
      <c r="E159" s="4" t="s">
        <v>475</v>
      </c>
      <c r="F159" s="4" t="s">
        <v>1395</v>
      </c>
      <c r="G159" t="s">
        <v>1130</v>
      </c>
      <c r="H159" t="s">
        <v>289</v>
      </c>
      <c r="I159" s="3">
        <f>RUSH__2[[#This Row],[TD]]/RUSH__2[[#This Row],[Rec]]</f>
        <v>6.25E-2</v>
      </c>
      <c r="J159" s="3">
        <f>D159/(VLOOKUP(B159,'2025 Team'!$B$2:$G$33,2,FALSE))</f>
        <v>7.370517928286853E-2</v>
      </c>
      <c r="K159" t="s">
        <v>1402</v>
      </c>
      <c r="L159" t="s">
        <v>314</v>
      </c>
    </row>
    <row r="160" spans="1:12" x14ac:dyDescent="0.25">
      <c r="A160" t="s">
        <v>180</v>
      </c>
      <c r="B160" t="s">
        <v>56</v>
      </c>
      <c r="C160" t="s">
        <v>163</v>
      </c>
      <c r="D160" s="4" t="s">
        <v>476</v>
      </c>
      <c r="E160" s="4" t="s">
        <v>507</v>
      </c>
      <c r="F160" s="4" t="s">
        <v>457</v>
      </c>
      <c r="G160" t="s">
        <v>656</v>
      </c>
      <c r="H160" t="s">
        <v>417</v>
      </c>
      <c r="I160" s="3">
        <f>RUSH__2[[#This Row],[TD]]/RUSH__2[[#This Row],[Rec]]</f>
        <v>0</v>
      </c>
      <c r="J160" s="3">
        <f>D160/(VLOOKUP(B160,'2025 Team'!$B$2:$G$33,2,FALSE))</f>
        <v>7.28744939271255E-2</v>
      </c>
      <c r="K160" t="s">
        <v>1403</v>
      </c>
      <c r="L160" t="s">
        <v>300</v>
      </c>
    </row>
    <row r="161" spans="1:12" x14ac:dyDescent="0.25">
      <c r="A161" t="s">
        <v>992</v>
      </c>
      <c r="B161" t="s">
        <v>58</v>
      </c>
      <c r="C161" t="s">
        <v>163</v>
      </c>
      <c r="D161" s="4" t="s">
        <v>476</v>
      </c>
      <c r="E161" s="4" t="s">
        <v>202</v>
      </c>
      <c r="F161" s="4" t="s">
        <v>1404</v>
      </c>
      <c r="G161" t="s">
        <v>1187</v>
      </c>
      <c r="H161" t="s">
        <v>300</v>
      </c>
      <c r="I161" s="3">
        <f>RUSH__2[[#This Row],[TD]]/RUSH__2[[#This Row],[Rec]]</f>
        <v>5.5555555555555552E-2</v>
      </c>
      <c r="J161" s="3">
        <f>D161/(VLOOKUP(B161,'2025 Team'!$B$2:$G$33,2,FALSE))</f>
        <v>7.2434607645875254E-2</v>
      </c>
      <c r="K161" t="s">
        <v>1356</v>
      </c>
      <c r="L161" t="s">
        <v>417</v>
      </c>
    </row>
    <row r="162" spans="1:12" x14ac:dyDescent="0.25">
      <c r="A162" t="s">
        <v>252</v>
      </c>
      <c r="B162" t="s">
        <v>68</v>
      </c>
      <c r="C162" t="s">
        <v>159</v>
      </c>
      <c r="D162" s="4" t="s">
        <v>454</v>
      </c>
      <c r="E162" s="4" t="s">
        <v>485</v>
      </c>
      <c r="F162" s="4" t="s">
        <v>437</v>
      </c>
      <c r="G162" t="s">
        <v>574</v>
      </c>
      <c r="H162" t="s">
        <v>417</v>
      </c>
      <c r="I162" s="3">
        <f>RUSH__2[[#This Row],[TD]]/RUSH__2[[#This Row],[Rec]]</f>
        <v>0</v>
      </c>
      <c r="J162" s="3">
        <f>D162/(VLOOKUP(B162,'2025 Team'!$B$2:$G$33,2,FALSE))</f>
        <v>7.192982456140351E-2</v>
      </c>
      <c r="K162" t="s">
        <v>1405</v>
      </c>
      <c r="L162" t="s">
        <v>229</v>
      </c>
    </row>
    <row r="163" spans="1:12" x14ac:dyDescent="0.25">
      <c r="A163" t="s">
        <v>836</v>
      </c>
      <c r="B163" t="s">
        <v>16</v>
      </c>
      <c r="C163" t="s">
        <v>153</v>
      </c>
      <c r="D163" s="4" t="s">
        <v>461</v>
      </c>
      <c r="E163" s="4" t="s">
        <v>490</v>
      </c>
      <c r="F163" s="4" t="s">
        <v>1406</v>
      </c>
      <c r="G163" t="s">
        <v>1273</v>
      </c>
      <c r="H163" t="s">
        <v>289</v>
      </c>
      <c r="I163" s="3">
        <f>RUSH__2[[#This Row],[TD]]/RUSH__2[[#This Row],[Rec]]</f>
        <v>7.407407407407407E-2</v>
      </c>
      <c r="J163" s="3">
        <f>D163/(VLOOKUP(B163,'2025 Team'!$B$2:$G$33,2,FALSE))</f>
        <v>7.184466019417475E-2</v>
      </c>
      <c r="K163" t="s">
        <v>1059</v>
      </c>
      <c r="L163" t="s">
        <v>417</v>
      </c>
    </row>
    <row r="164" spans="1:12" x14ac:dyDescent="0.25">
      <c r="A164" t="s">
        <v>421</v>
      </c>
      <c r="B164" t="s">
        <v>22</v>
      </c>
      <c r="C164" t="s">
        <v>159</v>
      </c>
      <c r="D164" s="4" t="s">
        <v>592</v>
      </c>
      <c r="E164" s="4" t="s">
        <v>485</v>
      </c>
      <c r="F164" s="4" t="s">
        <v>1407</v>
      </c>
      <c r="G164" t="s">
        <v>1309</v>
      </c>
      <c r="H164" t="s">
        <v>289</v>
      </c>
      <c r="I164" s="3">
        <f>RUSH__2[[#This Row],[TD]]/RUSH__2[[#This Row],[Rec]]</f>
        <v>6.0606060606060608E-2</v>
      </c>
      <c r="J164" s="3">
        <f>D164/(VLOOKUP(B164,'2025 Team'!$B$2:$G$33,2,FALSE))</f>
        <v>7.1684587813620068E-2</v>
      </c>
      <c r="K164" t="s">
        <v>1386</v>
      </c>
      <c r="L164" t="s">
        <v>300</v>
      </c>
    </row>
    <row r="165" spans="1:12" x14ac:dyDescent="0.25">
      <c r="A165" t="s">
        <v>736</v>
      </c>
      <c r="B165" t="s">
        <v>46</v>
      </c>
      <c r="C165" t="s">
        <v>153</v>
      </c>
      <c r="D165" s="4" t="s">
        <v>679</v>
      </c>
      <c r="E165" s="4" t="s">
        <v>487</v>
      </c>
      <c r="F165" s="4" t="s">
        <v>412</v>
      </c>
      <c r="G165" t="s">
        <v>1355</v>
      </c>
      <c r="H165" t="s">
        <v>247</v>
      </c>
      <c r="I165" s="3">
        <f>RUSH__2[[#This Row],[TD]]/RUSH__2[[#This Row],[Rec]]</f>
        <v>0.25</v>
      </c>
      <c r="J165" s="3">
        <f>D165/(VLOOKUP(B165,'2025 Team'!$B$2:$G$33,2,FALSE))</f>
        <v>7.0981210855949897E-2</v>
      </c>
      <c r="K165" t="s">
        <v>1408</v>
      </c>
      <c r="L165" t="s">
        <v>417</v>
      </c>
    </row>
    <row r="166" spans="1:12" x14ac:dyDescent="0.25">
      <c r="A166" t="s">
        <v>854</v>
      </c>
      <c r="B166" t="s">
        <v>22</v>
      </c>
      <c r="C166" t="s">
        <v>163</v>
      </c>
      <c r="D166" s="4" t="s">
        <v>470</v>
      </c>
      <c r="E166" s="4" t="s">
        <v>528</v>
      </c>
      <c r="F166" s="4" t="s">
        <v>1409</v>
      </c>
      <c r="G166" t="s">
        <v>1090</v>
      </c>
      <c r="H166" t="s">
        <v>289</v>
      </c>
      <c r="I166" s="3">
        <f>RUSH__2[[#This Row],[TD]]/RUSH__2[[#This Row],[Rec]]</f>
        <v>9.5238095238095233E-2</v>
      </c>
      <c r="J166" s="3">
        <f>D166/(VLOOKUP(B166,'2025 Team'!$B$2:$G$33,2,FALSE))</f>
        <v>6.9892473118279563E-2</v>
      </c>
      <c r="K166" t="s">
        <v>1365</v>
      </c>
      <c r="L166" t="s">
        <v>417</v>
      </c>
    </row>
    <row r="167" spans="1:12" x14ac:dyDescent="0.25">
      <c r="A167" t="s">
        <v>395</v>
      </c>
      <c r="B167" t="s">
        <v>8</v>
      </c>
      <c r="C167" t="s">
        <v>159</v>
      </c>
      <c r="D167" s="4" t="s">
        <v>452</v>
      </c>
      <c r="E167" s="4" t="s">
        <v>485</v>
      </c>
      <c r="F167" s="4" t="s">
        <v>1410</v>
      </c>
      <c r="G167" t="s">
        <v>1328</v>
      </c>
      <c r="H167" t="s">
        <v>417</v>
      </c>
      <c r="I167" s="3">
        <f>RUSH__2[[#This Row],[TD]]/RUSH__2[[#This Row],[Rec]]</f>
        <v>0</v>
      </c>
      <c r="J167" s="3">
        <f>D167/(VLOOKUP(B167,'2025 Team'!$B$2:$G$33,2,FALSE))</f>
        <v>6.9337442218798145E-2</v>
      </c>
      <c r="K167" t="s">
        <v>1396</v>
      </c>
      <c r="L167" t="s">
        <v>417</v>
      </c>
    </row>
    <row r="168" spans="1:12" x14ac:dyDescent="0.25">
      <c r="A168" t="s">
        <v>733</v>
      </c>
      <c r="B168" t="s">
        <v>46</v>
      </c>
      <c r="C168" t="s">
        <v>153</v>
      </c>
      <c r="D168" s="4" t="s">
        <v>485</v>
      </c>
      <c r="E168" s="4" t="s">
        <v>507</v>
      </c>
      <c r="F168" s="4" t="s">
        <v>1411</v>
      </c>
      <c r="G168" t="s">
        <v>1090</v>
      </c>
      <c r="H168" t="s">
        <v>300</v>
      </c>
      <c r="I168" s="3">
        <f>RUSH__2[[#This Row],[TD]]/RUSH__2[[#This Row],[Rec]]</f>
        <v>3.8461538461538464E-2</v>
      </c>
      <c r="J168" s="3">
        <f>D168/(VLOOKUP(B168,'2025 Team'!$B$2:$G$33,2,FALSE))</f>
        <v>6.889352818371608E-2</v>
      </c>
      <c r="K168" t="s">
        <v>1172</v>
      </c>
      <c r="L168" t="s">
        <v>300</v>
      </c>
    </row>
    <row r="169" spans="1:12" x14ac:dyDescent="0.25">
      <c r="A169" t="s">
        <v>730</v>
      </c>
      <c r="B169" t="s">
        <v>70</v>
      </c>
      <c r="C169" t="s">
        <v>163</v>
      </c>
      <c r="D169" s="4" t="s">
        <v>475</v>
      </c>
      <c r="E169" s="4" t="s">
        <v>193</v>
      </c>
      <c r="F169" s="4" t="s">
        <v>1412</v>
      </c>
      <c r="G169" t="s">
        <v>1071</v>
      </c>
      <c r="H169" t="s">
        <v>417</v>
      </c>
      <c r="I169" s="3">
        <f>RUSH__2[[#This Row],[TD]]/RUSH__2[[#This Row],[Rec]]</f>
        <v>0</v>
      </c>
      <c r="J169" s="3">
        <f>D169/(VLOOKUP(B169,'2025 Team'!$B$2:$G$33,2,FALSE))</f>
        <v>6.8230277185501065E-2</v>
      </c>
      <c r="K169" t="s">
        <v>1356</v>
      </c>
      <c r="L169" t="s">
        <v>314</v>
      </c>
    </row>
    <row r="170" spans="1:12" x14ac:dyDescent="0.25">
      <c r="A170" t="s">
        <v>431</v>
      </c>
      <c r="B170" t="s">
        <v>14</v>
      </c>
      <c r="C170" t="s">
        <v>159</v>
      </c>
      <c r="D170" s="4" t="s">
        <v>485</v>
      </c>
      <c r="E170" s="4" t="s">
        <v>487</v>
      </c>
      <c r="F170" s="4" t="s">
        <v>1413</v>
      </c>
      <c r="G170" t="s">
        <v>779</v>
      </c>
      <c r="H170" t="s">
        <v>289</v>
      </c>
      <c r="I170" s="3">
        <f>RUSH__2[[#This Row],[TD]]/RUSH__2[[#This Row],[Rec]]</f>
        <v>8.3333333333333329E-2</v>
      </c>
      <c r="J170" s="3">
        <f>D170/(VLOOKUP(B170,'2025 Team'!$B$2:$G$33,2,FALSE))</f>
        <v>6.6666666666666666E-2</v>
      </c>
      <c r="K170" t="s">
        <v>1117</v>
      </c>
      <c r="L170" t="s">
        <v>300</v>
      </c>
    </row>
    <row r="171" spans="1:12" x14ac:dyDescent="0.25">
      <c r="A171" t="s">
        <v>975</v>
      </c>
      <c r="B171" t="s">
        <v>54</v>
      </c>
      <c r="C171" t="s">
        <v>163</v>
      </c>
      <c r="D171" s="4" t="s">
        <v>467</v>
      </c>
      <c r="E171" s="4" t="s">
        <v>202</v>
      </c>
      <c r="F171" s="4" t="s">
        <v>1407</v>
      </c>
      <c r="G171" t="s">
        <v>1058</v>
      </c>
      <c r="H171" t="s">
        <v>289</v>
      </c>
      <c r="I171" s="3">
        <f>RUSH__2[[#This Row],[TD]]/RUSH__2[[#This Row],[Rec]]</f>
        <v>0.1111111111111111</v>
      </c>
      <c r="J171" s="3">
        <f>D171/(VLOOKUP(B171,'2025 Team'!$B$2:$G$33,2,FALSE))</f>
        <v>6.6539923954372623E-2</v>
      </c>
      <c r="K171" t="s">
        <v>1414</v>
      </c>
      <c r="L171" t="s">
        <v>417</v>
      </c>
    </row>
    <row r="172" spans="1:12" x14ac:dyDescent="0.25">
      <c r="A172" t="s">
        <v>439</v>
      </c>
      <c r="B172" t="s">
        <v>70</v>
      </c>
      <c r="C172" t="s">
        <v>159</v>
      </c>
      <c r="D172" s="4" t="s">
        <v>493</v>
      </c>
      <c r="E172" s="4" t="s">
        <v>500</v>
      </c>
      <c r="F172" s="4" t="s">
        <v>287</v>
      </c>
      <c r="G172" t="s">
        <v>611</v>
      </c>
      <c r="H172" t="s">
        <v>417</v>
      </c>
      <c r="I172" s="3">
        <f>RUSH__2[[#This Row],[TD]]/RUSH__2[[#This Row],[Rec]]</f>
        <v>0</v>
      </c>
      <c r="J172" s="3">
        <f>D172/(VLOOKUP(B172,'2025 Team'!$B$2:$G$33,2,FALSE))</f>
        <v>6.6098081023454158E-2</v>
      </c>
      <c r="K172" t="s">
        <v>1415</v>
      </c>
      <c r="L172" t="s">
        <v>300</v>
      </c>
    </row>
    <row r="173" spans="1:12" x14ac:dyDescent="0.25">
      <c r="A173" t="s">
        <v>809</v>
      </c>
      <c r="B173" t="s">
        <v>10</v>
      </c>
      <c r="C173" t="s">
        <v>163</v>
      </c>
      <c r="D173" s="4" t="s">
        <v>476</v>
      </c>
      <c r="E173" s="4" t="s">
        <v>202</v>
      </c>
      <c r="F173" s="4" t="s">
        <v>1416</v>
      </c>
      <c r="G173" t="s">
        <v>1190</v>
      </c>
      <c r="H173" t="s">
        <v>289</v>
      </c>
      <c r="I173" s="3">
        <f>RUSH__2[[#This Row],[TD]]/RUSH__2[[#This Row],[Rec]]</f>
        <v>0.1111111111111111</v>
      </c>
      <c r="J173" s="3">
        <f>D173/(VLOOKUP(B173,'2025 Team'!$B$2:$G$33,2,FALSE))</f>
        <v>6.6055045871559637E-2</v>
      </c>
      <c r="K173" t="s">
        <v>1356</v>
      </c>
      <c r="L173" t="s">
        <v>417</v>
      </c>
    </row>
    <row r="174" spans="1:12" x14ac:dyDescent="0.25">
      <c r="A174" t="s">
        <v>834</v>
      </c>
      <c r="B174" t="s">
        <v>16</v>
      </c>
      <c r="C174" t="s">
        <v>153</v>
      </c>
      <c r="D174" s="4" t="s">
        <v>679</v>
      </c>
      <c r="E174" s="4" t="s">
        <v>503</v>
      </c>
      <c r="F174" s="4" t="s">
        <v>1417</v>
      </c>
      <c r="G174" t="s">
        <v>426</v>
      </c>
      <c r="H174" t="s">
        <v>300</v>
      </c>
      <c r="I174" s="3">
        <f>RUSH__2[[#This Row],[TD]]/RUSH__2[[#This Row],[Rec]]</f>
        <v>3.4482758620689655E-2</v>
      </c>
      <c r="J174" s="3">
        <f>D174/(VLOOKUP(B174,'2025 Team'!$B$2:$G$33,2,FALSE))</f>
        <v>6.6019417475728162E-2</v>
      </c>
      <c r="K174" t="s">
        <v>1418</v>
      </c>
      <c r="L174" t="s">
        <v>417</v>
      </c>
    </row>
    <row r="175" spans="1:12" x14ac:dyDescent="0.25">
      <c r="A175" t="s">
        <v>935</v>
      </c>
      <c r="B175" t="s">
        <v>40</v>
      </c>
      <c r="C175" t="s">
        <v>163</v>
      </c>
      <c r="D175" s="4" t="s">
        <v>679</v>
      </c>
      <c r="E175" s="4" t="s">
        <v>514</v>
      </c>
      <c r="F175" s="4" t="s">
        <v>241</v>
      </c>
      <c r="G175" t="s">
        <v>662</v>
      </c>
      <c r="H175" t="s">
        <v>300</v>
      </c>
      <c r="I175" s="3">
        <f>RUSH__2[[#This Row],[TD]]/RUSH__2[[#This Row],[Rec]]</f>
        <v>4.5454545454545456E-2</v>
      </c>
      <c r="J175" s="3">
        <f>D175/(VLOOKUP(B175,'2025 Team'!$B$2:$G$33,2,FALSE))</f>
        <v>6.6019417475728162E-2</v>
      </c>
      <c r="K175" t="s">
        <v>1176</v>
      </c>
      <c r="L175" t="s">
        <v>417</v>
      </c>
    </row>
    <row r="176" spans="1:12" x14ac:dyDescent="0.25">
      <c r="A176" t="s">
        <v>348</v>
      </c>
      <c r="B176" t="s">
        <v>52</v>
      </c>
      <c r="C176" t="s">
        <v>159</v>
      </c>
      <c r="D176" s="4" t="s">
        <v>470</v>
      </c>
      <c r="E176" s="4" t="s">
        <v>485</v>
      </c>
      <c r="F176" s="4" t="s">
        <v>463</v>
      </c>
      <c r="G176" t="s">
        <v>516</v>
      </c>
      <c r="H176" t="s">
        <v>417</v>
      </c>
      <c r="I176" s="3">
        <f>RUSH__2[[#This Row],[TD]]/RUSH__2[[#This Row],[Rec]]</f>
        <v>0</v>
      </c>
      <c r="J176" s="3">
        <f>D176/(VLOOKUP(B176,'2025 Team'!$B$2:$G$33,2,FALSE))</f>
        <v>6.5989847715736044E-2</v>
      </c>
      <c r="K176" t="s">
        <v>1419</v>
      </c>
      <c r="L176" t="s">
        <v>289</v>
      </c>
    </row>
    <row r="177" spans="1:12" x14ac:dyDescent="0.25">
      <c r="A177" t="s">
        <v>962</v>
      </c>
      <c r="B177" t="s">
        <v>52</v>
      </c>
      <c r="C177" t="s">
        <v>163</v>
      </c>
      <c r="D177" s="4" t="s">
        <v>470</v>
      </c>
      <c r="E177" s="4" t="s">
        <v>500</v>
      </c>
      <c r="F177" s="4" t="s">
        <v>1369</v>
      </c>
      <c r="G177" t="s">
        <v>1210</v>
      </c>
      <c r="H177" t="s">
        <v>289</v>
      </c>
      <c r="I177" s="3">
        <f>RUSH__2[[#This Row],[TD]]/RUSH__2[[#This Row],[Rec]]</f>
        <v>0.08</v>
      </c>
      <c r="J177" s="3">
        <f>D177/(VLOOKUP(B177,'2025 Team'!$B$2:$G$33,2,FALSE))</f>
        <v>6.5989847715736044E-2</v>
      </c>
      <c r="K177" t="s">
        <v>1084</v>
      </c>
      <c r="L177" t="s">
        <v>417</v>
      </c>
    </row>
    <row r="178" spans="1:12" x14ac:dyDescent="0.25">
      <c r="A178" t="s">
        <v>638</v>
      </c>
      <c r="B178" t="s">
        <v>36</v>
      </c>
      <c r="C178" t="s">
        <v>163</v>
      </c>
      <c r="D178" s="4" t="s">
        <v>461</v>
      </c>
      <c r="E178" s="4" t="s">
        <v>524</v>
      </c>
      <c r="F178" s="4" t="s">
        <v>1420</v>
      </c>
      <c r="G178" t="s">
        <v>1372</v>
      </c>
      <c r="H178" t="s">
        <v>300</v>
      </c>
      <c r="I178" s="3">
        <f>RUSH__2[[#This Row],[TD]]/RUSH__2[[#This Row],[Rec]]</f>
        <v>0.05</v>
      </c>
      <c r="J178" s="3">
        <f>D178/(VLOOKUP(B178,'2025 Team'!$B$2:$G$33,2,FALSE))</f>
        <v>6.5719360568383664E-2</v>
      </c>
      <c r="K178" t="s">
        <v>1421</v>
      </c>
      <c r="L178" t="s">
        <v>300</v>
      </c>
    </row>
    <row r="179" spans="1:12" x14ac:dyDescent="0.25">
      <c r="A179" t="s">
        <v>844</v>
      </c>
      <c r="B179" t="s">
        <v>20</v>
      </c>
      <c r="C179" t="s">
        <v>153</v>
      </c>
      <c r="D179" s="4" t="s">
        <v>1199</v>
      </c>
      <c r="E179" s="4" t="s">
        <v>496</v>
      </c>
      <c r="F179" s="4" t="s">
        <v>191</v>
      </c>
      <c r="G179" t="s">
        <v>779</v>
      </c>
      <c r="H179" t="s">
        <v>289</v>
      </c>
      <c r="I179" s="3">
        <f>RUSH__2[[#This Row],[TD]]/RUSH__2[[#This Row],[Rec]]</f>
        <v>7.1428571428571425E-2</v>
      </c>
      <c r="J179" s="3">
        <f>D179/(VLOOKUP(B179,'2025 Team'!$B$2:$G$33,2,FALSE))</f>
        <v>6.5625000000000003E-2</v>
      </c>
      <c r="K179" t="s">
        <v>1297</v>
      </c>
      <c r="L179" t="s">
        <v>417</v>
      </c>
    </row>
    <row r="180" spans="1:12" x14ac:dyDescent="0.25">
      <c r="A180" t="s">
        <v>259</v>
      </c>
      <c r="B180" t="s">
        <v>22</v>
      </c>
      <c r="C180" t="s">
        <v>159</v>
      </c>
      <c r="D180" s="4" t="s">
        <v>476</v>
      </c>
      <c r="E180" s="4" t="s">
        <v>507</v>
      </c>
      <c r="F180" s="4" t="s">
        <v>1422</v>
      </c>
      <c r="G180" t="s">
        <v>426</v>
      </c>
      <c r="H180" t="s">
        <v>417</v>
      </c>
      <c r="I180" s="3">
        <f>RUSH__2[[#This Row],[TD]]/RUSH__2[[#This Row],[Rec]]</f>
        <v>0</v>
      </c>
      <c r="J180" s="3">
        <f>D180/(VLOOKUP(B180,'2025 Team'!$B$2:$G$33,2,FALSE))</f>
        <v>6.4516129032258063E-2</v>
      </c>
      <c r="K180" t="s">
        <v>1403</v>
      </c>
      <c r="L180" t="s">
        <v>417</v>
      </c>
    </row>
    <row r="181" spans="1:12" x14ac:dyDescent="0.25">
      <c r="A181" t="s">
        <v>841</v>
      </c>
      <c r="B181" t="s">
        <v>20</v>
      </c>
      <c r="C181" t="s">
        <v>153</v>
      </c>
      <c r="D181" s="4" t="s">
        <v>454</v>
      </c>
      <c r="E181" s="4" t="s">
        <v>679</v>
      </c>
      <c r="F181" s="4" t="s">
        <v>387</v>
      </c>
      <c r="G181" t="s">
        <v>717</v>
      </c>
      <c r="H181" t="s">
        <v>314</v>
      </c>
      <c r="I181" s="3">
        <f>RUSH__2[[#This Row],[TD]]/RUSH__2[[#This Row],[Rec]]</f>
        <v>8.8235294117647065E-2</v>
      </c>
      <c r="J181" s="3">
        <f>D181/(VLOOKUP(B181,'2025 Team'!$B$2:$G$33,2,FALSE))</f>
        <v>6.4062499999999994E-2</v>
      </c>
      <c r="K181" t="s">
        <v>1423</v>
      </c>
      <c r="L181" t="s">
        <v>314</v>
      </c>
    </row>
    <row r="182" spans="1:12" x14ac:dyDescent="0.25">
      <c r="A182" t="s">
        <v>522</v>
      </c>
      <c r="B182" t="s">
        <v>12</v>
      </c>
      <c r="C182" t="s">
        <v>159</v>
      </c>
      <c r="D182" s="4" t="s">
        <v>490</v>
      </c>
      <c r="E182" s="4" t="s">
        <v>528</v>
      </c>
      <c r="F182" s="4" t="s">
        <v>303</v>
      </c>
      <c r="G182" t="s">
        <v>531</v>
      </c>
      <c r="H182" t="s">
        <v>300</v>
      </c>
      <c r="I182" s="3">
        <f>RUSH__2[[#This Row],[TD]]/RUSH__2[[#This Row],[Rec]]</f>
        <v>4.7619047619047616E-2</v>
      </c>
      <c r="J182" s="3">
        <f>D182/(VLOOKUP(B182,'2025 Team'!$B$2:$G$33,2,FALSE))</f>
        <v>6.398104265402843E-2</v>
      </c>
      <c r="K182" t="s">
        <v>1424</v>
      </c>
      <c r="L182" t="s">
        <v>300</v>
      </c>
    </row>
    <row r="183" spans="1:12" x14ac:dyDescent="0.25">
      <c r="A183" t="s">
        <v>883</v>
      </c>
      <c r="B183" t="s">
        <v>30</v>
      </c>
      <c r="C183" t="s">
        <v>153</v>
      </c>
      <c r="D183" s="4" t="s">
        <v>493</v>
      </c>
      <c r="E183" s="4" t="s">
        <v>487</v>
      </c>
      <c r="F183" s="4" t="s">
        <v>264</v>
      </c>
      <c r="G183" t="s">
        <v>605</v>
      </c>
      <c r="H183" t="s">
        <v>417</v>
      </c>
      <c r="I183" s="3">
        <f>RUSH__2[[#This Row],[TD]]/RUSH__2[[#This Row],[Rec]]</f>
        <v>0</v>
      </c>
      <c r="J183" s="3">
        <f>D183/(VLOOKUP(B183,'2025 Team'!$B$2:$G$33,2,FALSE))</f>
        <v>6.3394683026584867E-2</v>
      </c>
      <c r="K183" t="s">
        <v>1166</v>
      </c>
      <c r="L183" t="s">
        <v>300</v>
      </c>
    </row>
    <row r="184" spans="1:12" x14ac:dyDescent="0.25">
      <c r="A184" t="s">
        <v>909</v>
      </c>
      <c r="B184" t="s">
        <v>38</v>
      </c>
      <c r="C184" t="s">
        <v>153</v>
      </c>
      <c r="D184" s="4" t="s">
        <v>461</v>
      </c>
      <c r="E184" s="4" t="s">
        <v>528</v>
      </c>
      <c r="F184" s="4" t="s">
        <v>1425</v>
      </c>
      <c r="G184" t="s">
        <v>717</v>
      </c>
      <c r="H184" t="s">
        <v>417</v>
      </c>
      <c r="I184" s="3">
        <f>RUSH__2[[#This Row],[TD]]/RUSH__2[[#This Row],[Rec]]</f>
        <v>0</v>
      </c>
      <c r="J184" s="3">
        <f>D184/(VLOOKUP(B184,'2025 Team'!$B$2:$G$33,2,FALSE))</f>
        <v>6.3356164383561647E-2</v>
      </c>
      <c r="K184" t="s">
        <v>1426</v>
      </c>
      <c r="L184" t="s">
        <v>417</v>
      </c>
    </row>
    <row r="185" spans="1:12" x14ac:dyDescent="0.25">
      <c r="A185" t="s">
        <v>913</v>
      </c>
      <c r="B185" t="s">
        <v>38</v>
      </c>
      <c r="C185" t="s">
        <v>163</v>
      </c>
      <c r="D185" s="4" t="s">
        <v>461</v>
      </c>
      <c r="E185" s="4" t="s">
        <v>541</v>
      </c>
      <c r="F185" s="4" t="s">
        <v>1248</v>
      </c>
      <c r="G185" t="s">
        <v>1427</v>
      </c>
      <c r="H185" t="s">
        <v>314</v>
      </c>
      <c r="I185" s="3">
        <f>RUSH__2[[#This Row],[TD]]/RUSH__2[[#This Row],[Rec]]</f>
        <v>0.15789473684210525</v>
      </c>
      <c r="J185" s="3">
        <f>D185/(VLOOKUP(B185,'2025 Team'!$B$2:$G$33,2,FALSE))</f>
        <v>6.3356164383561647E-2</v>
      </c>
      <c r="K185" t="s">
        <v>1414</v>
      </c>
      <c r="L185" t="s">
        <v>417</v>
      </c>
    </row>
    <row r="186" spans="1:12" x14ac:dyDescent="0.25">
      <c r="A186" t="s">
        <v>1038</v>
      </c>
      <c r="B186" t="s">
        <v>68</v>
      </c>
      <c r="C186" t="s">
        <v>163</v>
      </c>
      <c r="D186" s="4" t="s">
        <v>476</v>
      </c>
      <c r="E186" s="4" t="s">
        <v>535</v>
      </c>
      <c r="F186" s="4" t="s">
        <v>1400</v>
      </c>
      <c r="G186" t="s">
        <v>1428</v>
      </c>
      <c r="H186" t="s">
        <v>417</v>
      </c>
      <c r="I186" s="3">
        <f>RUSH__2[[#This Row],[TD]]/RUSH__2[[#This Row],[Rec]]</f>
        <v>0</v>
      </c>
      <c r="J186" s="3">
        <f>D186/(VLOOKUP(B186,'2025 Team'!$B$2:$G$33,2,FALSE))</f>
        <v>6.3157894736842107E-2</v>
      </c>
      <c r="K186" t="s">
        <v>1154</v>
      </c>
      <c r="L186" t="s">
        <v>417</v>
      </c>
    </row>
    <row r="187" spans="1:12" x14ac:dyDescent="0.25">
      <c r="A187" t="s">
        <v>297</v>
      </c>
      <c r="B187" t="s">
        <v>66</v>
      </c>
      <c r="C187" t="s">
        <v>159</v>
      </c>
      <c r="D187" s="4" t="s">
        <v>467</v>
      </c>
      <c r="E187" s="4" t="s">
        <v>639</v>
      </c>
      <c r="F187" s="4" t="s">
        <v>1429</v>
      </c>
      <c r="G187" t="s">
        <v>1273</v>
      </c>
      <c r="H187" t="s">
        <v>314</v>
      </c>
      <c r="I187" s="3">
        <f>RUSH__2[[#This Row],[TD]]/RUSH__2[[#This Row],[Rec]]</f>
        <v>0.1</v>
      </c>
      <c r="J187" s="3">
        <f>D187/(VLOOKUP(B187,'2025 Team'!$B$2:$G$33,2,FALSE))</f>
        <v>6.2724014336917558E-2</v>
      </c>
      <c r="K187" t="s">
        <v>1430</v>
      </c>
      <c r="L187" t="s">
        <v>300</v>
      </c>
    </row>
    <row r="188" spans="1:12" x14ac:dyDescent="0.25">
      <c r="A188" t="s">
        <v>286</v>
      </c>
      <c r="B188" t="s">
        <v>32</v>
      </c>
      <c r="C188" t="s">
        <v>159</v>
      </c>
      <c r="D188" s="4" t="s">
        <v>476</v>
      </c>
      <c r="E188" s="4" t="s">
        <v>487</v>
      </c>
      <c r="F188" s="4" t="s">
        <v>1431</v>
      </c>
      <c r="G188" t="s">
        <v>1381</v>
      </c>
      <c r="H188" t="s">
        <v>314</v>
      </c>
      <c r="I188" s="3">
        <f>RUSH__2[[#This Row],[TD]]/RUSH__2[[#This Row],[Rec]]</f>
        <v>0.125</v>
      </c>
      <c r="J188" s="3">
        <f>D188/(VLOOKUP(B188,'2025 Team'!$B$2:$G$33,2,FALSE))</f>
        <v>6.1855670103092786E-2</v>
      </c>
      <c r="K188" t="s">
        <v>1297</v>
      </c>
      <c r="L188" t="s">
        <v>300</v>
      </c>
    </row>
    <row r="189" spans="1:12" x14ac:dyDescent="0.25">
      <c r="A189" t="s">
        <v>351</v>
      </c>
      <c r="B189" t="s">
        <v>42</v>
      </c>
      <c r="C189" t="s">
        <v>159</v>
      </c>
      <c r="D189" s="4" t="s">
        <v>467</v>
      </c>
      <c r="E189" s="4" t="s">
        <v>475</v>
      </c>
      <c r="F189" s="4" t="s">
        <v>1432</v>
      </c>
      <c r="G189" t="s">
        <v>389</v>
      </c>
      <c r="H189" t="s">
        <v>300</v>
      </c>
      <c r="I189" s="3">
        <f>RUSH__2[[#This Row],[TD]]/RUSH__2[[#This Row],[Rec]]</f>
        <v>3.125E-2</v>
      </c>
      <c r="J189" s="3">
        <f>D189/(VLOOKUP(B189,'2025 Team'!$B$2:$G$33,2,FALSE))</f>
        <v>6.1511423550087874E-2</v>
      </c>
      <c r="K189" t="s">
        <v>1433</v>
      </c>
      <c r="L189" t="s">
        <v>300</v>
      </c>
    </row>
    <row r="190" spans="1:12" x14ac:dyDescent="0.25">
      <c r="A190" t="s">
        <v>773</v>
      </c>
      <c r="B190" t="s">
        <v>62</v>
      </c>
      <c r="C190" t="s">
        <v>163</v>
      </c>
      <c r="D190" s="4" t="s">
        <v>467</v>
      </c>
      <c r="E190" s="4" t="s">
        <v>514</v>
      </c>
      <c r="F190" s="4" t="s">
        <v>1434</v>
      </c>
      <c r="G190" t="s">
        <v>1065</v>
      </c>
      <c r="H190" t="s">
        <v>300</v>
      </c>
      <c r="I190" s="3">
        <f>RUSH__2[[#This Row],[TD]]/RUSH__2[[#This Row],[Rec]]</f>
        <v>4.5454545454545456E-2</v>
      </c>
      <c r="J190" s="3">
        <f>D190/(VLOOKUP(B190,'2025 Team'!$B$2:$G$33,2,FALSE))</f>
        <v>6.097560975609756E-2</v>
      </c>
      <c r="K190" t="s">
        <v>1435</v>
      </c>
      <c r="L190" t="s">
        <v>417</v>
      </c>
    </row>
    <row r="191" spans="1:12" x14ac:dyDescent="0.25">
      <c r="A191" t="s">
        <v>558</v>
      </c>
      <c r="B191" t="s">
        <v>24</v>
      </c>
      <c r="C191" t="s">
        <v>163</v>
      </c>
      <c r="D191" s="4" t="s">
        <v>480</v>
      </c>
      <c r="E191" s="4" t="s">
        <v>507</v>
      </c>
      <c r="F191" s="4" t="s">
        <v>1436</v>
      </c>
      <c r="G191" t="s">
        <v>1437</v>
      </c>
      <c r="H191" t="s">
        <v>289</v>
      </c>
      <c r="I191" s="3">
        <f>RUSH__2[[#This Row],[TD]]/RUSH__2[[#This Row],[Rec]]</f>
        <v>7.6923076923076927E-2</v>
      </c>
      <c r="J191" s="3">
        <f>D191/(VLOOKUP(B191,'2025 Team'!$B$2:$G$33,2,FALSE))</f>
        <v>6.0897435897435896E-2</v>
      </c>
      <c r="K191" t="s">
        <v>1438</v>
      </c>
      <c r="L191" t="s">
        <v>300</v>
      </c>
    </row>
    <row r="192" spans="1:12" x14ac:dyDescent="0.25">
      <c r="A192" t="s">
        <v>368</v>
      </c>
      <c r="B192" t="s">
        <v>54</v>
      </c>
      <c r="C192" t="s">
        <v>159</v>
      </c>
      <c r="D192" s="4" t="s">
        <v>475</v>
      </c>
      <c r="E192" s="4" t="s">
        <v>487</v>
      </c>
      <c r="F192" s="4" t="s">
        <v>1439</v>
      </c>
      <c r="G192" t="s">
        <v>616</v>
      </c>
      <c r="H192" t="s">
        <v>289</v>
      </c>
      <c r="I192" s="3">
        <f>RUSH__2[[#This Row],[TD]]/RUSH__2[[#This Row],[Rec]]</f>
        <v>8.3333333333333329E-2</v>
      </c>
      <c r="J192" s="3">
        <f>D192/(VLOOKUP(B192,'2025 Team'!$B$2:$G$33,2,FALSE))</f>
        <v>6.0836501901140684E-2</v>
      </c>
      <c r="K192" t="s">
        <v>1321</v>
      </c>
      <c r="L192" t="s">
        <v>300</v>
      </c>
    </row>
    <row r="193" spans="1:12" x14ac:dyDescent="0.25">
      <c r="A193" t="s">
        <v>944</v>
      </c>
      <c r="B193" t="s">
        <v>46</v>
      </c>
      <c r="C193" t="s">
        <v>163</v>
      </c>
      <c r="D193" s="4" t="s">
        <v>503</v>
      </c>
      <c r="E193" s="4" t="s">
        <v>528</v>
      </c>
      <c r="F193" s="4" t="s">
        <v>1440</v>
      </c>
      <c r="G193" t="s">
        <v>1215</v>
      </c>
      <c r="H193" t="s">
        <v>300</v>
      </c>
      <c r="I193" s="3">
        <f>RUSH__2[[#This Row],[TD]]/RUSH__2[[#This Row],[Rec]]</f>
        <v>4.7619047619047616E-2</v>
      </c>
      <c r="J193" s="3">
        <f>D193/(VLOOKUP(B193,'2025 Team'!$B$2:$G$33,2,FALSE))</f>
        <v>6.0542797494780795E-2</v>
      </c>
      <c r="K193" t="s">
        <v>1441</v>
      </c>
      <c r="L193" t="s">
        <v>417</v>
      </c>
    </row>
    <row r="194" spans="1:12" x14ac:dyDescent="0.25">
      <c r="A194" t="s">
        <v>927</v>
      </c>
      <c r="B194" t="s">
        <v>44</v>
      </c>
      <c r="C194" t="s">
        <v>153</v>
      </c>
      <c r="D194" s="4" t="s">
        <v>476</v>
      </c>
      <c r="E194" s="4" t="s">
        <v>500</v>
      </c>
      <c r="F194" s="4" t="s">
        <v>1377</v>
      </c>
      <c r="G194" t="s">
        <v>1164</v>
      </c>
      <c r="H194" t="s">
        <v>314</v>
      </c>
      <c r="I194" s="3">
        <f>RUSH__2[[#This Row],[TD]]/RUSH__2[[#This Row],[Rec]]</f>
        <v>0.12</v>
      </c>
      <c r="J194" s="3">
        <f>D194/(VLOOKUP(B194,'2025 Team'!$B$2:$G$33,2,FALSE))</f>
        <v>6.0200668896321072E-2</v>
      </c>
      <c r="K194" t="s">
        <v>1222</v>
      </c>
      <c r="L194" t="s">
        <v>417</v>
      </c>
    </row>
    <row r="195" spans="1:12" x14ac:dyDescent="0.25">
      <c r="A195" t="s">
        <v>644</v>
      </c>
      <c r="B195" t="s">
        <v>32</v>
      </c>
      <c r="C195" t="s">
        <v>163</v>
      </c>
      <c r="D195" s="4" t="s">
        <v>467</v>
      </c>
      <c r="E195" s="4" t="s">
        <v>507</v>
      </c>
      <c r="F195" s="4" t="s">
        <v>1341</v>
      </c>
      <c r="G195" t="s">
        <v>1164</v>
      </c>
      <c r="H195" t="s">
        <v>289</v>
      </c>
      <c r="I195" s="3">
        <f>RUSH__2[[#This Row],[TD]]/RUSH__2[[#This Row],[Rec]]</f>
        <v>7.6923076923076927E-2</v>
      </c>
      <c r="J195" s="3">
        <f>D195/(VLOOKUP(B195,'2025 Team'!$B$2:$G$33,2,FALSE))</f>
        <v>6.0137457044673541E-2</v>
      </c>
      <c r="K195" t="s">
        <v>1442</v>
      </c>
      <c r="L195" t="s">
        <v>417</v>
      </c>
    </row>
    <row r="196" spans="1:12" x14ac:dyDescent="0.25">
      <c r="A196" t="s">
        <v>464</v>
      </c>
      <c r="B196" t="s">
        <v>38</v>
      </c>
      <c r="C196" t="s">
        <v>159</v>
      </c>
      <c r="D196" s="4" t="s">
        <v>467</v>
      </c>
      <c r="E196" s="4" t="s">
        <v>500</v>
      </c>
      <c r="F196" s="4" t="s">
        <v>1060</v>
      </c>
      <c r="G196" t="s">
        <v>434</v>
      </c>
      <c r="H196" t="s">
        <v>300</v>
      </c>
      <c r="I196" s="3">
        <f>RUSH__2[[#This Row],[TD]]/RUSH__2[[#This Row],[Rec]]</f>
        <v>0.04</v>
      </c>
      <c r="J196" s="3">
        <f>D196/(VLOOKUP(B196,'2025 Team'!$B$2:$G$33,2,FALSE))</f>
        <v>5.9931506849315065E-2</v>
      </c>
      <c r="K196" t="s">
        <v>1363</v>
      </c>
      <c r="L196" t="s">
        <v>300</v>
      </c>
    </row>
    <row r="197" spans="1:12" x14ac:dyDescent="0.25">
      <c r="A197" t="s">
        <v>982</v>
      </c>
      <c r="B197" t="s">
        <v>56</v>
      </c>
      <c r="C197" t="s">
        <v>153</v>
      </c>
      <c r="D197" s="4" t="s">
        <v>503</v>
      </c>
      <c r="E197" s="4" t="s">
        <v>510</v>
      </c>
      <c r="F197" s="4" t="s">
        <v>1443</v>
      </c>
      <c r="G197" t="s">
        <v>611</v>
      </c>
      <c r="H197" t="s">
        <v>300</v>
      </c>
      <c r="I197" s="3">
        <f>RUSH__2[[#This Row],[TD]]/RUSH__2[[#This Row],[Rec]]</f>
        <v>4.3478260869565216E-2</v>
      </c>
      <c r="J197" s="3">
        <f>D197/(VLOOKUP(B197,'2025 Team'!$B$2:$G$33,2,FALSE))</f>
        <v>5.8704453441295545E-2</v>
      </c>
      <c r="K197" t="s">
        <v>1444</v>
      </c>
      <c r="L197" t="s">
        <v>417</v>
      </c>
    </row>
    <row r="198" spans="1:12" x14ac:dyDescent="0.25">
      <c r="A198" t="s">
        <v>940</v>
      </c>
      <c r="B198" t="s">
        <v>40</v>
      </c>
      <c r="C198" t="s">
        <v>163</v>
      </c>
      <c r="D198" s="4" t="s">
        <v>639</v>
      </c>
      <c r="E198" s="4" t="s">
        <v>211</v>
      </c>
      <c r="F198" s="4" t="s">
        <v>1445</v>
      </c>
      <c r="G198" t="s">
        <v>1127</v>
      </c>
      <c r="H198" t="s">
        <v>417</v>
      </c>
      <c r="I198" s="3">
        <f>RUSH__2[[#This Row],[TD]]/RUSH__2[[#This Row],[Rec]]</f>
        <v>0</v>
      </c>
      <c r="J198" s="3">
        <f>D198/(VLOOKUP(B198,'2025 Team'!$B$2:$G$33,2,FALSE))</f>
        <v>5.8252427184466021E-2</v>
      </c>
      <c r="K198" t="s">
        <v>1446</v>
      </c>
      <c r="L198" t="s">
        <v>417</v>
      </c>
    </row>
    <row r="199" spans="1:12" x14ac:dyDescent="0.25">
      <c r="A199" t="s">
        <v>519</v>
      </c>
      <c r="B199" t="s">
        <v>22</v>
      </c>
      <c r="C199" t="s">
        <v>159</v>
      </c>
      <c r="D199" s="4" t="s">
        <v>475</v>
      </c>
      <c r="E199" s="4" t="s">
        <v>507</v>
      </c>
      <c r="F199" s="4" t="s">
        <v>363</v>
      </c>
      <c r="G199" t="s">
        <v>235</v>
      </c>
      <c r="H199" t="s">
        <v>417</v>
      </c>
      <c r="I199" s="3">
        <f>RUSH__2[[#This Row],[TD]]/RUSH__2[[#This Row],[Rec]]</f>
        <v>0</v>
      </c>
      <c r="J199" s="3">
        <f>D199/(VLOOKUP(B199,'2025 Team'!$B$2:$G$33,2,FALSE))</f>
        <v>5.7347670250896057E-2</v>
      </c>
      <c r="K199" t="s">
        <v>1447</v>
      </c>
      <c r="L199" t="s">
        <v>417</v>
      </c>
    </row>
    <row r="200" spans="1:12" x14ac:dyDescent="0.25">
      <c r="A200" t="s">
        <v>793</v>
      </c>
      <c r="B200" t="s">
        <v>8</v>
      </c>
      <c r="C200" t="s">
        <v>153</v>
      </c>
      <c r="D200" s="4" t="s">
        <v>461</v>
      </c>
      <c r="E200" s="4" t="s">
        <v>639</v>
      </c>
      <c r="F200" s="4" t="s">
        <v>1285</v>
      </c>
      <c r="G200" t="s">
        <v>662</v>
      </c>
      <c r="H200" t="s">
        <v>417</v>
      </c>
      <c r="I200" s="3">
        <f>RUSH__2[[#This Row],[TD]]/RUSH__2[[#This Row],[Rec]]</f>
        <v>0</v>
      </c>
      <c r="J200" s="3">
        <f>D200/(VLOOKUP(B200,'2025 Team'!$B$2:$G$33,2,FALSE))</f>
        <v>5.7010785824345149E-2</v>
      </c>
      <c r="K200" t="s">
        <v>1448</v>
      </c>
      <c r="L200" t="s">
        <v>300</v>
      </c>
    </row>
    <row r="201" spans="1:12" x14ac:dyDescent="0.25">
      <c r="A201" t="s">
        <v>443</v>
      </c>
      <c r="B201" t="s">
        <v>56</v>
      </c>
      <c r="C201" t="s">
        <v>159</v>
      </c>
      <c r="D201" s="4" t="s">
        <v>496</v>
      </c>
      <c r="E201" s="4" t="s">
        <v>528</v>
      </c>
      <c r="F201" s="4" t="s">
        <v>463</v>
      </c>
      <c r="G201" t="s">
        <v>1370</v>
      </c>
      <c r="H201" t="s">
        <v>417</v>
      </c>
      <c r="I201" s="3">
        <f>RUSH__2[[#This Row],[TD]]/RUSH__2[[#This Row],[Rec]]</f>
        <v>0</v>
      </c>
      <c r="J201" s="3">
        <f>D201/(VLOOKUP(B201,'2025 Team'!$B$2:$G$33,2,FALSE))</f>
        <v>5.6680161943319839E-2</v>
      </c>
      <c r="K201" t="s">
        <v>1321</v>
      </c>
      <c r="L201" t="s">
        <v>417</v>
      </c>
    </row>
    <row r="202" spans="1:12" x14ac:dyDescent="0.25">
      <c r="A202" t="s">
        <v>932</v>
      </c>
      <c r="B202" t="s">
        <v>40</v>
      </c>
      <c r="C202" t="s">
        <v>163</v>
      </c>
      <c r="D202" s="4" t="s">
        <v>503</v>
      </c>
      <c r="E202" s="4" t="s">
        <v>524</v>
      </c>
      <c r="F202" s="4" t="s">
        <v>1354</v>
      </c>
      <c r="G202" t="s">
        <v>1164</v>
      </c>
      <c r="H202" t="s">
        <v>417</v>
      </c>
      <c r="I202" s="3">
        <f>RUSH__2[[#This Row],[TD]]/RUSH__2[[#This Row],[Rec]]</f>
        <v>0</v>
      </c>
      <c r="J202" s="3">
        <f>D202/(VLOOKUP(B202,'2025 Team'!$B$2:$G$33,2,FALSE))</f>
        <v>5.6310679611650483E-2</v>
      </c>
      <c r="K202" t="s">
        <v>1179</v>
      </c>
      <c r="L202" t="s">
        <v>417</v>
      </c>
    </row>
    <row r="203" spans="1:12" x14ac:dyDescent="0.25">
      <c r="A203" t="s">
        <v>925</v>
      </c>
      <c r="B203" t="s">
        <v>44</v>
      </c>
      <c r="C203" t="s">
        <v>153</v>
      </c>
      <c r="D203" s="4" t="s">
        <v>485</v>
      </c>
      <c r="E203" s="4" t="s">
        <v>487</v>
      </c>
      <c r="F203" s="4" t="s">
        <v>1431</v>
      </c>
      <c r="G203" t="s">
        <v>1381</v>
      </c>
      <c r="H203" t="s">
        <v>314</v>
      </c>
      <c r="I203" s="3">
        <f>RUSH__2[[#This Row],[TD]]/RUSH__2[[#This Row],[Rec]]</f>
        <v>0.125</v>
      </c>
      <c r="J203" s="3">
        <f>D203/(VLOOKUP(B203,'2025 Team'!$B$2:$G$33,2,FALSE))</f>
        <v>5.5183946488294312E-2</v>
      </c>
      <c r="K203" t="s">
        <v>1117</v>
      </c>
      <c r="L203" t="s">
        <v>417</v>
      </c>
    </row>
    <row r="204" spans="1:12" x14ac:dyDescent="0.25">
      <c r="A204" t="s">
        <v>862</v>
      </c>
      <c r="B204" t="s">
        <v>24</v>
      </c>
      <c r="C204" t="s">
        <v>163</v>
      </c>
      <c r="D204" s="4" t="s">
        <v>679</v>
      </c>
      <c r="E204" s="4" t="s">
        <v>202</v>
      </c>
      <c r="F204" s="4" t="s">
        <v>1449</v>
      </c>
      <c r="G204" t="s">
        <v>680</v>
      </c>
      <c r="H204" t="s">
        <v>300</v>
      </c>
      <c r="I204" s="3">
        <f>RUSH__2[[#This Row],[TD]]/RUSH__2[[#This Row],[Rec]]</f>
        <v>5.5555555555555552E-2</v>
      </c>
      <c r="J204" s="3">
        <f>D204/(VLOOKUP(B204,'2025 Team'!$B$2:$G$33,2,FALSE))</f>
        <v>5.4487179487179488E-2</v>
      </c>
      <c r="K204" t="s">
        <v>1450</v>
      </c>
      <c r="L204" t="s">
        <v>417</v>
      </c>
    </row>
    <row r="205" spans="1:12" x14ac:dyDescent="0.25">
      <c r="A205" t="s">
        <v>1006</v>
      </c>
      <c r="B205" t="s">
        <v>64</v>
      </c>
      <c r="C205" t="s">
        <v>153</v>
      </c>
      <c r="D205" s="4" t="s">
        <v>507</v>
      </c>
      <c r="E205" s="4" t="s">
        <v>557</v>
      </c>
      <c r="F205" s="4" t="s">
        <v>1443</v>
      </c>
      <c r="G205" t="s">
        <v>1132</v>
      </c>
      <c r="H205" t="s">
        <v>300</v>
      </c>
      <c r="I205" s="3">
        <f>RUSH__2[[#This Row],[TD]]/RUSH__2[[#This Row],[Rec]]</f>
        <v>6.6666666666666666E-2</v>
      </c>
      <c r="J205" s="3">
        <f>D205/(VLOOKUP(B205,'2025 Team'!$B$2:$G$33,2,FALSE))</f>
        <v>5.4054054054054057E-2</v>
      </c>
      <c r="K205" t="s">
        <v>1451</v>
      </c>
      <c r="L205" t="s">
        <v>300</v>
      </c>
    </row>
    <row r="206" spans="1:12" x14ac:dyDescent="0.25">
      <c r="A206" t="s">
        <v>621</v>
      </c>
      <c r="B206" t="s">
        <v>64</v>
      </c>
      <c r="C206" t="s">
        <v>163</v>
      </c>
      <c r="D206" s="4" t="s">
        <v>507</v>
      </c>
      <c r="E206" s="4" t="s">
        <v>557</v>
      </c>
      <c r="F206" s="4" t="s">
        <v>1452</v>
      </c>
      <c r="G206" t="s">
        <v>1065</v>
      </c>
      <c r="H206" t="s">
        <v>417</v>
      </c>
      <c r="I206" s="3">
        <f>RUSH__2[[#This Row],[TD]]/RUSH__2[[#This Row],[Rec]]</f>
        <v>0</v>
      </c>
      <c r="J206" s="3">
        <f>D206/(VLOOKUP(B206,'2025 Team'!$B$2:$G$33,2,FALSE))</f>
        <v>5.4054054054054057E-2</v>
      </c>
      <c r="K206" t="s">
        <v>1451</v>
      </c>
      <c r="L206" t="s">
        <v>300</v>
      </c>
    </row>
    <row r="207" spans="1:12" x14ac:dyDescent="0.25">
      <c r="A207" t="s">
        <v>302</v>
      </c>
      <c r="B207" t="s">
        <v>18</v>
      </c>
      <c r="C207" t="s">
        <v>159</v>
      </c>
      <c r="D207" s="4" t="s">
        <v>639</v>
      </c>
      <c r="E207" s="4" t="s">
        <v>202</v>
      </c>
      <c r="F207" s="4" t="s">
        <v>453</v>
      </c>
      <c r="G207" t="s">
        <v>622</v>
      </c>
      <c r="H207" t="s">
        <v>417</v>
      </c>
      <c r="I207" s="3">
        <f>RUSH__2[[#This Row],[TD]]/RUSH__2[[#This Row],[Rec]]</f>
        <v>0</v>
      </c>
      <c r="J207" s="3">
        <f>D207/(VLOOKUP(B207,'2025 Team'!$B$2:$G$33,2,FALSE))</f>
        <v>5.2264808362369339E-2</v>
      </c>
      <c r="K207" t="s">
        <v>1290</v>
      </c>
      <c r="L207" t="s">
        <v>417</v>
      </c>
    </row>
    <row r="208" spans="1:12" x14ac:dyDescent="0.25">
      <c r="A208" t="s">
        <v>967</v>
      </c>
      <c r="B208" t="s">
        <v>50</v>
      </c>
      <c r="C208" t="s">
        <v>153</v>
      </c>
      <c r="D208" s="4" t="s">
        <v>507</v>
      </c>
      <c r="E208" s="4" t="s">
        <v>528</v>
      </c>
      <c r="F208" s="4" t="s">
        <v>1413</v>
      </c>
      <c r="G208" t="s">
        <v>1065</v>
      </c>
      <c r="H208" t="s">
        <v>289</v>
      </c>
      <c r="I208" s="3">
        <f>RUSH__2[[#This Row],[TD]]/RUSH__2[[#This Row],[Rec]]</f>
        <v>9.5238095238095233E-2</v>
      </c>
      <c r="J208" s="3">
        <f>D208/(VLOOKUP(B208,'2025 Team'!$B$2:$G$33,2,FALSE))</f>
        <v>5.1792828685258967E-2</v>
      </c>
      <c r="K208" t="s">
        <v>1453</v>
      </c>
      <c r="L208" t="s">
        <v>417</v>
      </c>
    </row>
    <row r="209" spans="1:12" x14ac:dyDescent="0.25">
      <c r="A209" t="s">
        <v>722</v>
      </c>
      <c r="B209" t="s">
        <v>28</v>
      </c>
      <c r="C209" t="s">
        <v>163</v>
      </c>
      <c r="D209" s="4" t="s">
        <v>639</v>
      </c>
      <c r="E209" s="4" t="s">
        <v>487</v>
      </c>
      <c r="F209" s="4" t="s">
        <v>1454</v>
      </c>
      <c r="G209" t="s">
        <v>752</v>
      </c>
      <c r="H209" t="s">
        <v>300</v>
      </c>
      <c r="I209" s="3">
        <f>RUSH__2[[#This Row],[TD]]/RUSH__2[[#This Row],[Rec]]</f>
        <v>4.1666666666666664E-2</v>
      </c>
      <c r="J209" s="3">
        <f>D209/(VLOOKUP(B209,'2025 Team'!$B$2:$G$33,2,FALSE))</f>
        <v>5.1546391752577317E-2</v>
      </c>
      <c r="K209" t="s">
        <v>1329</v>
      </c>
      <c r="L209" t="s">
        <v>417</v>
      </c>
    </row>
    <row r="210" spans="1:12" x14ac:dyDescent="0.25">
      <c r="A210" t="s">
        <v>636</v>
      </c>
      <c r="B210" t="s">
        <v>8</v>
      </c>
      <c r="C210" t="s">
        <v>163</v>
      </c>
      <c r="D210" s="4" t="s">
        <v>485</v>
      </c>
      <c r="E210" s="4" t="s">
        <v>503</v>
      </c>
      <c r="F210" s="4" t="s">
        <v>437</v>
      </c>
      <c r="G210" t="s">
        <v>473</v>
      </c>
      <c r="H210" t="s">
        <v>314</v>
      </c>
      <c r="I210" s="3">
        <f>RUSH__2[[#This Row],[TD]]/RUSH__2[[#This Row],[Rec]]</f>
        <v>0.10344827586206896</v>
      </c>
      <c r="J210" s="3">
        <f>D210/(VLOOKUP(B210,'2025 Team'!$B$2:$G$33,2,FALSE))</f>
        <v>5.0847457627118647E-2</v>
      </c>
      <c r="K210" t="s">
        <v>1455</v>
      </c>
      <c r="L210" t="s">
        <v>300</v>
      </c>
    </row>
    <row r="211" spans="1:12" x14ac:dyDescent="0.25">
      <c r="A211" t="s">
        <v>627</v>
      </c>
      <c r="B211" t="s">
        <v>26</v>
      </c>
      <c r="C211" t="s">
        <v>159</v>
      </c>
      <c r="D211" s="4" t="s">
        <v>493</v>
      </c>
      <c r="E211" s="4" t="s">
        <v>541</v>
      </c>
      <c r="F211" s="4" t="s">
        <v>1063</v>
      </c>
      <c r="G211" t="s">
        <v>656</v>
      </c>
      <c r="H211" t="s">
        <v>417</v>
      </c>
      <c r="I211" s="3">
        <f>RUSH__2[[#This Row],[TD]]/RUSH__2[[#This Row],[Rec]]</f>
        <v>0</v>
      </c>
      <c r="J211" s="3">
        <f>D211/(VLOOKUP(B211,'2025 Team'!$B$2:$G$33,2,FALSE))</f>
        <v>5.0570962479608482E-2</v>
      </c>
      <c r="K211" t="s">
        <v>1456</v>
      </c>
      <c r="L211" t="s">
        <v>417</v>
      </c>
    </row>
    <row r="212" spans="1:12" x14ac:dyDescent="0.25">
      <c r="A212" t="s">
        <v>833</v>
      </c>
      <c r="B212" t="s">
        <v>16</v>
      </c>
      <c r="C212" t="s">
        <v>163</v>
      </c>
      <c r="D212" s="4" t="s">
        <v>507</v>
      </c>
      <c r="E212" s="4" t="s">
        <v>557</v>
      </c>
      <c r="F212" s="4" t="s">
        <v>559</v>
      </c>
      <c r="G212" t="s">
        <v>420</v>
      </c>
      <c r="H212" t="s">
        <v>289</v>
      </c>
      <c r="I212" s="3">
        <f>RUSH__2[[#This Row],[TD]]/RUSH__2[[#This Row],[Rec]]</f>
        <v>0.13333333333333333</v>
      </c>
      <c r="J212" s="3">
        <f>D212/(VLOOKUP(B212,'2025 Team'!$B$2:$G$33,2,FALSE))</f>
        <v>5.0485436893203881E-2</v>
      </c>
      <c r="K212" t="s">
        <v>1451</v>
      </c>
      <c r="L212" t="s">
        <v>417</v>
      </c>
    </row>
    <row r="213" spans="1:12" x14ac:dyDescent="0.25">
      <c r="A213" t="s">
        <v>274</v>
      </c>
      <c r="B213" t="s">
        <v>64</v>
      </c>
      <c r="C213" t="s">
        <v>159</v>
      </c>
      <c r="D213" s="4" t="s">
        <v>487</v>
      </c>
      <c r="E213" s="4" t="s">
        <v>524</v>
      </c>
      <c r="F213" s="4" t="s">
        <v>1457</v>
      </c>
      <c r="G213" t="s">
        <v>1458</v>
      </c>
      <c r="H213" t="s">
        <v>417</v>
      </c>
      <c r="I213" s="3">
        <f>RUSH__2[[#This Row],[TD]]/RUSH__2[[#This Row],[Rec]]</f>
        <v>0</v>
      </c>
      <c r="J213" s="3">
        <f>D213/(VLOOKUP(B213,'2025 Team'!$B$2:$G$33,2,FALSE))</f>
        <v>4.9896049896049899E-2</v>
      </c>
      <c r="K213" t="s">
        <v>1133</v>
      </c>
      <c r="L213" t="s">
        <v>417</v>
      </c>
    </row>
    <row r="214" spans="1:12" x14ac:dyDescent="0.25">
      <c r="A214" t="s">
        <v>158</v>
      </c>
      <c r="B214" t="s">
        <v>28</v>
      </c>
      <c r="C214" t="s">
        <v>159</v>
      </c>
      <c r="D214" s="4" t="s">
        <v>503</v>
      </c>
      <c r="E214" s="4" t="s">
        <v>487</v>
      </c>
      <c r="F214" s="4" t="s">
        <v>1432</v>
      </c>
      <c r="G214" t="s">
        <v>531</v>
      </c>
      <c r="H214" t="s">
        <v>417</v>
      </c>
      <c r="I214" s="3">
        <f>RUSH__2[[#This Row],[TD]]/RUSH__2[[#This Row],[Rec]]</f>
        <v>0</v>
      </c>
      <c r="J214" s="3">
        <f>D214/(VLOOKUP(B214,'2025 Team'!$B$2:$G$33,2,FALSE))</f>
        <v>4.9828178694158079E-2</v>
      </c>
      <c r="K214" t="s">
        <v>1459</v>
      </c>
      <c r="L214" t="s">
        <v>289</v>
      </c>
    </row>
    <row r="215" spans="1:12" x14ac:dyDescent="0.25">
      <c r="A215" t="s">
        <v>166</v>
      </c>
      <c r="B215" t="s">
        <v>12</v>
      </c>
      <c r="C215" t="s">
        <v>159</v>
      </c>
      <c r="D215" s="4" t="s">
        <v>528</v>
      </c>
      <c r="E215" s="4" t="s">
        <v>557</v>
      </c>
      <c r="F215" s="4" t="s">
        <v>1460</v>
      </c>
      <c r="G215" t="s">
        <v>662</v>
      </c>
      <c r="H215" t="s">
        <v>417</v>
      </c>
      <c r="I215" s="3">
        <f>RUSH__2[[#This Row],[TD]]/RUSH__2[[#This Row],[Rec]]</f>
        <v>0</v>
      </c>
      <c r="J215" s="3">
        <f>D215/(VLOOKUP(B215,'2025 Team'!$B$2:$G$33,2,FALSE))</f>
        <v>4.9763033175355451E-2</v>
      </c>
      <c r="K215" t="s">
        <v>1363</v>
      </c>
      <c r="L215" t="s">
        <v>229</v>
      </c>
    </row>
    <row r="216" spans="1:12" x14ac:dyDescent="0.25">
      <c r="A216" t="s">
        <v>969</v>
      </c>
      <c r="B216" t="s">
        <v>54</v>
      </c>
      <c r="C216" t="s">
        <v>153</v>
      </c>
      <c r="D216" s="4" t="s">
        <v>507</v>
      </c>
      <c r="E216" s="4" t="s">
        <v>541</v>
      </c>
      <c r="F216" s="4" t="s">
        <v>1461</v>
      </c>
      <c r="G216" t="s">
        <v>1058</v>
      </c>
      <c r="H216" t="s">
        <v>289</v>
      </c>
      <c r="I216" s="3">
        <f>RUSH__2[[#This Row],[TD]]/RUSH__2[[#This Row],[Rec]]</f>
        <v>0.10526315789473684</v>
      </c>
      <c r="J216" s="3">
        <f>D216/(VLOOKUP(B216,'2025 Team'!$B$2:$G$33,2,FALSE))</f>
        <v>4.9429657794676805E-2</v>
      </c>
      <c r="K216" t="s">
        <v>1462</v>
      </c>
      <c r="L216" t="s">
        <v>417</v>
      </c>
    </row>
    <row r="217" spans="1:12" x14ac:dyDescent="0.25">
      <c r="A217" t="s">
        <v>731</v>
      </c>
      <c r="B217" t="s">
        <v>70</v>
      </c>
      <c r="C217" t="s">
        <v>163</v>
      </c>
      <c r="D217" s="4" t="s">
        <v>510</v>
      </c>
      <c r="E217" s="4" t="s">
        <v>266</v>
      </c>
      <c r="F217" s="4" t="s">
        <v>1439</v>
      </c>
      <c r="G217" t="s">
        <v>1392</v>
      </c>
      <c r="H217" t="s">
        <v>300</v>
      </c>
      <c r="I217" s="3">
        <f>RUSH__2[[#This Row],[TD]]/RUSH__2[[#This Row],[Rec]]</f>
        <v>9.0909090909090912E-2</v>
      </c>
      <c r="J217" s="3">
        <f>D217/(VLOOKUP(B217,'2025 Team'!$B$2:$G$33,2,FALSE))</f>
        <v>4.9040511727078892E-2</v>
      </c>
      <c r="K217" t="s">
        <v>1463</v>
      </c>
      <c r="L217" t="s">
        <v>417</v>
      </c>
    </row>
    <row r="218" spans="1:12" x14ac:dyDescent="0.25">
      <c r="A218" t="s">
        <v>718</v>
      </c>
      <c r="B218" t="s">
        <v>62</v>
      </c>
      <c r="C218" t="s">
        <v>613</v>
      </c>
      <c r="D218" s="4" t="s">
        <v>496</v>
      </c>
      <c r="E218" s="4" t="s">
        <v>487</v>
      </c>
      <c r="F218" s="4" t="s">
        <v>1464</v>
      </c>
      <c r="G218" t="s">
        <v>1370</v>
      </c>
      <c r="H218" t="s">
        <v>289</v>
      </c>
      <c r="I218" s="3">
        <f>RUSH__2[[#This Row],[TD]]/RUSH__2[[#This Row],[Rec]]</f>
        <v>8.3333333333333329E-2</v>
      </c>
      <c r="J218" s="3">
        <f>D218/(VLOOKUP(B218,'2025 Team'!$B$2:$G$33,2,FALSE))</f>
        <v>4.878048780487805E-2</v>
      </c>
      <c r="K218" t="s">
        <v>1430</v>
      </c>
      <c r="L218" t="s">
        <v>417</v>
      </c>
    </row>
    <row r="219" spans="1:12" x14ac:dyDescent="0.25">
      <c r="A219" t="s">
        <v>749</v>
      </c>
      <c r="B219" t="s">
        <v>16</v>
      </c>
      <c r="C219" t="s">
        <v>153</v>
      </c>
      <c r="D219" s="4" t="s">
        <v>500</v>
      </c>
      <c r="E219" s="4" t="s">
        <v>541</v>
      </c>
      <c r="F219" s="4" t="s">
        <v>1422</v>
      </c>
      <c r="G219" t="s">
        <v>732</v>
      </c>
      <c r="H219" t="s">
        <v>289</v>
      </c>
      <c r="I219" s="3">
        <f>RUSH__2[[#This Row],[TD]]/RUSH__2[[#This Row],[Rec]]</f>
        <v>0.10526315789473684</v>
      </c>
      <c r="J219" s="3">
        <f>D219/(VLOOKUP(B219,'2025 Team'!$B$2:$G$33,2,FALSE))</f>
        <v>4.8543689320388349E-2</v>
      </c>
      <c r="K219" t="s">
        <v>1465</v>
      </c>
      <c r="L219" t="s">
        <v>417</v>
      </c>
    </row>
    <row r="220" spans="1:12" x14ac:dyDescent="0.25">
      <c r="A220" t="s">
        <v>407</v>
      </c>
      <c r="B220" t="s">
        <v>8</v>
      </c>
      <c r="C220" t="s">
        <v>159</v>
      </c>
      <c r="D220" s="4" t="s">
        <v>493</v>
      </c>
      <c r="E220" s="4" t="s">
        <v>514</v>
      </c>
      <c r="F220" s="4" t="s">
        <v>518</v>
      </c>
      <c r="G220" t="s">
        <v>691</v>
      </c>
      <c r="H220" t="s">
        <v>300</v>
      </c>
      <c r="I220" s="3">
        <f>RUSH__2[[#This Row],[TD]]/RUSH__2[[#This Row],[Rec]]</f>
        <v>4.5454545454545456E-2</v>
      </c>
      <c r="J220" s="3">
        <f>D220/(VLOOKUP(B220,'2025 Team'!$B$2:$G$33,2,FALSE))</f>
        <v>4.7765793528505393E-2</v>
      </c>
      <c r="K220" t="s">
        <v>1276</v>
      </c>
      <c r="L220" t="s">
        <v>300</v>
      </c>
    </row>
    <row r="221" spans="1:12" x14ac:dyDescent="0.25">
      <c r="A221" t="s">
        <v>187</v>
      </c>
      <c r="B221" t="s">
        <v>70</v>
      </c>
      <c r="C221" t="s">
        <v>163</v>
      </c>
      <c r="D221" s="4" t="s">
        <v>514</v>
      </c>
      <c r="E221" s="4" t="s">
        <v>211</v>
      </c>
      <c r="F221" s="4" t="s">
        <v>325</v>
      </c>
      <c r="G221" t="s">
        <v>1466</v>
      </c>
      <c r="H221" t="s">
        <v>300</v>
      </c>
      <c r="I221" s="3">
        <f>RUSH__2[[#This Row],[TD]]/RUSH__2[[#This Row],[Rec]]</f>
        <v>0.1</v>
      </c>
      <c r="J221" s="3">
        <f>D221/(VLOOKUP(B221,'2025 Team'!$B$2:$G$33,2,FALSE))</f>
        <v>4.6908315565031986E-2</v>
      </c>
      <c r="K221" t="s">
        <v>1467</v>
      </c>
      <c r="L221" t="s">
        <v>417</v>
      </c>
    </row>
    <row r="222" spans="1:12" x14ac:dyDescent="0.25">
      <c r="A222" t="s">
        <v>829</v>
      </c>
      <c r="B222" t="s">
        <v>14</v>
      </c>
      <c r="C222" t="s">
        <v>163</v>
      </c>
      <c r="D222" s="4" t="s">
        <v>510</v>
      </c>
      <c r="E222" s="4" t="s">
        <v>557</v>
      </c>
      <c r="F222" s="4" t="s">
        <v>1468</v>
      </c>
      <c r="G222" t="s">
        <v>1469</v>
      </c>
      <c r="H222" t="s">
        <v>300</v>
      </c>
      <c r="I222" s="3">
        <f>RUSH__2[[#This Row],[TD]]/RUSH__2[[#This Row],[Rec]]</f>
        <v>6.6666666666666666E-2</v>
      </c>
      <c r="J222" s="3">
        <f>D222/(VLOOKUP(B222,'2025 Team'!$B$2:$G$33,2,FALSE))</f>
        <v>4.6464646464646465E-2</v>
      </c>
      <c r="K222" t="s">
        <v>1337</v>
      </c>
      <c r="L222" t="s">
        <v>417</v>
      </c>
    </row>
    <row r="223" spans="1:12" x14ac:dyDescent="0.25">
      <c r="A223" t="s">
        <v>875</v>
      </c>
      <c r="B223" t="s">
        <v>28</v>
      </c>
      <c r="C223" t="s">
        <v>163</v>
      </c>
      <c r="D223" s="4" t="s">
        <v>490</v>
      </c>
      <c r="E223" s="4" t="s">
        <v>193</v>
      </c>
      <c r="F223" s="4" t="s">
        <v>1364</v>
      </c>
      <c r="G223" t="s">
        <v>1096</v>
      </c>
      <c r="H223" t="s">
        <v>247</v>
      </c>
      <c r="I223" s="3">
        <f>RUSH__2[[#This Row],[TD]]/RUSH__2[[#This Row],[Rec]]</f>
        <v>0.375</v>
      </c>
      <c r="J223" s="3">
        <f>D223/(VLOOKUP(B223,'2025 Team'!$B$2:$G$33,2,FALSE))</f>
        <v>4.6391752577319589E-2</v>
      </c>
      <c r="K223" t="s">
        <v>1470</v>
      </c>
      <c r="L223" t="s">
        <v>417</v>
      </c>
    </row>
    <row r="224" spans="1:12" x14ac:dyDescent="0.25">
      <c r="A224" t="s">
        <v>1008</v>
      </c>
      <c r="B224" t="s">
        <v>64</v>
      </c>
      <c r="C224" t="s">
        <v>163</v>
      </c>
      <c r="D224" s="4" t="s">
        <v>514</v>
      </c>
      <c r="E224" s="4" t="s">
        <v>234</v>
      </c>
      <c r="F224" s="4" t="s">
        <v>1471</v>
      </c>
      <c r="G224" t="s">
        <v>1360</v>
      </c>
      <c r="H224" t="s">
        <v>220</v>
      </c>
      <c r="I224" s="3">
        <f>RUSH__2[[#This Row],[TD]]/RUSH__2[[#This Row],[Rec]]</f>
        <v>0.38461538461538464</v>
      </c>
      <c r="J224" s="3">
        <f>D224/(VLOOKUP(B224,'2025 Team'!$B$2:$G$33,2,FALSE))</f>
        <v>4.5738045738045741E-2</v>
      </c>
      <c r="K224" t="s">
        <v>1472</v>
      </c>
      <c r="L224" t="s">
        <v>417</v>
      </c>
    </row>
    <row r="225" spans="1:12" x14ac:dyDescent="0.25">
      <c r="A225" t="s">
        <v>675</v>
      </c>
      <c r="B225" t="s">
        <v>30</v>
      </c>
      <c r="C225" t="s">
        <v>163</v>
      </c>
      <c r="D225" s="4" t="s">
        <v>514</v>
      </c>
      <c r="E225" s="4" t="s">
        <v>541</v>
      </c>
      <c r="F225" s="4" t="s">
        <v>1439</v>
      </c>
      <c r="G225" t="s">
        <v>1184</v>
      </c>
      <c r="H225" t="s">
        <v>300</v>
      </c>
      <c r="I225" s="3">
        <f>RUSH__2[[#This Row],[TD]]/RUSH__2[[#This Row],[Rec]]</f>
        <v>5.2631578947368418E-2</v>
      </c>
      <c r="J225" s="3">
        <f>D225/(VLOOKUP(B225,'2025 Team'!$B$2:$G$33,2,FALSE))</f>
        <v>4.4989775051124746E-2</v>
      </c>
      <c r="K225" t="s">
        <v>1473</v>
      </c>
      <c r="L225" t="s">
        <v>417</v>
      </c>
    </row>
    <row r="226" spans="1:12" x14ac:dyDescent="0.25">
      <c r="A226" t="s">
        <v>365</v>
      </c>
      <c r="B226" t="s">
        <v>38</v>
      </c>
      <c r="C226" t="s">
        <v>159</v>
      </c>
      <c r="D226" s="4" t="s">
        <v>507</v>
      </c>
      <c r="E226" s="4" t="s">
        <v>541</v>
      </c>
      <c r="F226" s="4" t="s">
        <v>369</v>
      </c>
      <c r="G226" t="s">
        <v>492</v>
      </c>
      <c r="H226" t="s">
        <v>300</v>
      </c>
      <c r="I226" s="3">
        <f>RUSH__2[[#This Row],[TD]]/RUSH__2[[#This Row],[Rec]]</f>
        <v>5.2631578947368418E-2</v>
      </c>
      <c r="J226" s="3">
        <f>D226/(VLOOKUP(B226,'2025 Team'!$B$2:$G$33,2,FALSE))</f>
        <v>4.4520547945205477E-2</v>
      </c>
      <c r="K226" t="s">
        <v>1462</v>
      </c>
      <c r="L226" t="s">
        <v>417</v>
      </c>
    </row>
    <row r="227" spans="1:12" x14ac:dyDescent="0.25">
      <c r="A227" t="s">
        <v>305</v>
      </c>
      <c r="B227" t="s">
        <v>38</v>
      </c>
      <c r="C227" t="s">
        <v>159</v>
      </c>
      <c r="D227" s="4" t="s">
        <v>500</v>
      </c>
      <c r="E227" s="4" t="s">
        <v>202</v>
      </c>
      <c r="F227" s="4" t="s">
        <v>318</v>
      </c>
      <c r="G227" t="s">
        <v>599</v>
      </c>
      <c r="H227" t="s">
        <v>300</v>
      </c>
      <c r="I227" s="3">
        <f>RUSH__2[[#This Row],[TD]]/RUSH__2[[#This Row],[Rec]]</f>
        <v>5.5555555555555552E-2</v>
      </c>
      <c r="J227" s="3">
        <f>D227/(VLOOKUP(B227,'2025 Team'!$B$2:$G$33,2,FALSE))</f>
        <v>4.2808219178082189E-2</v>
      </c>
      <c r="K227" t="s">
        <v>1378</v>
      </c>
      <c r="L227" t="s">
        <v>289</v>
      </c>
    </row>
    <row r="228" spans="1:12" x14ac:dyDescent="0.25">
      <c r="A228" t="s">
        <v>904</v>
      </c>
      <c r="B228" t="s">
        <v>36</v>
      </c>
      <c r="C228" t="s">
        <v>163</v>
      </c>
      <c r="D228" s="4" t="s">
        <v>487</v>
      </c>
      <c r="E228" s="4" t="s">
        <v>557</v>
      </c>
      <c r="F228" s="4" t="s">
        <v>483</v>
      </c>
      <c r="G228" t="s">
        <v>1065</v>
      </c>
      <c r="H228" t="s">
        <v>314</v>
      </c>
      <c r="I228" s="3">
        <f>RUSH__2[[#This Row],[TD]]/RUSH__2[[#This Row],[Rec]]</f>
        <v>0.2</v>
      </c>
      <c r="J228" s="3">
        <f>D228/(VLOOKUP(B228,'2025 Team'!$B$2:$G$33,2,FALSE))</f>
        <v>4.2628774422735348E-2</v>
      </c>
      <c r="K228" t="s">
        <v>1185</v>
      </c>
      <c r="L228" t="s">
        <v>417</v>
      </c>
    </row>
    <row r="229" spans="1:12" x14ac:dyDescent="0.25">
      <c r="A229" t="s">
        <v>981</v>
      </c>
      <c r="B229" t="s">
        <v>56</v>
      </c>
      <c r="C229" t="s">
        <v>163</v>
      </c>
      <c r="D229" s="4" t="s">
        <v>528</v>
      </c>
      <c r="E229" s="4" t="s">
        <v>266</v>
      </c>
      <c r="F229" s="4" t="s">
        <v>369</v>
      </c>
      <c r="G229" t="s">
        <v>1273</v>
      </c>
      <c r="H229" t="s">
        <v>417</v>
      </c>
      <c r="I229" s="3">
        <f>RUSH__2[[#This Row],[TD]]/RUSH__2[[#This Row],[Rec]]</f>
        <v>0</v>
      </c>
      <c r="J229" s="3">
        <f>D229/(VLOOKUP(B229,'2025 Team'!$B$2:$G$33,2,FALSE))</f>
        <v>4.2510121457489877E-2</v>
      </c>
      <c r="K229" t="s">
        <v>1474</v>
      </c>
      <c r="L229" t="s">
        <v>417</v>
      </c>
    </row>
    <row r="230" spans="1:12" x14ac:dyDescent="0.25">
      <c r="A230" t="s">
        <v>820</v>
      </c>
      <c r="B230" t="s">
        <v>52</v>
      </c>
      <c r="C230" t="s">
        <v>163</v>
      </c>
      <c r="D230" s="4" t="s">
        <v>500</v>
      </c>
      <c r="E230" s="4" t="s">
        <v>541</v>
      </c>
      <c r="F230" s="4" t="s">
        <v>1475</v>
      </c>
      <c r="G230" t="s">
        <v>1381</v>
      </c>
      <c r="H230" t="s">
        <v>417</v>
      </c>
      <c r="I230" s="3">
        <f>RUSH__2[[#This Row],[TD]]/RUSH__2[[#This Row],[Rec]]</f>
        <v>0</v>
      </c>
      <c r="J230" s="3">
        <f>D230/(VLOOKUP(B230,'2025 Team'!$B$2:$G$33,2,FALSE))</f>
        <v>4.2301184433164128E-2</v>
      </c>
      <c r="K230" t="s">
        <v>1465</v>
      </c>
      <c r="L230" t="s">
        <v>417</v>
      </c>
    </row>
    <row r="231" spans="1:12" x14ac:dyDescent="0.25">
      <c r="A231" t="s">
        <v>703</v>
      </c>
      <c r="B231" t="s">
        <v>50</v>
      </c>
      <c r="C231" t="s">
        <v>163</v>
      </c>
      <c r="D231" s="4" t="s">
        <v>528</v>
      </c>
      <c r="E231" s="4" t="s">
        <v>211</v>
      </c>
      <c r="F231" s="4" t="s">
        <v>451</v>
      </c>
      <c r="G231" t="s">
        <v>1476</v>
      </c>
      <c r="H231" t="s">
        <v>314</v>
      </c>
      <c r="I231" s="3">
        <f>RUSH__2[[#This Row],[TD]]/RUSH__2[[#This Row],[Rec]]</f>
        <v>0.3</v>
      </c>
      <c r="J231" s="3">
        <f>D231/(VLOOKUP(B231,'2025 Team'!$B$2:$G$33,2,FALSE))</f>
        <v>4.1832669322709161E-2</v>
      </c>
      <c r="K231" t="s">
        <v>1477</v>
      </c>
      <c r="L231" t="s">
        <v>417</v>
      </c>
    </row>
    <row r="232" spans="1:12" x14ac:dyDescent="0.25">
      <c r="A232" t="s">
        <v>692</v>
      </c>
      <c r="B232" t="s">
        <v>44</v>
      </c>
      <c r="C232" t="s">
        <v>163</v>
      </c>
      <c r="D232" s="4" t="s">
        <v>500</v>
      </c>
      <c r="E232" s="4" t="s">
        <v>202</v>
      </c>
      <c r="F232" s="4" t="s">
        <v>1422</v>
      </c>
      <c r="G232" t="s">
        <v>723</v>
      </c>
      <c r="H232" t="s">
        <v>417</v>
      </c>
      <c r="I232" s="3">
        <f>RUSH__2[[#This Row],[TD]]/RUSH__2[[#This Row],[Rec]]</f>
        <v>0</v>
      </c>
      <c r="J232" s="3">
        <f>D232/(VLOOKUP(B232,'2025 Team'!$B$2:$G$33,2,FALSE))</f>
        <v>4.1806020066889632E-2</v>
      </c>
      <c r="K232" t="s">
        <v>1378</v>
      </c>
      <c r="L232" t="s">
        <v>417</v>
      </c>
    </row>
    <row r="233" spans="1:12" x14ac:dyDescent="0.25">
      <c r="A233" t="s">
        <v>780</v>
      </c>
      <c r="B233" t="s">
        <v>44</v>
      </c>
      <c r="C233" t="s">
        <v>153</v>
      </c>
      <c r="D233" s="4" t="s">
        <v>500</v>
      </c>
      <c r="E233" s="4" t="s">
        <v>266</v>
      </c>
      <c r="F233" s="4" t="s">
        <v>1478</v>
      </c>
      <c r="G233" t="s">
        <v>1479</v>
      </c>
      <c r="H233" t="s">
        <v>314</v>
      </c>
      <c r="I233" s="3">
        <f>RUSH__2[[#This Row],[TD]]/RUSH__2[[#This Row],[Rec]]</f>
        <v>0.27272727272727271</v>
      </c>
      <c r="J233" s="3">
        <f>D233/(VLOOKUP(B233,'2025 Team'!$B$2:$G$33,2,FALSE))</f>
        <v>4.1806020066889632E-2</v>
      </c>
      <c r="K233" t="s">
        <v>1480</v>
      </c>
      <c r="L233" t="s">
        <v>417</v>
      </c>
    </row>
    <row r="234" spans="1:12" x14ac:dyDescent="0.25">
      <c r="A234" t="s">
        <v>943</v>
      </c>
      <c r="B234" t="s">
        <v>46</v>
      </c>
      <c r="C234" t="s">
        <v>153</v>
      </c>
      <c r="D234" s="4" t="s">
        <v>524</v>
      </c>
      <c r="E234" s="4" t="s">
        <v>557</v>
      </c>
      <c r="F234" s="4" t="s">
        <v>1077</v>
      </c>
      <c r="G234" t="s">
        <v>676</v>
      </c>
      <c r="H234" t="s">
        <v>417</v>
      </c>
      <c r="I234" s="3">
        <f>RUSH__2[[#This Row],[TD]]/RUSH__2[[#This Row],[Rec]]</f>
        <v>0</v>
      </c>
      <c r="J234" s="3">
        <f>D234/(VLOOKUP(B234,'2025 Team'!$B$2:$G$33,2,FALSE))</f>
        <v>4.1753653444676408E-2</v>
      </c>
      <c r="K234" t="s">
        <v>1321</v>
      </c>
      <c r="L234" t="s">
        <v>417</v>
      </c>
    </row>
    <row r="235" spans="1:12" x14ac:dyDescent="0.25">
      <c r="A235" t="s">
        <v>947</v>
      </c>
      <c r="B235" t="s">
        <v>46</v>
      </c>
      <c r="C235" t="s">
        <v>163</v>
      </c>
      <c r="D235" s="4" t="s">
        <v>524</v>
      </c>
      <c r="E235" s="4" t="s">
        <v>266</v>
      </c>
      <c r="F235" s="4" t="s">
        <v>559</v>
      </c>
      <c r="G235" t="s">
        <v>1328</v>
      </c>
      <c r="H235" t="s">
        <v>417</v>
      </c>
      <c r="I235" s="3">
        <f>RUSH__2[[#This Row],[TD]]/RUSH__2[[#This Row],[Rec]]</f>
        <v>0</v>
      </c>
      <c r="J235" s="3">
        <f>D235/(VLOOKUP(B235,'2025 Team'!$B$2:$G$33,2,FALSE))</f>
        <v>4.1753653444676408E-2</v>
      </c>
      <c r="K235" t="s">
        <v>1481</v>
      </c>
      <c r="L235" t="s">
        <v>417</v>
      </c>
    </row>
    <row r="236" spans="1:12" x14ac:dyDescent="0.25">
      <c r="A236" t="s">
        <v>930</v>
      </c>
      <c r="B236" t="s">
        <v>44</v>
      </c>
      <c r="C236" t="s">
        <v>163</v>
      </c>
      <c r="D236" s="4" t="s">
        <v>487</v>
      </c>
      <c r="E236" s="4" t="s">
        <v>202</v>
      </c>
      <c r="F236" s="4" t="s">
        <v>1400</v>
      </c>
      <c r="G236" t="s">
        <v>1482</v>
      </c>
      <c r="H236" t="s">
        <v>417</v>
      </c>
      <c r="I236" s="3">
        <f>RUSH__2[[#This Row],[TD]]/RUSH__2[[#This Row],[Rec]]</f>
        <v>0</v>
      </c>
      <c r="J236" s="3">
        <f>D236/(VLOOKUP(B236,'2025 Team'!$B$2:$G$33,2,FALSE))</f>
        <v>4.0133779264214048E-2</v>
      </c>
      <c r="K236" t="s">
        <v>1321</v>
      </c>
      <c r="L236" t="s">
        <v>417</v>
      </c>
    </row>
    <row r="237" spans="1:12" x14ac:dyDescent="0.25">
      <c r="A237" t="s">
        <v>950</v>
      </c>
      <c r="B237" t="s">
        <v>48</v>
      </c>
      <c r="C237" t="s">
        <v>153</v>
      </c>
      <c r="D237" s="4" t="s">
        <v>541</v>
      </c>
      <c r="E237" s="4" t="s">
        <v>557</v>
      </c>
      <c r="F237" s="4" t="s">
        <v>518</v>
      </c>
      <c r="G237" t="s">
        <v>1331</v>
      </c>
      <c r="H237" t="s">
        <v>229</v>
      </c>
      <c r="I237" s="3">
        <f>RUSH__2[[#This Row],[TD]]/RUSH__2[[#This Row],[Rec]]</f>
        <v>0.26666666666666666</v>
      </c>
      <c r="J237" s="3">
        <f>D237/(VLOOKUP(B237,'2025 Team'!$B$2:$G$33,2,FALSE))</f>
        <v>3.9256198347107439E-2</v>
      </c>
      <c r="K237" t="s">
        <v>1483</v>
      </c>
      <c r="L237" t="s">
        <v>417</v>
      </c>
    </row>
    <row r="238" spans="1:12" x14ac:dyDescent="0.25">
      <c r="A238" t="s">
        <v>954</v>
      </c>
      <c r="B238" t="s">
        <v>52</v>
      </c>
      <c r="C238" t="s">
        <v>163</v>
      </c>
      <c r="D238" s="4" t="s">
        <v>510</v>
      </c>
      <c r="E238" s="4" t="s">
        <v>234</v>
      </c>
      <c r="F238" s="4" t="s">
        <v>1077</v>
      </c>
      <c r="G238" t="s">
        <v>1130</v>
      </c>
      <c r="H238" t="s">
        <v>300</v>
      </c>
      <c r="I238" s="3">
        <f>RUSH__2[[#This Row],[TD]]/RUSH__2[[#This Row],[Rec]]</f>
        <v>7.6923076923076927E-2</v>
      </c>
      <c r="J238" s="3">
        <f>D238/(VLOOKUP(B238,'2025 Team'!$B$2:$G$33,2,FALSE))</f>
        <v>3.8917089678510999E-2</v>
      </c>
      <c r="K238" t="s">
        <v>1484</v>
      </c>
      <c r="L238" t="s">
        <v>417</v>
      </c>
    </row>
    <row r="239" spans="1:12" x14ac:dyDescent="0.25">
      <c r="A239" t="s">
        <v>311</v>
      </c>
      <c r="B239" t="s">
        <v>42</v>
      </c>
      <c r="C239" t="s">
        <v>159</v>
      </c>
      <c r="D239" s="4" t="s">
        <v>514</v>
      </c>
      <c r="E239" s="4" t="s">
        <v>193</v>
      </c>
      <c r="F239" s="4" t="s">
        <v>1485</v>
      </c>
      <c r="G239" t="s">
        <v>717</v>
      </c>
      <c r="H239" t="s">
        <v>300</v>
      </c>
      <c r="I239" s="3">
        <f>RUSH__2[[#This Row],[TD]]/RUSH__2[[#This Row],[Rec]]</f>
        <v>6.25E-2</v>
      </c>
      <c r="J239" s="3">
        <f>D239/(VLOOKUP(B239,'2025 Team'!$B$2:$G$33,2,FALSE))</f>
        <v>3.8664323374340948E-2</v>
      </c>
      <c r="K239" t="s">
        <v>1117</v>
      </c>
      <c r="L239" t="s">
        <v>300</v>
      </c>
    </row>
    <row r="240" spans="1:12" x14ac:dyDescent="0.25">
      <c r="A240" t="s">
        <v>928</v>
      </c>
      <c r="B240" t="s">
        <v>44</v>
      </c>
      <c r="C240" t="s">
        <v>163</v>
      </c>
      <c r="D240" s="4" t="s">
        <v>510</v>
      </c>
      <c r="E240" s="4" t="s">
        <v>211</v>
      </c>
      <c r="F240" s="4" t="s">
        <v>374</v>
      </c>
      <c r="G240" t="s">
        <v>1273</v>
      </c>
      <c r="H240" t="s">
        <v>300</v>
      </c>
      <c r="I240" s="3">
        <f>RUSH__2[[#This Row],[TD]]/RUSH__2[[#This Row],[Rec]]</f>
        <v>0.1</v>
      </c>
      <c r="J240" s="3">
        <f>D240/(VLOOKUP(B240,'2025 Team'!$B$2:$G$33,2,FALSE))</f>
        <v>3.8461538461538464E-2</v>
      </c>
      <c r="K240" t="s">
        <v>1486</v>
      </c>
      <c r="L240" t="s">
        <v>417</v>
      </c>
    </row>
    <row r="241" spans="1:12" x14ac:dyDescent="0.25">
      <c r="A241" t="s">
        <v>823</v>
      </c>
      <c r="B241" t="s">
        <v>14</v>
      </c>
      <c r="C241" t="s">
        <v>153</v>
      </c>
      <c r="D241" s="4" t="s">
        <v>541</v>
      </c>
      <c r="E241" s="4" t="s">
        <v>193</v>
      </c>
      <c r="F241" s="4" t="s">
        <v>483</v>
      </c>
      <c r="G241" t="s">
        <v>1210</v>
      </c>
      <c r="H241" t="s">
        <v>314</v>
      </c>
      <c r="I241" s="3">
        <f>RUSH__2[[#This Row],[TD]]/RUSH__2[[#This Row],[Rec]]</f>
        <v>0.1875</v>
      </c>
      <c r="J241" s="3">
        <f>D241/(VLOOKUP(B241,'2025 Team'!$B$2:$G$33,2,FALSE))</f>
        <v>3.8383838383838381E-2</v>
      </c>
      <c r="K241" t="s">
        <v>1487</v>
      </c>
      <c r="L241" t="s">
        <v>417</v>
      </c>
    </row>
    <row r="242" spans="1:12" x14ac:dyDescent="0.25">
      <c r="A242" t="s">
        <v>1003</v>
      </c>
      <c r="B242" t="s">
        <v>60</v>
      </c>
      <c r="C242" t="s">
        <v>163</v>
      </c>
      <c r="D242" s="4" t="s">
        <v>528</v>
      </c>
      <c r="E242" s="4" t="s">
        <v>211</v>
      </c>
      <c r="F242" s="4" t="s">
        <v>1135</v>
      </c>
      <c r="G242" t="s">
        <v>531</v>
      </c>
      <c r="H242" t="s">
        <v>300</v>
      </c>
      <c r="I242" s="3">
        <f>RUSH__2[[#This Row],[TD]]/RUSH__2[[#This Row],[Rec]]</f>
        <v>0.1</v>
      </c>
      <c r="J242" s="3">
        <f>D242/(VLOOKUP(B242,'2025 Team'!$B$2:$G$33,2,FALSE))</f>
        <v>3.8181818181818185E-2</v>
      </c>
      <c r="K242" t="s">
        <v>1477</v>
      </c>
      <c r="L242" t="s">
        <v>300</v>
      </c>
    </row>
    <row r="243" spans="1:12" x14ac:dyDescent="0.25">
      <c r="A243" t="s">
        <v>1005</v>
      </c>
      <c r="B243" t="s">
        <v>60</v>
      </c>
      <c r="C243" t="s">
        <v>163</v>
      </c>
      <c r="D243" s="4" t="s">
        <v>528</v>
      </c>
      <c r="E243" s="4" t="s">
        <v>198</v>
      </c>
      <c r="F243" s="4" t="s">
        <v>1073</v>
      </c>
      <c r="G243" t="s">
        <v>1254</v>
      </c>
      <c r="H243" t="s">
        <v>289</v>
      </c>
      <c r="I243" s="3">
        <f>RUSH__2[[#This Row],[TD]]/RUSH__2[[#This Row],[Rec]]</f>
        <v>0.16666666666666666</v>
      </c>
      <c r="J243" s="3">
        <f>D243/(VLOOKUP(B243,'2025 Team'!$B$2:$G$33,2,FALSE))</f>
        <v>3.8181818181818185E-2</v>
      </c>
      <c r="K243" t="s">
        <v>1488</v>
      </c>
      <c r="L243" t="s">
        <v>300</v>
      </c>
    </row>
    <row r="244" spans="1:12" x14ac:dyDescent="0.25">
      <c r="A244" t="s">
        <v>876</v>
      </c>
      <c r="B244" t="s">
        <v>28</v>
      </c>
      <c r="C244" t="s">
        <v>153</v>
      </c>
      <c r="D244" s="4" t="s">
        <v>514</v>
      </c>
      <c r="E244" s="4" t="s">
        <v>344</v>
      </c>
      <c r="F244" s="4" t="s">
        <v>1162</v>
      </c>
      <c r="G244" t="s">
        <v>1489</v>
      </c>
      <c r="H244" t="s">
        <v>289</v>
      </c>
      <c r="I244" s="3">
        <f>RUSH__2[[#This Row],[TD]]/RUSH__2[[#This Row],[Rec]]</f>
        <v>0.14285714285714285</v>
      </c>
      <c r="J244" s="3">
        <f>D244/(VLOOKUP(B244,'2025 Team'!$B$2:$G$33,2,FALSE))</f>
        <v>3.7800687285223365E-2</v>
      </c>
      <c r="K244" t="s">
        <v>1295</v>
      </c>
      <c r="L244" t="s">
        <v>417</v>
      </c>
    </row>
    <row r="245" spans="1:12" x14ac:dyDescent="0.25">
      <c r="A245" t="s">
        <v>869</v>
      </c>
      <c r="B245" t="s">
        <v>26</v>
      </c>
      <c r="C245" t="s">
        <v>153</v>
      </c>
      <c r="D245" s="4" t="s">
        <v>510</v>
      </c>
      <c r="E245" s="4" t="s">
        <v>524</v>
      </c>
      <c r="F245" s="4" t="s">
        <v>1490</v>
      </c>
      <c r="G245" t="s">
        <v>579</v>
      </c>
      <c r="H245" t="s">
        <v>300</v>
      </c>
      <c r="I245" s="3">
        <f>RUSH__2[[#This Row],[TD]]/RUSH__2[[#This Row],[Rec]]</f>
        <v>0.05</v>
      </c>
      <c r="J245" s="3">
        <f>D245/(VLOOKUP(B245,'2025 Team'!$B$2:$G$33,2,FALSE))</f>
        <v>3.7520391517128875E-2</v>
      </c>
      <c r="K245" t="s">
        <v>1491</v>
      </c>
      <c r="L245" t="s">
        <v>417</v>
      </c>
    </row>
    <row r="246" spans="1:12" x14ac:dyDescent="0.25">
      <c r="A246" t="s">
        <v>849</v>
      </c>
      <c r="B246" t="s">
        <v>20</v>
      </c>
      <c r="C246" t="s">
        <v>163</v>
      </c>
      <c r="D246" s="4" t="s">
        <v>487</v>
      </c>
      <c r="E246" s="4" t="s">
        <v>225</v>
      </c>
      <c r="F246" s="4" t="s">
        <v>1492</v>
      </c>
      <c r="G246" t="s">
        <v>1092</v>
      </c>
      <c r="H246" t="s">
        <v>289</v>
      </c>
      <c r="I246" s="3">
        <f>RUSH__2[[#This Row],[TD]]/RUSH__2[[#This Row],[Rec]]</f>
        <v>0.25</v>
      </c>
      <c r="J246" s="3">
        <f>D246/(VLOOKUP(B246,'2025 Team'!$B$2:$G$33,2,FALSE))</f>
        <v>3.7499999999999999E-2</v>
      </c>
      <c r="K246" t="s">
        <v>1446</v>
      </c>
      <c r="L246" t="s">
        <v>417</v>
      </c>
    </row>
    <row r="247" spans="1:12" x14ac:dyDescent="0.25">
      <c r="A247" t="s">
        <v>847</v>
      </c>
      <c r="B247" t="s">
        <v>20</v>
      </c>
      <c r="C247" t="s">
        <v>153</v>
      </c>
      <c r="D247" s="4" t="s">
        <v>487</v>
      </c>
      <c r="E247" s="4" t="s">
        <v>541</v>
      </c>
      <c r="F247" s="4" t="s">
        <v>484</v>
      </c>
      <c r="G247" t="s">
        <v>1192</v>
      </c>
      <c r="H247" t="s">
        <v>289</v>
      </c>
      <c r="I247" s="3">
        <f>RUSH__2[[#This Row],[TD]]/RUSH__2[[#This Row],[Rec]]</f>
        <v>0.10526315789473684</v>
      </c>
      <c r="J247" s="3">
        <f>D247/(VLOOKUP(B247,'2025 Team'!$B$2:$G$33,2,FALSE))</f>
        <v>3.7499999999999999E-2</v>
      </c>
      <c r="K247" t="s">
        <v>1493</v>
      </c>
      <c r="L247" t="s">
        <v>417</v>
      </c>
    </row>
    <row r="248" spans="1:12" x14ac:dyDescent="0.25">
      <c r="A248" t="s">
        <v>952</v>
      </c>
      <c r="B248" t="s">
        <v>48</v>
      </c>
      <c r="C248" t="s">
        <v>163</v>
      </c>
      <c r="D248" s="4" t="s">
        <v>202</v>
      </c>
      <c r="E248" s="4" t="s">
        <v>225</v>
      </c>
      <c r="F248" s="4" t="s">
        <v>497</v>
      </c>
      <c r="G248" t="s">
        <v>616</v>
      </c>
      <c r="H248" t="s">
        <v>417</v>
      </c>
      <c r="I248" s="3">
        <f>RUSH__2[[#This Row],[TD]]/RUSH__2[[#This Row],[Rec]]</f>
        <v>0</v>
      </c>
      <c r="J248" s="3">
        <f>D248/(VLOOKUP(B248,'2025 Team'!$B$2:$G$33,2,FALSE))</f>
        <v>3.71900826446281E-2</v>
      </c>
      <c r="K248" t="s">
        <v>1255</v>
      </c>
      <c r="L248" t="s">
        <v>417</v>
      </c>
    </row>
    <row r="249" spans="1:12" x14ac:dyDescent="0.25">
      <c r="A249" t="s">
        <v>860</v>
      </c>
      <c r="B249" t="s">
        <v>24</v>
      </c>
      <c r="C249" t="s">
        <v>153</v>
      </c>
      <c r="D249" s="4" t="s">
        <v>510</v>
      </c>
      <c r="E249" s="4" t="s">
        <v>344</v>
      </c>
      <c r="F249" s="4" t="s">
        <v>309</v>
      </c>
      <c r="G249" t="s">
        <v>1323</v>
      </c>
      <c r="H249" t="s">
        <v>417</v>
      </c>
      <c r="I249" s="3">
        <f>RUSH__2[[#This Row],[TD]]/RUSH__2[[#This Row],[Rec]]</f>
        <v>0</v>
      </c>
      <c r="J249" s="3">
        <f>D249/(VLOOKUP(B249,'2025 Team'!$B$2:$G$33,2,FALSE))</f>
        <v>3.685897435897436E-2</v>
      </c>
      <c r="K249" t="s">
        <v>1494</v>
      </c>
      <c r="L249" t="s">
        <v>417</v>
      </c>
    </row>
    <row r="250" spans="1:12" x14ac:dyDescent="0.25">
      <c r="A250" t="s">
        <v>935</v>
      </c>
      <c r="B250" t="s">
        <v>68</v>
      </c>
      <c r="C250" t="s">
        <v>163</v>
      </c>
      <c r="D250" s="4" t="s">
        <v>528</v>
      </c>
      <c r="E250" s="4" t="s">
        <v>211</v>
      </c>
      <c r="F250" s="4" t="s">
        <v>383</v>
      </c>
      <c r="G250" t="s">
        <v>648</v>
      </c>
      <c r="H250" t="s">
        <v>417</v>
      </c>
      <c r="I250" s="3">
        <f>RUSH__2[[#This Row],[TD]]/RUSH__2[[#This Row],[Rec]]</f>
        <v>0</v>
      </c>
      <c r="J250" s="3">
        <f>D250/(VLOOKUP(B250,'2025 Team'!$B$2:$G$33,2,FALSE))</f>
        <v>3.6842105263157891E-2</v>
      </c>
      <c r="K250" t="s">
        <v>1477</v>
      </c>
      <c r="L250" t="s">
        <v>417</v>
      </c>
    </row>
    <row r="251" spans="1:12" x14ac:dyDescent="0.25">
      <c r="A251" t="s">
        <v>892</v>
      </c>
      <c r="B251" t="s">
        <v>34</v>
      </c>
      <c r="C251" t="s">
        <v>153</v>
      </c>
      <c r="D251" s="4" t="s">
        <v>524</v>
      </c>
      <c r="E251" s="4" t="s">
        <v>234</v>
      </c>
      <c r="F251" s="4" t="s">
        <v>546</v>
      </c>
      <c r="G251" t="s">
        <v>732</v>
      </c>
      <c r="H251" t="s">
        <v>300</v>
      </c>
      <c r="I251" s="3">
        <f>RUSH__2[[#This Row],[TD]]/RUSH__2[[#This Row],[Rec]]</f>
        <v>7.6923076923076927E-2</v>
      </c>
      <c r="J251" s="3">
        <f>D251/(VLOOKUP(B251,'2025 Team'!$B$2:$G$33,2,FALSE))</f>
        <v>3.6563071297989032E-2</v>
      </c>
      <c r="K251" t="s">
        <v>1495</v>
      </c>
      <c r="L251" t="s">
        <v>417</v>
      </c>
    </row>
    <row r="252" spans="1:12" x14ac:dyDescent="0.25">
      <c r="A252" t="s">
        <v>978</v>
      </c>
      <c r="B252" t="s">
        <v>56</v>
      </c>
      <c r="C252" t="s">
        <v>163</v>
      </c>
      <c r="D252" s="4" t="s">
        <v>202</v>
      </c>
      <c r="E252" s="4" t="s">
        <v>211</v>
      </c>
      <c r="F252" s="4" t="s">
        <v>383</v>
      </c>
      <c r="G252" t="s">
        <v>648</v>
      </c>
      <c r="H252" t="s">
        <v>300</v>
      </c>
      <c r="I252" s="3">
        <f>RUSH__2[[#This Row],[TD]]/RUSH__2[[#This Row],[Rec]]</f>
        <v>0.1</v>
      </c>
      <c r="J252" s="3">
        <f>D252/(VLOOKUP(B252,'2025 Team'!$B$2:$G$33,2,FALSE))</f>
        <v>3.643724696356275E-2</v>
      </c>
      <c r="K252" t="s">
        <v>1496</v>
      </c>
      <c r="L252" t="s">
        <v>417</v>
      </c>
    </row>
    <row r="253" spans="1:12" x14ac:dyDescent="0.25">
      <c r="A253" t="s">
        <v>977</v>
      </c>
      <c r="B253" t="s">
        <v>56</v>
      </c>
      <c r="C253" t="s">
        <v>163</v>
      </c>
      <c r="D253" s="4" t="s">
        <v>202</v>
      </c>
      <c r="E253" s="4" t="s">
        <v>198</v>
      </c>
      <c r="F253" s="4" t="s">
        <v>1497</v>
      </c>
      <c r="G253" t="s">
        <v>1498</v>
      </c>
      <c r="H253" t="s">
        <v>300</v>
      </c>
      <c r="I253" s="3">
        <f>RUSH__2[[#This Row],[TD]]/RUSH__2[[#This Row],[Rec]]</f>
        <v>8.3333333333333329E-2</v>
      </c>
      <c r="J253" s="3">
        <f>D253/(VLOOKUP(B253,'2025 Team'!$B$2:$G$33,2,FALSE))</f>
        <v>3.643724696356275E-2</v>
      </c>
      <c r="K253" t="s">
        <v>1297</v>
      </c>
      <c r="L253" t="s">
        <v>417</v>
      </c>
    </row>
    <row r="254" spans="1:12" x14ac:dyDescent="0.25">
      <c r="A254" t="s">
        <v>821</v>
      </c>
      <c r="B254" t="s">
        <v>14</v>
      </c>
      <c r="C254" t="s">
        <v>163</v>
      </c>
      <c r="D254" s="4" t="s">
        <v>202</v>
      </c>
      <c r="E254" s="4" t="s">
        <v>198</v>
      </c>
      <c r="F254" s="4" t="s">
        <v>481</v>
      </c>
      <c r="G254" t="s">
        <v>1130</v>
      </c>
      <c r="H254" t="s">
        <v>300</v>
      </c>
      <c r="I254" s="3">
        <f>RUSH__2[[#This Row],[TD]]/RUSH__2[[#This Row],[Rec]]</f>
        <v>8.3333333333333329E-2</v>
      </c>
      <c r="J254" s="3">
        <f>D254/(VLOOKUP(B254,'2025 Team'!$B$2:$G$33,2,FALSE))</f>
        <v>3.6363636363636362E-2</v>
      </c>
      <c r="K254" t="s">
        <v>1297</v>
      </c>
      <c r="L254" t="s">
        <v>417</v>
      </c>
    </row>
    <row r="255" spans="1:12" x14ac:dyDescent="0.25">
      <c r="A255" t="s">
        <v>345</v>
      </c>
      <c r="B255" t="s">
        <v>54</v>
      </c>
      <c r="C255" t="s">
        <v>159</v>
      </c>
      <c r="D255" s="4" t="s">
        <v>541</v>
      </c>
      <c r="E255" s="4" t="s">
        <v>202</v>
      </c>
      <c r="F255" s="4" t="s">
        <v>465</v>
      </c>
      <c r="G255" t="s">
        <v>1257</v>
      </c>
      <c r="H255" t="s">
        <v>417</v>
      </c>
      <c r="I255" s="3">
        <f>RUSH__2[[#This Row],[TD]]/RUSH__2[[#This Row],[Rec]]</f>
        <v>0</v>
      </c>
      <c r="J255" s="3">
        <f>D255/(VLOOKUP(B255,'2025 Team'!$B$2:$G$33,2,FALSE))</f>
        <v>3.6121673003802278E-2</v>
      </c>
      <c r="K255" t="s">
        <v>1499</v>
      </c>
      <c r="L255" t="s">
        <v>417</v>
      </c>
    </row>
    <row r="256" spans="1:12" x14ac:dyDescent="0.25">
      <c r="A256" t="s">
        <v>971</v>
      </c>
      <c r="B256" t="s">
        <v>54</v>
      </c>
      <c r="C256" t="s">
        <v>163</v>
      </c>
      <c r="D256" s="4" t="s">
        <v>541</v>
      </c>
      <c r="E256" s="4" t="s">
        <v>211</v>
      </c>
      <c r="F256" s="4" t="s">
        <v>1500</v>
      </c>
      <c r="G256" t="s">
        <v>1181</v>
      </c>
      <c r="H256" t="s">
        <v>300</v>
      </c>
      <c r="I256" s="3">
        <f>RUSH__2[[#This Row],[TD]]/RUSH__2[[#This Row],[Rec]]</f>
        <v>0.1</v>
      </c>
      <c r="J256" s="3">
        <f>D256/(VLOOKUP(B256,'2025 Team'!$B$2:$G$33,2,FALSE))</f>
        <v>3.6121673003802278E-2</v>
      </c>
      <c r="K256" t="s">
        <v>1152</v>
      </c>
      <c r="L256" t="s">
        <v>417</v>
      </c>
    </row>
    <row r="257" spans="1:12" x14ac:dyDescent="0.25">
      <c r="A257" t="s">
        <v>814</v>
      </c>
      <c r="B257" t="s">
        <v>12</v>
      </c>
      <c r="C257" t="s">
        <v>153</v>
      </c>
      <c r="D257" s="4" t="s">
        <v>557</v>
      </c>
      <c r="E257" s="4" t="s">
        <v>211</v>
      </c>
      <c r="F257" s="4" t="s">
        <v>1501</v>
      </c>
      <c r="G257" t="s">
        <v>1119</v>
      </c>
      <c r="H257" t="s">
        <v>289</v>
      </c>
      <c r="I257" s="3">
        <f>RUSH__2[[#This Row],[TD]]/RUSH__2[[#This Row],[Rec]]</f>
        <v>0.2</v>
      </c>
      <c r="J257" s="3">
        <f>D257/(VLOOKUP(B257,'2025 Team'!$B$2:$G$33,2,FALSE))</f>
        <v>3.5545023696682464E-2</v>
      </c>
      <c r="K257" t="s">
        <v>1297</v>
      </c>
      <c r="L257" t="s">
        <v>417</v>
      </c>
    </row>
    <row r="258" spans="1:12" x14ac:dyDescent="0.25">
      <c r="A258" t="s">
        <v>835</v>
      </c>
      <c r="B258" t="s">
        <v>16</v>
      </c>
      <c r="C258" t="s">
        <v>163</v>
      </c>
      <c r="D258" s="4" t="s">
        <v>202</v>
      </c>
      <c r="E258" s="4" t="s">
        <v>344</v>
      </c>
      <c r="F258" s="4" t="s">
        <v>518</v>
      </c>
      <c r="G258" t="s">
        <v>1372</v>
      </c>
      <c r="H258" t="s">
        <v>417</v>
      </c>
      <c r="I258" s="3">
        <f>RUSH__2[[#This Row],[TD]]/RUSH__2[[#This Row],[Rec]]</f>
        <v>0</v>
      </c>
      <c r="J258" s="3">
        <f>D258/(VLOOKUP(B258,'2025 Team'!$B$2:$G$33,2,FALSE))</f>
        <v>3.4951456310679613E-2</v>
      </c>
      <c r="K258" t="s">
        <v>1424</v>
      </c>
      <c r="L258" t="s">
        <v>300</v>
      </c>
    </row>
    <row r="259" spans="1:12" x14ac:dyDescent="0.25">
      <c r="A259" t="s">
        <v>489</v>
      </c>
      <c r="B259" t="s">
        <v>30</v>
      </c>
      <c r="C259" t="s">
        <v>159</v>
      </c>
      <c r="D259" s="4" t="s">
        <v>535</v>
      </c>
      <c r="E259" s="4" t="s">
        <v>234</v>
      </c>
      <c r="F259" s="4" t="s">
        <v>1202</v>
      </c>
      <c r="G259" t="s">
        <v>648</v>
      </c>
      <c r="H259" t="s">
        <v>417</v>
      </c>
      <c r="I259" s="3">
        <f>RUSH__2[[#This Row],[TD]]/RUSH__2[[#This Row],[Rec]]</f>
        <v>0</v>
      </c>
      <c r="J259" s="3">
        <f>D259/(VLOOKUP(B259,'2025 Team'!$B$2:$G$33,2,FALSE))</f>
        <v>3.4764826175869123E-2</v>
      </c>
      <c r="K259" t="s">
        <v>1241</v>
      </c>
      <c r="L259" t="s">
        <v>417</v>
      </c>
    </row>
    <row r="260" spans="1:12" x14ac:dyDescent="0.25">
      <c r="A260" t="s">
        <v>327</v>
      </c>
      <c r="B260" t="s">
        <v>30</v>
      </c>
      <c r="C260" t="s">
        <v>159</v>
      </c>
      <c r="D260" s="4" t="s">
        <v>535</v>
      </c>
      <c r="E260" s="4" t="s">
        <v>557</v>
      </c>
      <c r="F260" s="4" t="s">
        <v>1114</v>
      </c>
      <c r="G260" t="s">
        <v>426</v>
      </c>
      <c r="H260" t="s">
        <v>417</v>
      </c>
      <c r="I260" s="3">
        <f>RUSH__2[[#This Row],[TD]]/RUSH__2[[#This Row],[Rec]]</f>
        <v>0</v>
      </c>
      <c r="J260" s="3">
        <f>D260/(VLOOKUP(B260,'2025 Team'!$B$2:$G$33,2,FALSE))</f>
        <v>3.4764826175869123E-2</v>
      </c>
      <c r="K260" t="s">
        <v>1502</v>
      </c>
      <c r="L260" t="s">
        <v>300</v>
      </c>
    </row>
    <row r="261" spans="1:12" x14ac:dyDescent="0.25">
      <c r="A261" t="s">
        <v>356</v>
      </c>
      <c r="B261" t="s">
        <v>32</v>
      </c>
      <c r="C261" t="s">
        <v>159</v>
      </c>
      <c r="D261" s="4" t="s">
        <v>524</v>
      </c>
      <c r="E261" s="4" t="s">
        <v>234</v>
      </c>
      <c r="F261" s="4" t="s">
        <v>376</v>
      </c>
      <c r="G261" t="s">
        <v>194</v>
      </c>
      <c r="H261" t="s">
        <v>417</v>
      </c>
      <c r="I261" s="3">
        <f>RUSH__2[[#This Row],[TD]]/RUSH__2[[#This Row],[Rec]]</f>
        <v>0</v>
      </c>
      <c r="J261" s="3">
        <f>D261/(VLOOKUP(B261,'2025 Team'!$B$2:$G$33,2,FALSE))</f>
        <v>3.4364261168384883E-2</v>
      </c>
      <c r="K261" t="s">
        <v>1495</v>
      </c>
      <c r="L261" t="s">
        <v>417</v>
      </c>
    </row>
    <row r="262" spans="1:12" x14ac:dyDescent="0.25">
      <c r="A262" t="s">
        <v>634</v>
      </c>
      <c r="B262" t="s">
        <v>14</v>
      </c>
      <c r="C262" t="s">
        <v>163</v>
      </c>
      <c r="D262" s="4" t="s">
        <v>535</v>
      </c>
      <c r="E262" s="4" t="s">
        <v>270</v>
      </c>
      <c r="F262" s="4" t="s">
        <v>337</v>
      </c>
      <c r="G262" t="s">
        <v>1360</v>
      </c>
      <c r="H262" t="s">
        <v>417</v>
      </c>
      <c r="I262" s="3">
        <f>RUSH__2[[#This Row],[TD]]/RUSH__2[[#This Row],[Rec]]</f>
        <v>0</v>
      </c>
      <c r="J262" s="3">
        <f>D262/(VLOOKUP(B262,'2025 Team'!$B$2:$G$33,2,FALSE))</f>
        <v>3.4343434343434343E-2</v>
      </c>
      <c r="K262" t="s">
        <v>1450</v>
      </c>
      <c r="L262" t="s">
        <v>417</v>
      </c>
    </row>
    <row r="263" spans="1:12" x14ac:dyDescent="0.25">
      <c r="A263" t="s">
        <v>1041</v>
      </c>
      <c r="B263" t="s">
        <v>70</v>
      </c>
      <c r="C263" t="s">
        <v>153</v>
      </c>
      <c r="D263" s="4" t="s">
        <v>193</v>
      </c>
      <c r="E263" s="4" t="s">
        <v>266</v>
      </c>
      <c r="F263" s="4" t="s">
        <v>363</v>
      </c>
      <c r="G263" t="s">
        <v>1323</v>
      </c>
      <c r="H263" t="s">
        <v>300</v>
      </c>
      <c r="I263" s="3">
        <f>RUSH__2[[#This Row],[TD]]/RUSH__2[[#This Row],[Rec]]</f>
        <v>9.0909090909090912E-2</v>
      </c>
      <c r="J263" s="3">
        <f>D263/(VLOOKUP(B263,'2025 Team'!$B$2:$G$33,2,FALSE))</f>
        <v>3.4115138592750532E-2</v>
      </c>
      <c r="K263" t="s">
        <v>1371</v>
      </c>
      <c r="L263" t="s">
        <v>417</v>
      </c>
    </row>
    <row r="264" spans="1:12" x14ac:dyDescent="0.25">
      <c r="A264" t="s">
        <v>903</v>
      </c>
      <c r="B264" t="s">
        <v>36</v>
      </c>
      <c r="C264" t="s">
        <v>153</v>
      </c>
      <c r="D264" s="4" t="s">
        <v>541</v>
      </c>
      <c r="E264" s="4" t="s">
        <v>270</v>
      </c>
      <c r="F264" s="4" t="s">
        <v>1134</v>
      </c>
      <c r="G264" t="s">
        <v>1236</v>
      </c>
      <c r="H264" t="s">
        <v>417</v>
      </c>
      <c r="I264" s="3">
        <f>RUSH__2[[#This Row],[TD]]/RUSH__2[[#This Row],[Rec]]</f>
        <v>0</v>
      </c>
      <c r="J264" s="3">
        <f>D264/(VLOOKUP(B264,'2025 Team'!$B$2:$G$33,2,FALSE))</f>
        <v>3.3747779751332148E-2</v>
      </c>
      <c r="K264" t="s">
        <v>1503</v>
      </c>
      <c r="L264" t="s">
        <v>417</v>
      </c>
    </row>
    <row r="265" spans="1:12" x14ac:dyDescent="0.25">
      <c r="A265" t="s">
        <v>294</v>
      </c>
      <c r="B265" t="s">
        <v>48</v>
      </c>
      <c r="C265" t="s">
        <v>159</v>
      </c>
      <c r="D265" s="4" t="s">
        <v>193</v>
      </c>
      <c r="E265" s="4" t="s">
        <v>344</v>
      </c>
      <c r="F265" s="4" t="s">
        <v>582</v>
      </c>
      <c r="G265" t="s">
        <v>262</v>
      </c>
      <c r="H265" t="s">
        <v>417</v>
      </c>
      <c r="I265" s="3">
        <f>RUSH__2[[#This Row],[TD]]/RUSH__2[[#This Row],[Rec]]</f>
        <v>0</v>
      </c>
      <c r="J265" s="3">
        <f>D265/(VLOOKUP(B265,'2025 Team'!$B$2:$G$33,2,FALSE))</f>
        <v>3.3057851239669422E-2</v>
      </c>
      <c r="K265" t="s">
        <v>1504</v>
      </c>
      <c r="L265" t="s">
        <v>314</v>
      </c>
    </row>
    <row r="266" spans="1:12" x14ac:dyDescent="0.25">
      <c r="A266" t="s">
        <v>474</v>
      </c>
      <c r="B266" t="s">
        <v>48</v>
      </c>
      <c r="C266" t="s">
        <v>159</v>
      </c>
      <c r="D266" s="4" t="s">
        <v>193</v>
      </c>
      <c r="E266" s="4" t="s">
        <v>344</v>
      </c>
      <c r="F266" s="4" t="s">
        <v>1223</v>
      </c>
      <c r="G266" t="s">
        <v>648</v>
      </c>
      <c r="H266" t="s">
        <v>300</v>
      </c>
      <c r="I266" s="3">
        <f>RUSH__2[[#This Row],[TD]]/RUSH__2[[#This Row],[Rec]]</f>
        <v>7.1428571428571425E-2</v>
      </c>
      <c r="J266" s="3">
        <f>D266/(VLOOKUP(B266,'2025 Team'!$B$2:$G$33,2,FALSE))</f>
        <v>3.3057851239669422E-2</v>
      </c>
      <c r="K266" t="s">
        <v>1504</v>
      </c>
      <c r="L266" t="s">
        <v>289</v>
      </c>
    </row>
    <row r="267" spans="1:12" x14ac:dyDescent="0.25">
      <c r="A267" t="s">
        <v>404</v>
      </c>
      <c r="B267" t="s">
        <v>20</v>
      </c>
      <c r="C267" t="s">
        <v>159</v>
      </c>
      <c r="D267" s="4" t="s">
        <v>528</v>
      </c>
      <c r="E267" s="4" t="s">
        <v>535</v>
      </c>
      <c r="F267" s="4" t="s">
        <v>598</v>
      </c>
      <c r="G267" t="s">
        <v>216</v>
      </c>
      <c r="H267" t="s">
        <v>417</v>
      </c>
      <c r="I267" s="3">
        <f>RUSH__2[[#This Row],[TD]]/RUSH__2[[#This Row],[Rec]]</f>
        <v>0</v>
      </c>
      <c r="J267" s="3">
        <f>D267/(VLOOKUP(B267,'2025 Team'!$B$2:$G$33,2,FALSE))</f>
        <v>3.2812500000000001E-2</v>
      </c>
      <c r="K267" t="s">
        <v>1334</v>
      </c>
      <c r="L267" t="s">
        <v>314</v>
      </c>
    </row>
    <row r="268" spans="1:12" x14ac:dyDescent="0.25">
      <c r="A268" t="s">
        <v>660</v>
      </c>
      <c r="B268" t="s">
        <v>56</v>
      </c>
      <c r="C268" t="s">
        <v>163</v>
      </c>
      <c r="D268" s="4" t="s">
        <v>193</v>
      </c>
      <c r="E268" s="4" t="s">
        <v>207</v>
      </c>
      <c r="F268" s="4" t="s">
        <v>441</v>
      </c>
      <c r="G268" t="s">
        <v>656</v>
      </c>
      <c r="H268" t="s">
        <v>417</v>
      </c>
      <c r="I268" s="3">
        <f>RUSH__2[[#This Row],[TD]]/RUSH__2[[#This Row],[Rec]]</f>
        <v>0</v>
      </c>
      <c r="J268" s="3">
        <f>D268/(VLOOKUP(B268,'2025 Team'!$B$2:$G$33,2,FALSE))</f>
        <v>3.2388663967611336E-2</v>
      </c>
      <c r="K268" t="s">
        <v>1505</v>
      </c>
      <c r="L268" t="s">
        <v>417</v>
      </c>
    </row>
    <row r="269" spans="1:12" x14ac:dyDescent="0.25">
      <c r="A269" t="s">
        <v>435</v>
      </c>
      <c r="B269" t="s">
        <v>52</v>
      </c>
      <c r="C269" t="s">
        <v>159</v>
      </c>
      <c r="D269" s="4" t="s">
        <v>541</v>
      </c>
      <c r="E269" s="4" t="s">
        <v>535</v>
      </c>
      <c r="F269" s="4" t="s">
        <v>521</v>
      </c>
      <c r="G269" t="s">
        <v>568</v>
      </c>
      <c r="H269" t="s">
        <v>417</v>
      </c>
      <c r="I269" s="3">
        <f>RUSH__2[[#This Row],[TD]]/RUSH__2[[#This Row],[Rec]]</f>
        <v>0</v>
      </c>
      <c r="J269" s="3">
        <f>D269/(VLOOKUP(B269,'2025 Team'!$B$2:$G$33,2,FALSE))</f>
        <v>3.2148900169204735E-2</v>
      </c>
      <c r="K269" t="s">
        <v>1506</v>
      </c>
      <c r="L269" t="s">
        <v>417</v>
      </c>
    </row>
    <row r="270" spans="1:12" x14ac:dyDescent="0.25">
      <c r="A270" t="s">
        <v>1047</v>
      </c>
      <c r="B270" t="s">
        <v>70</v>
      </c>
      <c r="C270" t="s">
        <v>163</v>
      </c>
      <c r="D270" s="4" t="s">
        <v>557</v>
      </c>
      <c r="E270" s="4" t="s">
        <v>266</v>
      </c>
      <c r="F270" s="4" t="s">
        <v>1449</v>
      </c>
      <c r="G270" t="s">
        <v>1507</v>
      </c>
      <c r="H270" t="s">
        <v>314</v>
      </c>
      <c r="I270" s="3">
        <f>RUSH__2[[#This Row],[TD]]/RUSH__2[[#This Row],[Rec]]</f>
        <v>0.27272727272727271</v>
      </c>
      <c r="J270" s="3">
        <f>D270/(VLOOKUP(B270,'2025 Team'!$B$2:$G$33,2,FALSE))</f>
        <v>3.1982942430703626E-2</v>
      </c>
      <c r="K270" t="s">
        <v>1396</v>
      </c>
      <c r="L270" t="s">
        <v>417</v>
      </c>
    </row>
    <row r="271" spans="1:12" x14ac:dyDescent="0.25">
      <c r="A271" t="s">
        <v>941</v>
      </c>
      <c r="B271" t="s">
        <v>46</v>
      </c>
      <c r="C271" t="s">
        <v>153</v>
      </c>
      <c r="D271" s="4" t="s">
        <v>557</v>
      </c>
      <c r="E271" s="4" t="s">
        <v>270</v>
      </c>
      <c r="F271" s="4" t="s">
        <v>1202</v>
      </c>
      <c r="G271" t="s">
        <v>1116</v>
      </c>
      <c r="H271" t="s">
        <v>417</v>
      </c>
      <c r="I271" s="3">
        <f>RUSH__2[[#This Row],[TD]]/RUSH__2[[#This Row],[Rec]]</f>
        <v>0</v>
      </c>
      <c r="J271" s="3">
        <f>D271/(VLOOKUP(B271,'2025 Team'!$B$2:$G$33,2,FALSE))</f>
        <v>3.1315240083507306E-2</v>
      </c>
      <c r="K271" t="s">
        <v>1290</v>
      </c>
      <c r="L271" t="s">
        <v>417</v>
      </c>
    </row>
    <row r="272" spans="1:12" x14ac:dyDescent="0.25">
      <c r="A272" t="s">
        <v>786</v>
      </c>
      <c r="B272" t="s">
        <v>20</v>
      </c>
      <c r="C272" t="s">
        <v>153</v>
      </c>
      <c r="D272" s="4" t="s">
        <v>524</v>
      </c>
      <c r="E272" s="4" t="s">
        <v>557</v>
      </c>
      <c r="F272" s="4" t="s">
        <v>491</v>
      </c>
      <c r="G272" t="s">
        <v>473</v>
      </c>
      <c r="H272" t="s">
        <v>300</v>
      </c>
      <c r="I272" s="3">
        <f>RUSH__2[[#This Row],[TD]]/RUSH__2[[#This Row],[Rec]]</f>
        <v>6.6666666666666666E-2</v>
      </c>
      <c r="J272" s="3">
        <f>D272/(VLOOKUP(B272,'2025 Team'!$B$2:$G$33,2,FALSE))</f>
        <v>3.125E-2</v>
      </c>
      <c r="K272" t="s">
        <v>1321</v>
      </c>
      <c r="L272" t="s">
        <v>417</v>
      </c>
    </row>
    <row r="273" spans="1:12" x14ac:dyDescent="0.25">
      <c r="A273" t="s">
        <v>567</v>
      </c>
      <c r="B273" t="s">
        <v>34</v>
      </c>
      <c r="C273" t="s">
        <v>159</v>
      </c>
      <c r="D273" s="4" t="s">
        <v>535</v>
      </c>
      <c r="E273" s="4" t="s">
        <v>193</v>
      </c>
      <c r="F273" s="4" t="s">
        <v>1114</v>
      </c>
      <c r="G273" t="s">
        <v>574</v>
      </c>
      <c r="H273" t="s">
        <v>417</v>
      </c>
      <c r="I273" s="3">
        <f>RUSH__2[[#This Row],[TD]]/RUSH__2[[#This Row],[Rec]]</f>
        <v>0</v>
      </c>
      <c r="J273" s="3">
        <f>D273/(VLOOKUP(B273,'2025 Team'!$B$2:$G$33,2,FALSE))</f>
        <v>3.1078610603290677E-2</v>
      </c>
      <c r="K273" t="s">
        <v>1508</v>
      </c>
      <c r="L273" t="s">
        <v>300</v>
      </c>
    </row>
    <row r="274" spans="1:12" x14ac:dyDescent="0.25">
      <c r="A274" t="s">
        <v>952</v>
      </c>
      <c r="B274" t="s">
        <v>60</v>
      </c>
      <c r="C274" t="s">
        <v>163</v>
      </c>
      <c r="D274" s="4" t="s">
        <v>535</v>
      </c>
      <c r="E274" s="4" t="s">
        <v>266</v>
      </c>
      <c r="F274" s="4" t="s">
        <v>546</v>
      </c>
      <c r="G274" t="s">
        <v>1190</v>
      </c>
      <c r="H274" t="s">
        <v>417</v>
      </c>
      <c r="I274" s="3">
        <f>RUSH__2[[#This Row],[TD]]/RUSH__2[[#This Row],[Rec]]</f>
        <v>0</v>
      </c>
      <c r="J274" s="3">
        <f>D274/(VLOOKUP(B274,'2025 Team'!$B$2:$G$33,2,FALSE))</f>
        <v>3.090909090909091E-2</v>
      </c>
      <c r="K274" t="s">
        <v>1176</v>
      </c>
      <c r="L274" t="s">
        <v>417</v>
      </c>
    </row>
    <row r="275" spans="1:12" x14ac:dyDescent="0.25">
      <c r="A275" t="s">
        <v>471</v>
      </c>
      <c r="B275" t="s">
        <v>8</v>
      </c>
      <c r="C275" t="s">
        <v>159</v>
      </c>
      <c r="D275" s="4" t="s">
        <v>524</v>
      </c>
      <c r="E275" s="4" t="s">
        <v>234</v>
      </c>
      <c r="F275" s="4" t="s">
        <v>369</v>
      </c>
      <c r="G275" t="s">
        <v>611</v>
      </c>
      <c r="H275" t="s">
        <v>300</v>
      </c>
      <c r="I275" s="3">
        <f>RUSH__2[[#This Row],[TD]]/RUSH__2[[#This Row],[Rec]]</f>
        <v>7.6923076923076927E-2</v>
      </c>
      <c r="J275" s="3">
        <f>D275/(VLOOKUP(B275,'2025 Team'!$B$2:$G$33,2,FALSE))</f>
        <v>3.0816640986132512E-2</v>
      </c>
      <c r="K275" t="s">
        <v>1495</v>
      </c>
      <c r="L275" t="s">
        <v>300</v>
      </c>
    </row>
    <row r="276" spans="1:12" x14ac:dyDescent="0.25">
      <c r="A276" t="s">
        <v>880</v>
      </c>
      <c r="B276" t="s">
        <v>30</v>
      </c>
      <c r="C276" t="s">
        <v>153</v>
      </c>
      <c r="D276" s="4" t="s">
        <v>557</v>
      </c>
      <c r="E276" s="4" t="s">
        <v>198</v>
      </c>
      <c r="F276" s="4" t="s">
        <v>411</v>
      </c>
      <c r="G276" t="s">
        <v>389</v>
      </c>
      <c r="H276" t="s">
        <v>300</v>
      </c>
      <c r="I276" s="3">
        <f>RUSH__2[[#This Row],[TD]]/RUSH__2[[#This Row],[Rec]]</f>
        <v>8.3333333333333329E-2</v>
      </c>
      <c r="J276" s="3">
        <f>D276/(VLOOKUP(B276,'2025 Team'!$B$2:$G$33,2,FALSE))</f>
        <v>3.0674846625766871E-2</v>
      </c>
      <c r="K276" t="s">
        <v>1329</v>
      </c>
      <c r="L276" t="s">
        <v>417</v>
      </c>
    </row>
    <row r="277" spans="1:12" x14ac:dyDescent="0.25">
      <c r="A277" t="s">
        <v>901</v>
      </c>
      <c r="B277" t="s">
        <v>36</v>
      </c>
      <c r="C277" t="s">
        <v>153</v>
      </c>
      <c r="D277" s="4" t="s">
        <v>535</v>
      </c>
      <c r="E277" s="4" t="s">
        <v>198</v>
      </c>
      <c r="F277" s="4" t="s">
        <v>548</v>
      </c>
      <c r="G277" t="s">
        <v>473</v>
      </c>
      <c r="H277" t="s">
        <v>289</v>
      </c>
      <c r="I277" s="3">
        <f>RUSH__2[[#This Row],[TD]]/RUSH__2[[#This Row],[Rec]]</f>
        <v>0.16666666666666666</v>
      </c>
      <c r="J277" s="3">
        <f>D277/(VLOOKUP(B277,'2025 Team'!$B$2:$G$33,2,FALSE))</f>
        <v>3.0195381882770871E-2</v>
      </c>
      <c r="K277" t="s">
        <v>1408</v>
      </c>
      <c r="L277" t="s">
        <v>300</v>
      </c>
    </row>
    <row r="278" spans="1:12" x14ac:dyDescent="0.25">
      <c r="A278" t="s">
        <v>317</v>
      </c>
      <c r="B278" t="s">
        <v>10</v>
      </c>
      <c r="C278" t="s">
        <v>159</v>
      </c>
      <c r="D278" s="4" t="s">
        <v>193</v>
      </c>
      <c r="E278" s="4" t="s">
        <v>344</v>
      </c>
      <c r="F278" s="4" t="s">
        <v>508</v>
      </c>
      <c r="G278" t="s">
        <v>434</v>
      </c>
      <c r="H278" t="s">
        <v>417</v>
      </c>
      <c r="I278" s="3">
        <f>RUSH__2[[#This Row],[TD]]/RUSH__2[[#This Row],[Rec]]</f>
        <v>0</v>
      </c>
      <c r="J278" s="3">
        <f>D278/(VLOOKUP(B278,'2025 Team'!$B$2:$G$33,2,FALSE))</f>
        <v>2.9357798165137616E-2</v>
      </c>
      <c r="K278" t="s">
        <v>1504</v>
      </c>
      <c r="L278" t="s">
        <v>417</v>
      </c>
    </row>
    <row r="279" spans="1:12" x14ac:dyDescent="0.25">
      <c r="A279" t="s">
        <v>742</v>
      </c>
      <c r="B279" t="s">
        <v>34</v>
      </c>
      <c r="C279" t="s">
        <v>163</v>
      </c>
      <c r="D279" s="4" t="s">
        <v>193</v>
      </c>
      <c r="E279" s="4" t="s">
        <v>270</v>
      </c>
      <c r="F279" s="4" t="s">
        <v>1509</v>
      </c>
      <c r="G279" t="s">
        <v>1510</v>
      </c>
      <c r="H279" t="s">
        <v>417</v>
      </c>
      <c r="I279" s="3">
        <f>RUSH__2[[#This Row],[TD]]/RUSH__2[[#This Row],[Rec]]</f>
        <v>0</v>
      </c>
      <c r="J279" s="3">
        <f>D279/(VLOOKUP(B279,'2025 Team'!$B$2:$G$33,2,FALSE))</f>
        <v>2.9250457038391225E-2</v>
      </c>
      <c r="K279" t="s">
        <v>1511</v>
      </c>
      <c r="L279" t="s">
        <v>300</v>
      </c>
    </row>
    <row r="280" spans="1:12" x14ac:dyDescent="0.25">
      <c r="A280" t="s">
        <v>615</v>
      </c>
      <c r="B280" t="s">
        <v>16</v>
      </c>
      <c r="C280" t="s">
        <v>163</v>
      </c>
      <c r="D280" s="4" t="s">
        <v>557</v>
      </c>
      <c r="E280" s="4" t="s">
        <v>266</v>
      </c>
      <c r="F280" s="4" t="s">
        <v>1162</v>
      </c>
      <c r="G280" t="s">
        <v>579</v>
      </c>
      <c r="H280" t="s">
        <v>417</v>
      </c>
      <c r="I280" s="3">
        <f>RUSH__2[[#This Row],[TD]]/RUSH__2[[#This Row],[Rec]]</f>
        <v>0</v>
      </c>
      <c r="J280" s="3">
        <f>D280/(VLOOKUP(B280,'2025 Team'!$B$2:$G$33,2,FALSE))</f>
        <v>2.9126213592233011E-2</v>
      </c>
      <c r="K280" t="s">
        <v>1396</v>
      </c>
      <c r="L280" t="s">
        <v>417</v>
      </c>
    </row>
    <row r="281" spans="1:12" x14ac:dyDescent="0.25">
      <c r="A281" t="s">
        <v>670</v>
      </c>
      <c r="B281" t="s">
        <v>52</v>
      </c>
      <c r="C281" t="s">
        <v>163</v>
      </c>
      <c r="D281" s="4" t="s">
        <v>535</v>
      </c>
      <c r="E281" s="4" t="s">
        <v>266</v>
      </c>
      <c r="F281" s="4" t="s">
        <v>533</v>
      </c>
      <c r="G281" t="s">
        <v>434</v>
      </c>
      <c r="H281" t="s">
        <v>417</v>
      </c>
      <c r="I281" s="3">
        <f>RUSH__2[[#This Row],[TD]]/RUSH__2[[#This Row],[Rec]]</f>
        <v>0</v>
      </c>
      <c r="J281" s="3">
        <f>D281/(VLOOKUP(B281,'2025 Team'!$B$2:$G$33,2,FALSE))</f>
        <v>2.8764805414551606E-2</v>
      </c>
      <c r="K281" t="s">
        <v>1176</v>
      </c>
      <c r="L281" t="s">
        <v>300</v>
      </c>
    </row>
    <row r="282" spans="1:12" x14ac:dyDescent="0.25">
      <c r="A282" t="s">
        <v>397</v>
      </c>
      <c r="B282" t="s">
        <v>12</v>
      </c>
      <c r="C282" t="s">
        <v>159</v>
      </c>
      <c r="D282" s="4" t="s">
        <v>198</v>
      </c>
      <c r="E282" s="4" t="s">
        <v>270</v>
      </c>
      <c r="F282" s="4" t="s">
        <v>1094</v>
      </c>
      <c r="G282" t="s">
        <v>648</v>
      </c>
      <c r="H282" t="s">
        <v>417</v>
      </c>
      <c r="I282" s="3">
        <f>RUSH__2[[#This Row],[TD]]/RUSH__2[[#This Row],[Rec]]</f>
        <v>0</v>
      </c>
      <c r="J282" s="3">
        <f>D282/(VLOOKUP(B282,'2025 Team'!$B$2:$G$33,2,FALSE))</f>
        <v>2.843601895734597E-2</v>
      </c>
      <c r="K282" t="s">
        <v>1321</v>
      </c>
      <c r="L282" t="s">
        <v>300</v>
      </c>
    </row>
    <row r="283" spans="1:12" x14ac:dyDescent="0.25">
      <c r="A283" t="s">
        <v>917</v>
      </c>
      <c r="B283" t="s">
        <v>42</v>
      </c>
      <c r="C283" t="s">
        <v>153</v>
      </c>
      <c r="D283" s="4" t="s">
        <v>193</v>
      </c>
      <c r="E283" s="4" t="s">
        <v>266</v>
      </c>
      <c r="F283" s="4" t="s">
        <v>1512</v>
      </c>
      <c r="G283" t="s">
        <v>1192</v>
      </c>
      <c r="H283" t="s">
        <v>417</v>
      </c>
      <c r="I283" s="3">
        <f>RUSH__2[[#This Row],[TD]]/RUSH__2[[#This Row],[Rec]]</f>
        <v>0</v>
      </c>
      <c r="J283" s="3">
        <f>D283/(VLOOKUP(B283,'2025 Team'!$B$2:$G$33,2,FALSE))</f>
        <v>2.8119507908611598E-2</v>
      </c>
      <c r="K283" t="s">
        <v>1371</v>
      </c>
      <c r="L283" t="s">
        <v>417</v>
      </c>
    </row>
    <row r="284" spans="1:12" x14ac:dyDescent="0.25">
      <c r="A284" t="s">
        <v>794</v>
      </c>
      <c r="B284" t="s">
        <v>8</v>
      </c>
      <c r="C284" t="s">
        <v>163</v>
      </c>
      <c r="D284" s="4" t="s">
        <v>202</v>
      </c>
      <c r="E284" s="4" t="s">
        <v>198</v>
      </c>
      <c r="F284" s="4" t="s">
        <v>1513</v>
      </c>
      <c r="G284" t="s">
        <v>1263</v>
      </c>
      <c r="H284" t="s">
        <v>417</v>
      </c>
      <c r="I284" s="3">
        <f>RUSH__2[[#This Row],[TD]]/RUSH__2[[#This Row],[Rec]]</f>
        <v>0</v>
      </c>
      <c r="J284" s="3">
        <f>D284/(VLOOKUP(B284,'2025 Team'!$B$2:$G$33,2,FALSE))</f>
        <v>2.7734976887519261E-2</v>
      </c>
      <c r="K284" t="s">
        <v>1297</v>
      </c>
      <c r="L284" t="s">
        <v>417</v>
      </c>
    </row>
    <row r="285" spans="1:12" x14ac:dyDescent="0.25">
      <c r="A285" t="s">
        <v>1049</v>
      </c>
      <c r="B285" t="s">
        <v>70</v>
      </c>
      <c r="C285" t="s">
        <v>153</v>
      </c>
      <c r="D285" s="4" t="s">
        <v>234</v>
      </c>
      <c r="E285" s="4" t="s">
        <v>266</v>
      </c>
      <c r="F285" s="4" t="s">
        <v>360</v>
      </c>
      <c r="G285" t="s">
        <v>1156</v>
      </c>
      <c r="H285" t="s">
        <v>300</v>
      </c>
      <c r="I285" s="3">
        <f>RUSH__2[[#This Row],[TD]]/RUSH__2[[#This Row],[Rec]]</f>
        <v>9.0909090909090912E-2</v>
      </c>
      <c r="J285" s="3">
        <f>D285/(VLOOKUP(B285,'2025 Team'!$B$2:$G$33,2,FALSE))</f>
        <v>2.7718550106609809E-2</v>
      </c>
      <c r="K285" t="s">
        <v>1419</v>
      </c>
      <c r="L285" t="s">
        <v>417</v>
      </c>
    </row>
    <row r="286" spans="1:12" x14ac:dyDescent="0.25">
      <c r="A286" t="s">
        <v>277</v>
      </c>
      <c r="B286" t="s">
        <v>70</v>
      </c>
      <c r="C286" t="s">
        <v>159</v>
      </c>
      <c r="D286" s="4" t="s">
        <v>234</v>
      </c>
      <c r="E286" s="4" t="s">
        <v>270</v>
      </c>
      <c r="F286" s="4" t="s">
        <v>1125</v>
      </c>
      <c r="G286" t="s">
        <v>1325</v>
      </c>
      <c r="H286" t="s">
        <v>417</v>
      </c>
      <c r="I286" s="3">
        <f>RUSH__2[[#This Row],[TD]]/RUSH__2[[#This Row],[Rec]]</f>
        <v>0</v>
      </c>
      <c r="J286" s="3">
        <f>D286/(VLOOKUP(B286,'2025 Team'!$B$2:$G$33,2,FALSE))</f>
        <v>2.7718550106609809E-2</v>
      </c>
      <c r="K286" t="s">
        <v>1342</v>
      </c>
      <c r="L286" t="s">
        <v>229</v>
      </c>
    </row>
    <row r="287" spans="1:12" x14ac:dyDescent="0.25">
      <c r="A287" t="s">
        <v>668</v>
      </c>
      <c r="B287" t="s">
        <v>32</v>
      </c>
      <c r="C287" t="s">
        <v>153</v>
      </c>
      <c r="D287" s="4" t="s">
        <v>193</v>
      </c>
      <c r="E287" s="4" t="s">
        <v>198</v>
      </c>
      <c r="F287" s="4" t="s">
        <v>533</v>
      </c>
      <c r="G287" t="s">
        <v>488</v>
      </c>
      <c r="H287" t="s">
        <v>417</v>
      </c>
      <c r="I287" s="3">
        <f>RUSH__2[[#This Row],[TD]]/RUSH__2[[#This Row],[Rec]]</f>
        <v>0</v>
      </c>
      <c r="J287" s="3">
        <f>D287/(VLOOKUP(B287,'2025 Team'!$B$2:$G$33,2,FALSE))</f>
        <v>2.7491408934707903E-2</v>
      </c>
      <c r="K287" t="s">
        <v>1321</v>
      </c>
      <c r="L287" t="s">
        <v>417</v>
      </c>
    </row>
    <row r="288" spans="1:12" x14ac:dyDescent="0.25">
      <c r="A288" t="s">
        <v>152</v>
      </c>
      <c r="B288" t="s">
        <v>52</v>
      </c>
      <c r="C288" t="s">
        <v>153</v>
      </c>
      <c r="D288" s="4" t="s">
        <v>193</v>
      </c>
      <c r="E288" s="4" t="s">
        <v>266</v>
      </c>
      <c r="F288" s="4" t="s">
        <v>1202</v>
      </c>
      <c r="G288" t="s">
        <v>1383</v>
      </c>
      <c r="H288" t="s">
        <v>417</v>
      </c>
      <c r="I288" s="3">
        <f>RUSH__2[[#This Row],[TD]]/RUSH__2[[#This Row],[Rec]]</f>
        <v>0</v>
      </c>
      <c r="J288" s="3">
        <f>D288/(VLOOKUP(B288,'2025 Team'!$B$2:$G$33,2,FALSE))</f>
        <v>2.7072758037225041E-2</v>
      </c>
      <c r="K288" t="s">
        <v>1371</v>
      </c>
      <c r="L288" t="s">
        <v>314</v>
      </c>
    </row>
    <row r="289" spans="1:12" x14ac:dyDescent="0.25">
      <c r="A289" t="s">
        <v>764</v>
      </c>
      <c r="B289" t="s">
        <v>66</v>
      </c>
      <c r="C289" t="s">
        <v>163</v>
      </c>
      <c r="D289" s="4" t="s">
        <v>557</v>
      </c>
      <c r="E289" s="4" t="s">
        <v>198</v>
      </c>
      <c r="F289" s="4" t="s">
        <v>1425</v>
      </c>
      <c r="G289" t="s">
        <v>1292</v>
      </c>
      <c r="H289" t="s">
        <v>417</v>
      </c>
      <c r="I289" s="3">
        <f>RUSH__2[[#This Row],[TD]]/RUSH__2[[#This Row],[Rec]]</f>
        <v>0</v>
      </c>
      <c r="J289" s="3">
        <f>D289/(VLOOKUP(B289,'2025 Team'!$B$2:$G$33,2,FALSE))</f>
        <v>2.6881720430107527E-2</v>
      </c>
      <c r="K289" t="s">
        <v>1329</v>
      </c>
      <c r="L289" t="s">
        <v>417</v>
      </c>
    </row>
    <row r="290" spans="1:12" x14ac:dyDescent="0.25">
      <c r="A290" t="s">
        <v>853</v>
      </c>
      <c r="B290" t="s">
        <v>22</v>
      </c>
      <c r="C290" t="s">
        <v>163</v>
      </c>
      <c r="D290" s="4" t="s">
        <v>557</v>
      </c>
      <c r="E290" s="4" t="s">
        <v>211</v>
      </c>
      <c r="F290" s="4" t="s">
        <v>1146</v>
      </c>
      <c r="G290" t="s">
        <v>1331</v>
      </c>
      <c r="H290" t="s">
        <v>417</v>
      </c>
      <c r="I290" s="3">
        <f>RUSH__2[[#This Row],[TD]]/RUSH__2[[#This Row],[Rec]]</f>
        <v>0</v>
      </c>
      <c r="J290" s="3">
        <f>D290/(VLOOKUP(B290,'2025 Team'!$B$2:$G$33,2,FALSE))</f>
        <v>2.6881720430107527E-2</v>
      </c>
      <c r="K290" t="s">
        <v>1297</v>
      </c>
      <c r="L290" t="s">
        <v>417</v>
      </c>
    </row>
    <row r="291" spans="1:12" x14ac:dyDescent="0.25">
      <c r="A291" t="s">
        <v>972</v>
      </c>
      <c r="B291" t="s">
        <v>54</v>
      </c>
      <c r="C291" t="s">
        <v>163</v>
      </c>
      <c r="D291" s="4" t="s">
        <v>344</v>
      </c>
      <c r="E291" s="4" t="s">
        <v>220</v>
      </c>
      <c r="F291" s="4" t="s">
        <v>467</v>
      </c>
      <c r="G291" t="s">
        <v>648</v>
      </c>
      <c r="H291" t="s">
        <v>417</v>
      </c>
      <c r="I291" s="3">
        <f>RUSH__2[[#This Row],[TD]]/RUSH__2[[#This Row],[Rec]]</f>
        <v>0</v>
      </c>
      <c r="J291" s="3">
        <f>D291/(VLOOKUP(B291,'2025 Team'!$B$2:$G$33,2,FALSE))</f>
        <v>2.6615969581749048E-2</v>
      </c>
      <c r="K291" t="s">
        <v>1514</v>
      </c>
      <c r="L291" t="s">
        <v>417</v>
      </c>
    </row>
    <row r="292" spans="1:12" x14ac:dyDescent="0.25">
      <c r="A292" t="s">
        <v>646</v>
      </c>
      <c r="B292" t="s">
        <v>30</v>
      </c>
      <c r="C292" t="s">
        <v>647</v>
      </c>
      <c r="D292" s="4" t="s">
        <v>234</v>
      </c>
      <c r="E292" s="4" t="s">
        <v>229</v>
      </c>
      <c r="F292" s="4" t="s">
        <v>1146</v>
      </c>
      <c r="G292" t="s">
        <v>1515</v>
      </c>
      <c r="H292" t="s">
        <v>300</v>
      </c>
      <c r="I292" s="3">
        <f>RUSH__2[[#This Row],[TD]]/RUSH__2[[#This Row],[Rec]]</f>
        <v>0.25</v>
      </c>
      <c r="J292" s="3">
        <f>D292/(VLOOKUP(B292,'2025 Team'!$B$2:$G$33,2,FALSE))</f>
        <v>2.6584867075664622E-2</v>
      </c>
      <c r="K292" t="s">
        <v>1516</v>
      </c>
      <c r="L292" t="s">
        <v>417</v>
      </c>
    </row>
    <row r="293" spans="1:12" x14ac:dyDescent="0.25">
      <c r="A293" t="s">
        <v>415</v>
      </c>
      <c r="B293" t="s">
        <v>14</v>
      </c>
      <c r="C293" t="s">
        <v>159</v>
      </c>
      <c r="D293" s="4" t="s">
        <v>234</v>
      </c>
      <c r="E293" s="4" t="s">
        <v>211</v>
      </c>
      <c r="F293" s="4" t="s">
        <v>371</v>
      </c>
      <c r="G293" t="s">
        <v>616</v>
      </c>
      <c r="H293" t="s">
        <v>289</v>
      </c>
      <c r="I293" s="3">
        <f>RUSH__2[[#This Row],[TD]]/RUSH__2[[#This Row],[Rec]]</f>
        <v>0.2</v>
      </c>
      <c r="J293" s="3">
        <f>D293/(VLOOKUP(B293,'2025 Team'!$B$2:$G$33,2,FALSE))</f>
        <v>2.6262626262626262E-2</v>
      </c>
      <c r="K293" t="s">
        <v>1397</v>
      </c>
      <c r="L293" t="s">
        <v>417</v>
      </c>
    </row>
    <row r="294" spans="1:12" x14ac:dyDescent="0.25">
      <c r="A294" t="s">
        <v>989</v>
      </c>
      <c r="B294" t="s">
        <v>58</v>
      </c>
      <c r="C294" t="s">
        <v>153</v>
      </c>
      <c r="D294" s="4" t="s">
        <v>234</v>
      </c>
      <c r="E294" s="4" t="s">
        <v>270</v>
      </c>
      <c r="F294" s="4" t="s">
        <v>533</v>
      </c>
      <c r="G294" t="s">
        <v>1257</v>
      </c>
      <c r="H294" t="s">
        <v>300</v>
      </c>
      <c r="I294" s="3">
        <f>RUSH__2[[#This Row],[TD]]/RUSH__2[[#This Row],[Rec]]</f>
        <v>0.1111111111111111</v>
      </c>
      <c r="J294" s="3">
        <f>D294/(VLOOKUP(B294,'2025 Team'!$B$2:$G$33,2,FALSE))</f>
        <v>2.6156941649899398E-2</v>
      </c>
      <c r="K294" t="s">
        <v>1342</v>
      </c>
      <c r="L294" t="s">
        <v>417</v>
      </c>
    </row>
    <row r="295" spans="1:12" x14ac:dyDescent="0.25">
      <c r="A295" t="s">
        <v>606</v>
      </c>
      <c r="B295" t="s">
        <v>12</v>
      </c>
      <c r="C295" t="s">
        <v>159</v>
      </c>
      <c r="D295" s="4" t="s">
        <v>266</v>
      </c>
      <c r="E295" s="4" t="s">
        <v>270</v>
      </c>
      <c r="F295" s="4" t="s">
        <v>1125</v>
      </c>
      <c r="G295" t="s">
        <v>1325</v>
      </c>
      <c r="H295" t="s">
        <v>300</v>
      </c>
      <c r="I295" s="3">
        <f>RUSH__2[[#This Row],[TD]]/RUSH__2[[#This Row],[Rec]]</f>
        <v>0.1111111111111111</v>
      </c>
      <c r="J295" s="3">
        <f>D295/(VLOOKUP(B295,'2025 Team'!$B$2:$G$33,2,FALSE))</f>
        <v>2.6066350710900472E-2</v>
      </c>
      <c r="K295" t="s">
        <v>1358</v>
      </c>
      <c r="L295" t="s">
        <v>417</v>
      </c>
    </row>
    <row r="296" spans="1:12" x14ac:dyDescent="0.25">
      <c r="A296" t="s">
        <v>810</v>
      </c>
      <c r="B296" t="s">
        <v>10</v>
      </c>
      <c r="C296" t="s">
        <v>163</v>
      </c>
      <c r="D296" s="4" t="s">
        <v>344</v>
      </c>
      <c r="E296" s="4" t="s">
        <v>247</v>
      </c>
      <c r="F296" s="4" t="s">
        <v>526</v>
      </c>
      <c r="G296" t="s">
        <v>1123</v>
      </c>
      <c r="H296" t="s">
        <v>417</v>
      </c>
      <c r="I296" s="3">
        <f>RUSH__2[[#This Row],[TD]]/RUSH__2[[#This Row],[Rec]]</f>
        <v>0</v>
      </c>
      <c r="J296" s="3">
        <f>D296/(VLOOKUP(B296,'2025 Team'!$B$2:$G$33,2,FALSE))</f>
        <v>2.5688073394495414E-2</v>
      </c>
      <c r="K296" t="s">
        <v>1517</v>
      </c>
      <c r="L296" t="s">
        <v>417</v>
      </c>
    </row>
    <row r="297" spans="1:12" x14ac:dyDescent="0.25">
      <c r="A297" t="s">
        <v>806</v>
      </c>
      <c r="B297" t="s">
        <v>10</v>
      </c>
      <c r="C297" t="s">
        <v>163</v>
      </c>
      <c r="D297" s="4" t="s">
        <v>344</v>
      </c>
      <c r="E297" s="4" t="s">
        <v>247</v>
      </c>
      <c r="F297" s="4" t="s">
        <v>424</v>
      </c>
      <c r="G297" t="s">
        <v>1331</v>
      </c>
      <c r="H297" t="s">
        <v>417</v>
      </c>
      <c r="I297" s="3">
        <f>RUSH__2[[#This Row],[TD]]/RUSH__2[[#This Row],[Rec]]</f>
        <v>0</v>
      </c>
      <c r="J297" s="3">
        <f>D297/(VLOOKUP(B297,'2025 Team'!$B$2:$G$33,2,FALSE))</f>
        <v>2.5688073394495414E-2</v>
      </c>
      <c r="K297" t="s">
        <v>1517</v>
      </c>
      <c r="L297" t="s">
        <v>417</v>
      </c>
    </row>
    <row r="298" spans="1:12" x14ac:dyDescent="0.25">
      <c r="A298" t="s">
        <v>1001</v>
      </c>
      <c r="B298" t="s">
        <v>60</v>
      </c>
      <c r="C298" t="s">
        <v>163</v>
      </c>
      <c r="D298" s="4" t="s">
        <v>344</v>
      </c>
      <c r="E298" s="4" t="s">
        <v>270</v>
      </c>
      <c r="F298" s="4" t="s">
        <v>573</v>
      </c>
      <c r="G298" t="s">
        <v>434</v>
      </c>
      <c r="H298" t="s">
        <v>417</v>
      </c>
      <c r="I298" s="3">
        <f>RUSH__2[[#This Row],[TD]]/RUSH__2[[#This Row],[Rec]]</f>
        <v>0</v>
      </c>
      <c r="J298" s="3">
        <f>D298/(VLOOKUP(B298,'2025 Team'!$B$2:$G$33,2,FALSE))</f>
        <v>2.5454545454545455E-2</v>
      </c>
      <c r="K298" t="s">
        <v>1518</v>
      </c>
      <c r="L298" t="s">
        <v>417</v>
      </c>
    </row>
    <row r="299" spans="1:12" x14ac:dyDescent="0.25">
      <c r="A299" t="s">
        <v>939</v>
      </c>
      <c r="B299" t="s">
        <v>40</v>
      </c>
      <c r="C299" t="s">
        <v>153</v>
      </c>
      <c r="D299" s="4" t="s">
        <v>234</v>
      </c>
      <c r="E299" s="4" t="s">
        <v>234</v>
      </c>
      <c r="F299" s="4" t="s">
        <v>360</v>
      </c>
      <c r="G299" t="s">
        <v>1192</v>
      </c>
      <c r="H299" t="s">
        <v>417</v>
      </c>
      <c r="I299" s="3">
        <f>RUSH__2[[#This Row],[TD]]/RUSH__2[[#This Row],[Rec]]</f>
        <v>0</v>
      </c>
      <c r="J299" s="3">
        <f>D299/(VLOOKUP(B299,'2025 Team'!$B$2:$G$33,2,FALSE))</f>
        <v>2.524271844660194E-2</v>
      </c>
      <c r="K299" t="s">
        <v>1519</v>
      </c>
      <c r="L299" t="s">
        <v>417</v>
      </c>
    </row>
    <row r="300" spans="1:12" x14ac:dyDescent="0.25">
      <c r="A300" t="s">
        <v>763</v>
      </c>
      <c r="B300" t="s">
        <v>22</v>
      </c>
      <c r="C300" t="s">
        <v>163</v>
      </c>
      <c r="D300" s="4" t="s">
        <v>344</v>
      </c>
      <c r="E300" s="4" t="s">
        <v>207</v>
      </c>
      <c r="F300" s="4" t="s">
        <v>392</v>
      </c>
      <c r="G300" t="s">
        <v>1116</v>
      </c>
      <c r="H300" t="s">
        <v>417</v>
      </c>
      <c r="I300" s="3">
        <f>RUSH__2[[#This Row],[TD]]/RUSH__2[[#This Row],[Rec]]</f>
        <v>0</v>
      </c>
      <c r="J300" s="3">
        <f>D300/(VLOOKUP(B300,'2025 Team'!$B$2:$G$33,2,FALSE))</f>
        <v>2.5089605734767026E-2</v>
      </c>
      <c r="K300" t="s">
        <v>1356</v>
      </c>
      <c r="L300" t="s">
        <v>229</v>
      </c>
    </row>
    <row r="301" spans="1:12" x14ac:dyDescent="0.25">
      <c r="A301" t="s">
        <v>577</v>
      </c>
      <c r="B301" t="s">
        <v>22</v>
      </c>
      <c r="C301" t="s">
        <v>163</v>
      </c>
      <c r="D301" s="4" t="s">
        <v>344</v>
      </c>
      <c r="E301" s="4" t="s">
        <v>266</v>
      </c>
      <c r="F301" s="4" t="s">
        <v>562</v>
      </c>
      <c r="G301" t="s">
        <v>1458</v>
      </c>
      <c r="H301" t="s">
        <v>417</v>
      </c>
      <c r="I301" s="3">
        <f>RUSH__2[[#This Row],[TD]]/RUSH__2[[#This Row],[Rec]]</f>
        <v>0</v>
      </c>
      <c r="J301" s="3">
        <f>D301/(VLOOKUP(B301,'2025 Team'!$B$2:$G$33,2,FALSE))</f>
        <v>2.5089605734767026E-2</v>
      </c>
      <c r="K301" t="s">
        <v>1520</v>
      </c>
      <c r="L301" t="s">
        <v>417</v>
      </c>
    </row>
    <row r="302" spans="1:12" x14ac:dyDescent="0.25">
      <c r="A302" t="s">
        <v>926</v>
      </c>
      <c r="B302" t="s">
        <v>44</v>
      </c>
      <c r="C302" t="s">
        <v>163</v>
      </c>
      <c r="D302" s="4" t="s">
        <v>557</v>
      </c>
      <c r="E302" s="4" t="s">
        <v>247</v>
      </c>
      <c r="F302" s="4" t="s">
        <v>1432</v>
      </c>
      <c r="G302" t="s">
        <v>1521</v>
      </c>
      <c r="H302" t="s">
        <v>300</v>
      </c>
      <c r="I302" s="3">
        <f>RUSH__2[[#This Row],[TD]]/RUSH__2[[#This Row],[Rec]]</f>
        <v>0.16666666666666666</v>
      </c>
      <c r="J302" s="3">
        <f>D302/(VLOOKUP(B302,'2025 Team'!$B$2:$G$33,2,FALSE))</f>
        <v>2.508361204013378E-2</v>
      </c>
      <c r="K302" t="s">
        <v>1522</v>
      </c>
      <c r="L302" t="s">
        <v>417</v>
      </c>
    </row>
    <row r="303" spans="1:12" x14ac:dyDescent="0.25">
      <c r="A303" t="s">
        <v>380</v>
      </c>
      <c r="B303" t="s">
        <v>36</v>
      </c>
      <c r="C303" t="s">
        <v>159</v>
      </c>
      <c r="D303" s="4" t="s">
        <v>344</v>
      </c>
      <c r="E303" s="4" t="s">
        <v>211</v>
      </c>
      <c r="F303" s="4" t="s">
        <v>562</v>
      </c>
      <c r="G303" t="s">
        <v>599</v>
      </c>
      <c r="H303" t="s">
        <v>289</v>
      </c>
      <c r="I303" s="3">
        <f>RUSH__2[[#This Row],[TD]]/RUSH__2[[#This Row],[Rec]]</f>
        <v>0.2</v>
      </c>
      <c r="J303" s="3">
        <f>D303/(VLOOKUP(B303,'2025 Team'!$B$2:$G$33,2,FALSE))</f>
        <v>2.4866785079928951E-2</v>
      </c>
      <c r="K303" t="s">
        <v>1363</v>
      </c>
      <c r="L303" t="s">
        <v>289</v>
      </c>
    </row>
    <row r="304" spans="1:12" x14ac:dyDescent="0.25">
      <c r="A304" t="s">
        <v>162</v>
      </c>
      <c r="B304" t="s">
        <v>54</v>
      </c>
      <c r="C304" t="s">
        <v>163</v>
      </c>
      <c r="D304" s="4" t="s">
        <v>234</v>
      </c>
      <c r="E304" s="4" t="s">
        <v>211</v>
      </c>
      <c r="F304" s="4" t="s">
        <v>334</v>
      </c>
      <c r="G304" t="s">
        <v>1092</v>
      </c>
      <c r="H304" t="s">
        <v>300</v>
      </c>
      <c r="I304" s="3">
        <f>RUSH__2[[#This Row],[TD]]/RUSH__2[[#This Row],[Rec]]</f>
        <v>0.1</v>
      </c>
      <c r="J304" s="3">
        <f>D304/(VLOOKUP(B304,'2025 Team'!$B$2:$G$33,2,FALSE))</f>
        <v>2.4714828897338403E-2</v>
      </c>
      <c r="K304" t="s">
        <v>1397</v>
      </c>
      <c r="L304" t="s">
        <v>300</v>
      </c>
    </row>
    <row r="305" spans="1:12" x14ac:dyDescent="0.25">
      <c r="A305" t="s">
        <v>517</v>
      </c>
      <c r="B305" t="s">
        <v>8</v>
      </c>
      <c r="C305" t="s">
        <v>159</v>
      </c>
      <c r="D305" s="4" t="s">
        <v>193</v>
      </c>
      <c r="E305" s="4" t="s">
        <v>234</v>
      </c>
      <c r="F305" s="4" t="s">
        <v>424</v>
      </c>
      <c r="G305" t="s">
        <v>203</v>
      </c>
      <c r="H305" t="s">
        <v>417</v>
      </c>
      <c r="I305" s="3">
        <f>RUSH__2[[#This Row],[TD]]/RUSH__2[[#This Row],[Rec]]</f>
        <v>0</v>
      </c>
      <c r="J305" s="3">
        <f>D305/(VLOOKUP(B305,'2025 Team'!$B$2:$G$33,2,FALSE))</f>
        <v>2.465331278890601E-2</v>
      </c>
      <c r="K305" t="s">
        <v>1447</v>
      </c>
      <c r="L305" t="s">
        <v>417</v>
      </c>
    </row>
    <row r="306" spans="1:12" x14ac:dyDescent="0.25">
      <c r="A306" t="s">
        <v>867</v>
      </c>
      <c r="B306" t="s">
        <v>26</v>
      </c>
      <c r="C306" t="s">
        <v>163</v>
      </c>
      <c r="D306" s="4" t="s">
        <v>557</v>
      </c>
      <c r="E306" s="4" t="s">
        <v>270</v>
      </c>
      <c r="F306" s="4" t="s">
        <v>369</v>
      </c>
      <c r="G306" t="s">
        <v>1164</v>
      </c>
      <c r="H306" t="s">
        <v>300</v>
      </c>
      <c r="I306" s="3">
        <f>RUSH__2[[#This Row],[TD]]/RUSH__2[[#This Row],[Rec]]</f>
        <v>0.1111111111111111</v>
      </c>
      <c r="J306" s="3">
        <f>D306/(VLOOKUP(B306,'2025 Team'!$B$2:$G$33,2,FALSE))</f>
        <v>2.4469820554649267E-2</v>
      </c>
      <c r="K306" t="s">
        <v>1290</v>
      </c>
      <c r="L306" t="s">
        <v>417</v>
      </c>
    </row>
    <row r="307" spans="1:12" x14ac:dyDescent="0.25">
      <c r="A307" t="s">
        <v>1016</v>
      </c>
      <c r="B307" t="s">
        <v>62</v>
      </c>
      <c r="C307" t="s">
        <v>153</v>
      </c>
      <c r="D307" s="4" t="s">
        <v>344</v>
      </c>
      <c r="E307" s="4" t="s">
        <v>266</v>
      </c>
      <c r="F307" s="4" t="s">
        <v>548</v>
      </c>
      <c r="G307" t="s">
        <v>1489</v>
      </c>
      <c r="H307" t="s">
        <v>289</v>
      </c>
      <c r="I307" s="3">
        <f>RUSH__2[[#This Row],[TD]]/RUSH__2[[#This Row],[Rec]]</f>
        <v>0.18181818181818182</v>
      </c>
      <c r="J307" s="3">
        <f>D307/(VLOOKUP(B307,'2025 Team'!$B$2:$G$33,2,FALSE))</f>
        <v>2.4390243902439025E-2</v>
      </c>
      <c r="K307" t="s">
        <v>1520</v>
      </c>
      <c r="L307" t="s">
        <v>300</v>
      </c>
    </row>
    <row r="308" spans="1:12" x14ac:dyDescent="0.25">
      <c r="A308" t="s">
        <v>553</v>
      </c>
      <c r="B308" t="s">
        <v>58</v>
      </c>
      <c r="C308" t="s">
        <v>159</v>
      </c>
      <c r="D308" s="4" t="s">
        <v>198</v>
      </c>
      <c r="E308" s="4" t="s">
        <v>270</v>
      </c>
      <c r="F308" s="4" t="s">
        <v>1244</v>
      </c>
      <c r="G308" t="s">
        <v>574</v>
      </c>
      <c r="H308" t="s">
        <v>417</v>
      </c>
      <c r="I308" s="3">
        <f>RUSH__2[[#This Row],[TD]]/RUSH__2[[#This Row],[Rec]]</f>
        <v>0</v>
      </c>
      <c r="J308" s="3">
        <f>D308/(VLOOKUP(B308,'2025 Team'!$B$2:$G$33,2,FALSE))</f>
        <v>2.4144869215291749E-2</v>
      </c>
      <c r="K308" t="s">
        <v>1321</v>
      </c>
      <c r="L308" t="s">
        <v>300</v>
      </c>
    </row>
    <row r="309" spans="1:12" x14ac:dyDescent="0.25">
      <c r="A309" t="s">
        <v>566</v>
      </c>
      <c r="B309" t="s">
        <v>24</v>
      </c>
      <c r="C309" t="s">
        <v>159</v>
      </c>
      <c r="D309" s="4" t="s">
        <v>557</v>
      </c>
      <c r="E309" s="4" t="s">
        <v>234</v>
      </c>
      <c r="F309" s="4" t="s">
        <v>455</v>
      </c>
      <c r="G309" t="s">
        <v>1257</v>
      </c>
      <c r="H309" t="s">
        <v>300</v>
      </c>
      <c r="I309" s="3">
        <f>RUSH__2[[#This Row],[TD]]/RUSH__2[[#This Row],[Rec]]</f>
        <v>7.6923076923076927E-2</v>
      </c>
      <c r="J309" s="3">
        <f>D309/(VLOOKUP(B309,'2025 Team'!$B$2:$G$33,2,FALSE))</f>
        <v>2.403846153846154E-2</v>
      </c>
      <c r="K309" t="s">
        <v>1523</v>
      </c>
      <c r="L309" t="s">
        <v>417</v>
      </c>
    </row>
    <row r="310" spans="1:12" x14ac:dyDescent="0.25">
      <c r="A310" t="s">
        <v>333</v>
      </c>
      <c r="B310" t="s">
        <v>44</v>
      </c>
      <c r="C310" t="s">
        <v>159</v>
      </c>
      <c r="D310" s="4" t="s">
        <v>344</v>
      </c>
      <c r="E310" s="4" t="s">
        <v>225</v>
      </c>
      <c r="F310" s="4" t="s">
        <v>476</v>
      </c>
      <c r="G310" t="s">
        <v>255</v>
      </c>
      <c r="H310" t="s">
        <v>417</v>
      </c>
      <c r="I310" s="3">
        <f>RUSH__2[[#This Row],[TD]]/RUSH__2[[#This Row],[Rec]]</f>
        <v>0</v>
      </c>
      <c r="J310" s="3">
        <f>D310/(VLOOKUP(B310,'2025 Team'!$B$2:$G$33,2,FALSE))</f>
        <v>2.3411371237458192E-2</v>
      </c>
      <c r="K310" t="s">
        <v>1488</v>
      </c>
      <c r="L310" t="s">
        <v>417</v>
      </c>
    </row>
    <row r="311" spans="1:12" x14ac:dyDescent="0.25">
      <c r="A311" t="s">
        <v>520</v>
      </c>
      <c r="B311" t="s">
        <v>40</v>
      </c>
      <c r="C311" t="s">
        <v>159</v>
      </c>
      <c r="D311" s="4" t="s">
        <v>198</v>
      </c>
      <c r="E311" s="4" t="s">
        <v>198</v>
      </c>
      <c r="F311" s="4" t="s">
        <v>383</v>
      </c>
      <c r="G311" t="s">
        <v>400</v>
      </c>
      <c r="H311" t="s">
        <v>417</v>
      </c>
      <c r="I311" s="3">
        <f>RUSH__2[[#This Row],[TD]]/RUSH__2[[#This Row],[Rec]]</f>
        <v>0</v>
      </c>
      <c r="J311" s="3">
        <f>D311/(VLOOKUP(B311,'2025 Team'!$B$2:$G$33,2,FALSE))</f>
        <v>2.3300970873786409E-2</v>
      </c>
      <c r="K311" t="s">
        <v>1519</v>
      </c>
      <c r="L311" t="s">
        <v>417</v>
      </c>
    </row>
    <row r="312" spans="1:12" x14ac:dyDescent="0.25">
      <c r="A312" t="s">
        <v>695</v>
      </c>
      <c r="B312" t="s">
        <v>46</v>
      </c>
      <c r="C312" t="s">
        <v>613</v>
      </c>
      <c r="D312" s="4" t="s">
        <v>266</v>
      </c>
      <c r="E312" s="4" t="s">
        <v>225</v>
      </c>
      <c r="F312" s="4" t="s">
        <v>441</v>
      </c>
      <c r="G312" t="s">
        <v>539</v>
      </c>
      <c r="H312" t="s">
        <v>417</v>
      </c>
      <c r="I312" s="3">
        <f>RUSH__2[[#This Row],[TD]]/RUSH__2[[#This Row],[Rec]]</f>
        <v>0</v>
      </c>
      <c r="J312" s="3">
        <f>D312/(VLOOKUP(B312,'2025 Team'!$B$2:$G$33,2,FALSE))</f>
        <v>2.2964509394572025E-2</v>
      </c>
      <c r="K312" t="s">
        <v>1117</v>
      </c>
      <c r="L312" t="s">
        <v>417</v>
      </c>
    </row>
    <row r="313" spans="1:12" x14ac:dyDescent="0.25">
      <c r="A313" t="s">
        <v>330</v>
      </c>
      <c r="B313" t="s">
        <v>26</v>
      </c>
      <c r="C313" t="s">
        <v>159</v>
      </c>
      <c r="D313" s="4" t="s">
        <v>344</v>
      </c>
      <c r="E313" s="4" t="s">
        <v>266</v>
      </c>
      <c r="F313" s="4" t="s">
        <v>461</v>
      </c>
      <c r="G313" t="s">
        <v>301</v>
      </c>
      <c r="H313" t="s">
        <v>417</v>
      </c>
      <c r="I313" s="3">
        <f>RUSH__2[[#This Row],[TD]]/RUSH__2[[#This Row],[Rec]]</f>
        <v>0</v>
      </c>
      <c r="J313" s="3">
        <f>D313/(VLOOKUP(B313,'2025 Team'!$B$2:$G$33,2,FALSE))</f>
        <v>2.2838499184339316E-2</v>
      </c>
      <c r="K313" t="s">
        <v>1520</v>
      </c>
      <c r="L313" t="s">
        <v>417</v>
      </c>
    </row>
    <row r="314" spans="1:12" x14ac:dyDescent="0.25">
      <c r="A314" t="s">
        <v>595</v>
      </c>
      <c r="B314" t="s">
        <v>32</v>
      </c>
      <c r="C314" t="s">
        <v>159</v>
      </c>
      <c r="D314" s="4" t="s">
        <v>234</v>
      </c>
      <c r="E314" s="4" t="s">
        <v>211</v>
      </c>
      <c r="F314" s="4" t="s">
        <v>533</v>
      </c>
      <c r="G314" t="s">
        <v>1325</v>
      </c>
      <c r="H314" t="s">
        <v>417</v>
      </c>
      <c r="I314" s="3">
        <f>RUSH__2[[#This Row],[TD]]/RUSH__2[[#This Row],[Rec]]</f>
        <v>0</v>
      </c>
      <c r="J314" s="3">
        <f>D314/(VLOOKUP(B314,'2025 Team'!$B$2:$G$33,2,FALSE))</f>
        <v>2.2336769759450172E-2</v>
      </c>
      <c r="K314" t="s">
        <v>1397</v>
      </c>
      <c r="L314" t="s">
        <v>300</v>
      </c>
    </row>
    <row r="315" spans="1:12" x14ac:dyDescent="0.25">
      <c r="A315" t="s">
        <v>820</v>
      </c>
      <c r="B315" t="s">
        <v>14</v>
      </c>
      <c r="C315" t="s">
        <v>163</v>
      </c>
      <c r="D315" s="4" t="s">
        <v>266</v>
      </c>
      <c r="E315" s="4" t="s">
        <v>220</v>
      </c>
      <c r="F315" s="4" t="s">
        <v>360</v>
      </c>
      <c r="G315" t="s">
        <v>1524</v>
      </c>
      <c r="H315" t="s">
        <v>417</v>
      </c>
      <c r="I315" s="3">
        <f>RUSH__2[[#This Row],[TD]]/RUSH__2[[#This Row],[Rec]]</f>
        <v>0</v>
      </c>
      <c r="J315" s="3">
        <f>D315/(VLOOKUP(B315,'2025 Team'!$B$2:$G$33,2,FALSE))</f>
        <v>2.2222222222222223E-2</v>
      </c>
      <c r="K315" t="s">
        <v>1467</v>
      </c>
      <c r="L315" t="s">
        <v>417</v>
      </c>
    </row>
    <row r="316" spans="1:12" x14ac:dyDescent="0.25">
      <c r="A316" t="s">
        <v>990</v>
      </c>
      <c r="B316" t="s">
        <v>58</v>
      </c>
      <c r="C316" t="s">
        <v>163</v>
      </c>
      <c r="D316" s="4" t="s">
        <v>266</v>
      </c>
      <c r="E316" s="4" t="s">
        <v>270</v>
      </c>
      <c r="F316" s="4" t="s">
        <v>374</v>
      </c>
      <c r="G316" t="s">
        <v>1148</v>
      </c>
      <c r="H316" t="s">
        <v>417</v>
      </c>
      <c r="I316" s="3">
        <f>RUSH__2[[#This Row],[TD]]/RUSH__2[[#This Row],[Rec]]</f>
        <v>0</v>
      </c>
      <c r="J316" s="3">
        <f>D316/(VLOOKUP(B316,'2025 Team'!$B$2:$G$33,2,FALSE))</f>
        <v>2.2132796780684104E-2</v>
      </c>
      <c r="K316" t="s">
        <v>1358</v>
      </c>
      <c r="L316" t="s">
        <v>417</v>
      </c>
    </row>
    <row r="317" spans="1:12" x14ac:dyDescent="0.25">
      <c r="A317" t="s">
        <v>458</v>
      </c>
      <c r="B317" t="s">
        <v>52</v>
      </c>
      <c r="C317" t="s">
        <v>159</v>
      </c>
      <c r="D317" s="4" t="s">
        <v>234</v>
      </c>
      <c r="E317" s="4" t="s">
        <v>198</v>
      </c>
      <c r="F317" s="4" t="s">
        <v>363</v>
      </c>
      <c r="G317" t="s">
        <v>616</v>
      </c>
      <c r="H317" t="s">
        <v>417</v>
      </c>
      <c r="I317" s="3">
        <f>RUSH__2[[#This Row],[TD]]/RUSH__2[[#This Row],[Rec]]</f>
        <v>0</v>
      </c>
      <c r="J317" s="3">
        <f>D317/(VLOOKUP(B317,'2025 Team'!$B$2:$G$33,2,FALSE))</f>
        <v>2.1996615905245348E-2</v>
      </c>
      <c r="K317" t="s">
        <v>1525</v>
      </c>
      <c r="L317" t="s">
        <v>417</v>
      </c>
    </row>
    <row r="318" spans="1:12" x14ac:dyDescent="0.25">
      <c r="A318" t="s">
        <v>1042</v>
      </c>
      <c r="B318" t="s">
        <v>70</v>
      </c>
      <c r="C318" t="s">
        <v>163</v>
      </c>
      <c r="D318" s="4" t="s">
        <v>211</v>
      </c>
      <c r="E318" s="4" t="s">
        <v>220</v>
      </c>
      <c r="F318" s="4" t="s">
        <v>381</v>
      </c>
      <c r="G318" t="s">
        <v>1526</v>
      </c>
      <c r="H318" t="s">
        <v>417</v>
      </c>
      <c r="I318" s="3">
        <f>RUSH__2[[#This Row],[TD]]/RUSH__2[[#This Row],[Rec]]</f>
        <v>0</v>
      </c>
      <c r="J318" s="3">
        <f>D318/(VLOOKUP(B318,'2025 Team'!$B$2:$G$33,2,FALSE))</f>
        <v>2.1321961620469083E-2</v>
      </c>
      <c r="K318" t="s">
        <v>1356</v>
      </c>
      <c r="L318" t="s">
        <v>417</v>
      </c>
    </row>
    <row r="319" spans="1:12" x14ac:dyDescent="0.25">
      <c r="A319" t="s">
        <v>920</v>
      </c>
      <c r="B319" t="s">
        <v>42</v>
      </c>
      <c r="C319" t="s">
        <v>163</v>
      </c>
      <c r="D319" s="4" t="s">
        <v>198</v>
      </c>
      <c r="E319" s="4" t="s">
        <v>220</v>
      </c>
      <c r="F319" s="4" t="s">
        <v>582</v>
      </c>
      <c r="G319" t="s">
        <v>1148</v>
      </c>
      <c r="H319" t="s">
        <v>300</v>
      </c>
      <c r="I319" s="3">
        <f>RUSH__2[[#This Row],[TD]]/RUSH__2[[#This Row],[Rec]]</f>
        <v>0.2</v>
      </c>
      <c r="J319" s="3">
        <f>D319/(VLOOKUP(B319,'2025 Team'!$B$2:$G$33,2,FALSE))</f>
        <v>2.10896309314587E-2</v>
      </c>
      <c r="K319" t="s">
        <v>1527</v>
      </c>
      <c r="L319" t="s">
        <v>417</v>
      </c>
    </row>
    <row r="320" spans="1:12" x14ac:dyDescent="0.25">
      <c r="A320" t="s">
        <v>1036</v>
      </c>
      <c r="B320" t="s">
        <v>68</v>
      </c>
      <c r="C320" t="s">
        <v>163</v>
      </c>
      <c r="D320" s="4" t="s">
        <v>198</v>
      </c>
      <c r="E320" s="4" t="s">
        <v>247</v>
      </c>
      <c r="F320" s="4" t="s">
        <v>422</v>
      </c>
      <c r="G320" t="s">
        <v>1130</v>
      </c>
      <c r="H320" t="s">
        <v>417</v>
      </c>
      <c r="I320" s="3">
        <f>RUSH__2[[#This Row],[TD]]/RUSH__2[[#This Row],[Rec]]</f>
        <v>0</v>
      </c>
      <c r="J320" s="3">
        <f>D320/(VLOOKUP(B320,'2025 Team'!$B$2:$G$33,2,FALSE))</f>
        <v>2.1052631578947368E-2</v>
      </c>
      <c r="K320" t="s">
        <v>1356</v>
      </c>
      <c r="L320" t="s">
        <v>417</v>
      </c>
    </row>
    <row r="321" spans="1:12" x14ac:dyDescent="0.25">
      <c r="A321" t="s">
        <v>373</v>
      </c>
      <c r="B321" t="s">
        <v>62</v>
      </c>
      <c r="C321" t="s">
        <v>159</v>
      </c>
      <c r="D321" s="4" t="s">
        <v>198</v>
      </c>
      <c r="E321" s="4" t="s">
        <v>225</v>
      </c>
      <c r="F321" s="4" t="s">
        <v>500</v>
      </c>
      <c r="G321" t="s">
        <v>550</v>
      </c>
      <c r="H321" t="s">
        <v>417</v>
      </c>
      <c r="I321" s="3">
        <f>RUSH__2[[#This Row],[TD]]/RUSH__2[[#This Row],[Rec]]</f>
        <v>0</v>
      </c>
      <c r="J321" s="3">
        <f>D321/(VLOOKUP(B321,'2025 Team'!$B$2:$G$33,2,FALSE))</f>
        <v>2.0905923344947737E-2</v>
      </c>
      <c r="K321" t="s">
        <v>1297</v>
      </c>
      <c r="L321" t="s">
        <v>417</v>
      </c>
    </row>
    <row r="322" spans="1:12" x14ac:dyDescent="0.25">
      <c r="A322" t="s">
        <v>946</v>
      </c>
      <c r="B322" t="s">
        <v>46</v>
      </c>
      <c r="C322" t="s">
        <v>163</v>
      </c>
      <c r="D322" s="4" t="s">
        <v>211</v>
      </c>
      <c r="E322" s="4" t="s">
        <v>247</v>
      </c>
      <c r="F322" s="4" t="s">
        <v>1528</v>
      </c>
      <c r="G322" t="s">
        <v>1529</v>
      </c>
      <c r="H322" t="s">
        <v>300</v>
      </c>
      <c r="I322" s="3">
        <f>RUSH__2[[#This Row],[TD]]/RUSH__2[[#This Row],[Rec]]</f>
        <v>0.16666666666666666</v>
      </c>
      <c r="J322" s="3">
        <f>D322/(VLOOKUP(B322,'2025 Team'!$B$2:$G$33,2,FALSE))</f>
        <v>2.0876826722338204E-2</v>
      </c>
      <c r="K322" t="s">
        <v>1290</v>
      </c>
      <c r="L322" t="s">
        <v>417</v>
      </c>
    </row>
    <row r="323" spans="1:12" x14ac:dyDescent="0.25">
      <c r="A323" t="s">
        <v>861</v>
      </c>
      <c r="B323" t="s">
        <v>24</v>
      </c>
      <c r="C323" t="s">
        <v>153</v>
      </c>
      <c r="D323" s="4" t="s">
        <v>234</v>
      </c>
      <c r="E323" s="4" t="s">
        <v>270</v>
      </c>
      <c r="F323" s="4" t="s">
        <v>1209</v>
      </c>
      <c r="G323" t="s">
        <v>662</v>
      </c>
      <c r="H323" t="s">
        <v>300</v>
      </c>
      <c r="I323" s="3">
        <f>RUSH__2[[#This Row],[TD]]/RUSH__2[[#This Row],[Rec]]</f>
        <v>0.1111111111111111</v>
      </c>
      <c r="J323" s="3">
        <f>D323/(VLOOKUP(B323,'2025 Team'!$B$2:$G$33,2,FALSE))</f>
        <v>2.0833333333333332E-2</v>
      </c>
      <c r="K323" t="s">
        <v>1342</v>
      </c>
      <c r="L323" t="s">
        <v>417</v>
      </c>
    </row>
    <row r="324" spans="1:12" x14ac:dyDescent="0.25">
      <c r="A324" t="s">
        <v>580</v>
      </c>
      <c r="B324" t="s">
        <v>30</v>
      </c>
      <c r="C324" t="s">
        <v>163</v>
      </c>
      <c r="D324" s="4" t="s">
        <v>211</v>
      </c>
      <c r="E324" s="4" t="s">
        <v>211</v>
      </c>
      <c r="F324" s="4" t="s">
        <v>552</v>
      </c>
      <c r="G324" t="s">
        <v>611</v>
      </c>
      <c r="H324" t="s">
        <v>300</v>
      </c>
      <c r="I324" s="3">
        <f>RUSH__2[[#This Row],[TD]]/RUSH__2[[#This Row],[Rec]]</f>
        <v>0.1</v>
      </c>
      <c r="J324" s="3">
        <f>D324/(VLOOKUP(B324,'2025 Team'!$B$2:$G$33,2,FALSE))</f>
        <v>2.0449897750511249E-2</v>
      </c>
      <c r="K324" t="s">
        <v>1519</v>
      </c>
      <c r="L324" t="s">
        <v>300</v>
      </c>
    </row>
    <row r="325" spans="1:12" x14ac:dyDescent="0.25">
      <c r="A325" t="s">
        <v>801</v>
      </c>
      <c r="B325" t="s">
        <v>10</v>
      </c>
      <c r="C325" t="s">
        <v>163</v>
      </c>
      <c r="D325" s="4" t="s">
        <v>266</v>
      </c>
      <c r="E325" s="4" t="s">
        <v>207</v>
      </c>
      <c r="F325" s="4" t="s">
        <v>1199</v>
      </c>
      <c r="G325" t="s">
        <v>389</v>
      </c>
      <c r="H325" t="s">
        <v>417</v>
      </c>
      <c r="I325" s="3">
        <f>RUSH__2[[#This Row],[TD]]/RUSH__2[[#This Row],[Rec]]</f>
        <v>0</v>
      </c>
      <c r="J325" s="3">
        <f>D325/(VLOOKUP(B325,'2025 Team'!$B$2:$G$33,2,FALSE))</f>
        <v>2.0183486238532111E-2</v>
      </c>
      <c r="K325" t="s">
        <v>1295</v>
      </c>
      <c r="L325" t="s">
        <v>417</v>
      </c>
    </row>
    <row r="326" spans="1:12" x14ac:dyDescent="0.25">
      <c r="A326" t="s">
        <v>799</v>
      </c>
      <c r="B326" t="s">
        <v>8</v>
      </c>
      <c r="C326" t="s">
        <v>163</v>
      </c>
      <c r="D326" s="4" t="s">
        <v>234</v>
      </c>
      <c r="E326" s="4" t="s">
        <v>207</v>
      </c>
      <c r="F326" s="4" t="s">
        <v>376</v>
      </c>
      <c r="G326" t="s">
        <v>1112</v>
      </c>
      <c r="H326" t="s">
        <v>417</v>
      </c>
      <c r="I326" s="3">
        <f>RUSH__2[[#This Row],[TD]]/RUSH__2[[#This Row],[Rec]]</f>
        <v>0</v>
      </c>
      <c r="J326" s="3">
        <f>D326/(VLOOKUP(B326,'2025 Team'!$B$2:$G$33,2,FALSE))</f>
        <v>2.0030816640986132E-2</v>
      </c>
      <c r="K326" t="s">
        <v>1365</v>
      </c>
      <c r="L326" t="s">
        <v>417</v>
      </c>
    </row>
    <row r="327" spans="1:12" x14ac:dyDescent="0.25">
      <c r="A327" t="s">
        <v>378</v>
      </c>
      <c r="B327" t="s">
        <v>66</v>
      </c>
      <c r="C327" t="s">
        <v>159</v>
      </c>
      <c r="D327" s="4" t="s">
        <v>266</v>
      </c>
      <c r="E327" s="4" t="s">
        <v>225</v>
      </c>
      <c r="F327" s="4" t="s">
        <v>679</v>
      </c>
      <c r="G327" t="s">
        <v>239</v>
      </c>
      <c r="H327" t="s">
        <v>300</v>
      </c>
      <c r="I327" s="3">
        <f>RUSH__2[[#This Row],[TD]]/RUSH__2[[#This Row],[Rec]]</f>
        <v>0.125</v>
      </c>
      <c r="J327" s="3">
        <f>D327/(VLOOKUP(B327,'2025 Team'!$B$2:$G$33,2,FALSE))</f>
        <v>1.9713261648745518E-2</v>
      </c>
      <c r="K327" t="s">
        <v>1117</v>
      </c>
      <c r="L327" t="s">
        <v>289</v>
      </c>
    </row>
    <row r="328" spans="1:12" x14ac:dyDescent="0.25">
      <c r="A328" t="s">
        <v>525</v>
      </c>
      <c r="B328" t="s">
        <v>36</v>
      </c>
      <c r="C328" t="s">
        <v>159</v>
      </c>
      <c r="D328" s="4" t="s">
        <v>266</v>
      </c>
      <c r="E328" s="4" t="s">
        <v>211</v>
      </c>
      <c r="F328" s="4" t="s">
        <v>429</v>
      </c>
      <c r="G328" t="s">
        <v>394</v>
      </c>
      <c r="H328" t="s">
        <v>417</v>
      </c>
      <c r="I328" s="3">
        <f>RUSH__2[[#This Row],[TD]]/RUSH__2[[#This Row],[Rec]]</f>
        <v>0</v>
      </c>
      <c r="J328" s="3">
        <f>D328/(VLOOKUP(B328,'2025 Team'!$B$2:$G$33,2,FALSE))</f>
        <v>1.9538188277087035E-2</v>
      </c>
      <c r="K328" t="s">
        <v>1530</v>
      </c>
      <c r="L328" t="s">
        <v>417</v>
      </c>
    </row>
    <row r="329" spans="1:12" x14ac:dyDescent="0.25">
      <c r="A329" t="s">
        <v>1043</v>
      </c>
      <c r="B329" t="s">
        <v>70</v>
      </c>
      <c r="C329" t="s">
        <v>163</v>
      </c>
      <c r="D329" s="4" t="s">
        <v>270</v>
      </c>
      <c r="E329" s="4" t="s">
        <v>220</v>
      </c>
      <c r="F329" s="4" t="s">
        <v>446</v>
      </c>
      <c r="G329" t="s">
        <v>1190</v>
      </c>
      <c r="H329" t="s">
        <v>417</v>
      </c>
      <c r="I329" s="3">
        <f>RUSH__2[[#This Row],[TD]]/RUSH__2[[#This Row],[Rec]]</f>
        <v>0</v>
      </c>
      <c r="J329" s="3">
        <f>D329/(VLOOKUP(B329,'2025 Team'!$B$2:$G$33,2,FALSE))</f>
        <v>1.9189765458422176E-2</v>
      </c>
      <c r="K329" t="s">
        <v>1496</v>
      </c>
      <c r="L329" t="s">
        <v>417</v>
      </c>
    </row>
    <row r="330" spans="1:12" x14ac:dyDescent="0.25">
      <c r="A330" t="s">
        <v>867</v>
      </c>
      <c r="B330" t="s">
        <v>54</v>
      </c>
      <c r="C330" t="s">
        <v>163</v>
      </c>
      <c r="D330" s="4" t="s">
        <v>211</v>
      </c>
      <c r="E330" s="4" t="s">
        <v>229</v>
      </c>
      <c r="F330" s="4" t="s">
        <v>433</v>
      </c>
      <c r="G330" t="s">
        <v>1254</v>
      </c>
      <c r="H330" t="s">
        <v>417</v>
      </c>
      <c r="I330" s="3">
        <f>RUSH__2[[#This Row],[TD]]/RUSH__2[[#This Row],[Rec]]</f>
        <v>0</v>
      </c>
      <c r="J330" s="3">
        <f>D330/(VLOOKUP(B330,'2025 Team'!$B$2:$G$33,2,FALSE))</f>
        <v>1.9011406844106463E-2</v>
      </c>
      <c r="K330" t="s">
        <v>1522</v>
      </c>
      <c r="L330" t="s">
        <v>417</v>
      </c>
    </row>
    <row r="331" spans="1:12" x14ac:dyDescent="0.25">
      <c r="A331" t="s">
        <v>817</v>
      </c>
      <c r="B331" t="s">
        <v>12</v>
      </c>
      <c r="C331" t="s">
        <v>163</v>
      </c>
      <c r="D331" s="4" t="s">
        <v>225</v>
      </c>
      <c r="E331" s="4" t="s">
        <v>247</v>
      </c>
      <c r="F331" s="4" t="s">
        <v>1485</v>
      </c>
      <c r="G331" t="s">
        <v>1531</v>
      </c>
      <c r="H331" t="s">
        <v>314</v>
      </c>
      <c r="I331" s="3">
        <f>RUSH__2[[#This Row],[TD]]/RUSH__2[[#This Row],[Rec]]</f>
        <v>0.5</v>
      </c>
      <c r="J331" s="3">
        <f>D331/(VLOOKUP(B331,'2025 Team'!$B$2:$G$33,2,FALSE))</f>
        <v>1.8957345971563982E-2</v>
      </c>
      <c r="K331" t="s">
        <v>1321</v>
      </c>
      <c r="L331" t="s">
        <v>417</v>
      </c>
    </row>
    <row r="332" spans="1:12" x14ac:dyDescent="0.25">
      <c r="A332" t="s">
        <v>818</v>
      </c>
      <c r="B332" t="s">
        <v>12</v>
      </c>
      <c r="C332" t="s">
        <v>163</v>
      </c>
      <c r="D332" s="4" t="s">
        <v>225</v>
      </c>
      <c r="E332" s="4" t="s">
        <v>229</v>
      </c>
      <c r="F332" s="4" t="s">
        <v>452</v>
      </c>
      <c r="G332" t="s">
        <v>680</v>
      </c>
      <c r="H332" t="s">
        <v>300</v>
      </c>
      <c r="I332" s="3">
        <f>RUSH__2[[#This Row],[TD]]/RUSH__2[[#This Row],[Rec]]</f>
        <v>0.25</v>
      </c>
      <c r="J332" s="3">
        <f>D332/(VLOOKUP(B332,'2025 Team'!$B$2:$G$33,2,FALSE))</f>
        <v>1.8957345971563982E-2</v>
      </c>
      <c r="K332" t="s">
        <v>1356</v>
      </c>
      <c r="L332" t="s">
        <v>417</v>
      </c>
    </row>
    <row r="333" spans="1:12" x14ac:dyDescent="0.25">
      <c r="A333" t="s">
        <v>948</v>
      </c>
      <c r="B333" t="s">
        <v>46</v>
      </c>
      <c r="C333" t="s">
        <v>163</v>
      </c>
      <c r="D333" s="4" t="s">
        <v>270</v>
      </c>
      <c r="E333" s="4" t="s">
        <v>220</v>
      </c>
      <c r="F333" s="4" t="s">
        <v>440</v>
      </c>
      <c r="G333" t="s">
        <v>1192</v>
      </c>
      <c r="H333" t="s">
        <v>417</v>
      </c>
      <c r="I333" s="3">
        <f>RUSH__2[[#This Row],[TD]]/RUSH__2[[#This Row],[Rec]]</f>
        <v>0</v>
      </c>
      <c r="J333" s="3">
        <f>D333/(VLOOKUP(B333,'2025 Team'!$B$2:$G$33,2,FALSE))</f>
        <v>1.8789144050104383E-2</v>
      </c>
      <c r="K333" t="s">
        <v>1496</v>
      </c>
      <c r="L333" t="s">
        <v>417</v>
      </c>
    </row>
    <row r="334" spans="1:12" x14ac:dyDescent="0.25">
      <c r="A334" t="s">
        <v>386</v>
      </c>
      <c r="B334" t="s">
        <v>46</v>
      </c>
      <c r="C334" t="s">
        <v>159</v>
      </c>
      <c r="D334" s="4" t="s">
        <v>270</v>
      </c>
      <c r="E334" s="4" t="s">
        <v>220</v>
      </c>
      <c r="F334" s="4" t="s">
        <v>440</v>
      </c>
      <c r="G334" t="s">
        <v>1192</v>
      </c>
      <c r="H334" t="s">
        <v>417</v>
      </c>
      <c r="I334" s="3">
        <f>RUSH__2[[#This Row],[TD]]/RUSH__2[[#This Row],[Rec]]</f>
        <v>0</v>
      </c>
      <c r="J334" s="3">
        <f>D334/(VLOOKUP(B334,'2025 Team'!$B$2:$G$33,2,FALSE))</f>
        <v>1.8789144050104383E-2</v>
      </c>
      <c r="K334" t="s">
        <v>1496</v>
      </c>
      <c r="L334" t="s">
        <v>289</v>
      </c>
    </row>
    <row r="335" spans="1:12" x14ac:dyDescent="0.25">
      <c r="A335" t="s">
        <v>382</v>
      </c>
      <c r="B335" t="s">
        <v>46</v>
      </c>
      <c r="C335" t="s">
        <v>159</v>
      </c>
      <c r="D335" s="4" t="s">
        <v>270</v>
      </c>
      <c r="E335" s="4" t="s">
        <v>207</v>
      </c>
      <c r="F335" s="4" t="s">
        <v>475</v>
      </c>
      <c r="G335" t="s">
        <v>243</v>
      </c>
      <c r="H335" t="s">
        <v>300</v>
      </c>
      <c r="I335" s="3">
        <f>RUSH__2[[#This Row],[TD]]/RUSH__2[[#This Row],[Rec]]</f>
        <v>0.14285714285714285</v>
      </c>
      <c r="J335" s="3">
        <f>D335/(VLOOKUP(B335,'2025 Team'!$B$2:$G$33,2,FALSE))</f>
        <v>1.8789144050104383E-2</v>
      </c>
      <c r="K335" t="s">
        <v>1424</v>
      </c>
      <c r="L335" t="s">
        <v>417</v>
      </c>
    </row>
    <row r="336" spans="1:12" x14ac:dyDescent="0.25">
      <c r="A336" t="s">
        <v>959</v>
      </c>
      <c r="B336" t="s">
        <v>52</v>
      </c>
      <c r="C336" t="s">
        <v>163</v>
      </c>
      <c r="D336" s="4" t="s">
        <v>266</v>
      </c>
      <c r="E336" s="4" t="s">
        <v>270</v>
      </c>
      <c r="F336" s="4" t="s">
        <v>578</v>
      </c>
      <c r="G336" t="s">
        <v>1071</v>
      </c>
      <c r="H336" t="s">
        <v>417</v>
      </c>
      <c r="I336" s="3">
        <f>RUSH__2[[#This Row],[TD]]/RUSH__2[[#This Row],[Rec]]</f>
        <v>0</v>
      </c>
      <c r="J336" s="3">
        <f>D336/(VLOOKUP(B336,'2025 Team'!$B$2:$G$33,2,FALSE))</f>
        <v>1.8612521150592216E-2</v>
      </c>
      <c r="K336" t="s">
        <v>1358</v>
      </c>
      <c r="L336" t="s">
        <v>300</v>
      </c>
    </row>
    <row r="337" spans="1:12" x14ac:dyDescent="0.25">
      <c r="A337" t="s">
        <v>960</v>
      </c>
      <c r="B337" t="s">
        <v>52</v>
      </c>
      <c r="C337" t="s">
        <v>153</v>
      </c>
      <c r="D337" s="4" t="s">
        <v>266</v>
      </c>
      <c r="E337" s="4" t="s">
        <v>247</v>
      </c>
      <c r="F337" s="4" t="s">
        <v>459</v>
      </c>
      <c r="G337" t="s">
        <v>1489</v>
      </c>
      <c r="H337" t="s">
        <v>300</v>
      </c>
      <c r="I337" s="3">
        <f>RUSH__2[[#This Row],[TD]]/RUSH__2[[#This Row],[Rec]]</f>
        <v>0.16666666666666666</v>
      </c>
      <c r="J337" s="3">
        <f>D337/(VLOOKUP(B337,'2025 Team'!$B$2:$G$33,2,FALSE))</f>
        <v>1.8612521150592216E-2</v>
      </c>
      <c r="K337" t="s">
        <v>1532</v>
      </c>
      <c r="L337" t="s">
        <v>417</v>
      </c>
    </row>
    <row r="338" spans="1:12" x14ac:dyDescent="0.25">
      <c r="A338" t="s">
        <v>802</v>
      </c>
      <c r="B338" t="s">
        <v>10</v>
      </c>
      <c r="C338" t="s">
        <v>163</v>
      </c>
      <c r="D338" s="4" t="s">
        <v>211</v>
      </c>
      <c r="E338" s="4" t="s">
        <v>314</v>
      </c>
      <c r="F338" s="4" t="s">
        <v>493</v>
      </c>
      <c r="G338" t="s">
        <v>1533</v>
      </c>
      <c r="H338" t="s">
        <v>417</v>
      </c>
      <c r="I338" s="3">
        <f>RUSH__2[[#This Row],[TD]]/RUSH__2[[#This Row],[Rec]]</f>
        <v>0</v>
      </c>
      <c r="J338" s="3">
        <f>D338/(VLOOKUP(B338,'2025 Team'!$B$2:$G$33,2,FALSE))</f>
        <v>1.834862385321101E-2</v>
      </c>
      <c r="K338" t="s">
        <v>1534</v>
      </c>
      <c r="L338" t="s">
        <v>417</v>
      </c>
    </row>
    <row r="339" spans="1:12" x14ac:dyDescent="0.25">
      <c r="A339" t="s">
        <v>682</v>
      </c>
      <c r="B339" t="s">
        <v>34</v>
      </c>
      <c r="C339" t="s">
        <v>163</v>
      </c>
      <c r="D339" s="4" t="s">
        <v>211</v>
      </c>
      <c r="E339" s="4" t="s">
        <v>220</v>
      </c>
      <c r="F339" s="4" t="s">
        <v>491</v>
      </c>
      <c r="G339" t="s">
        <v>1535</v>
      </c>
      <c r="H339" t="s">
        <v>417</v>
      </c>
      <c r="I339" s="3">
        <f>RUSH__2[[#This Row],[TD]]/RUSH__2[[#This Row],[Rec]]</f>
        <v>0</v>
      </c>
      <c r="J339" s="3">
        <f>D339/(VLOOKUP(B339,'2025 Team'!$B$2:$G$33,2,FALSE))</f>
        <v>1.8281535648994516E-2</v>
      </c>
      <c r="K339" t="s">
        <v>1356</v>
      </c>
      <c r="L339" t="s">
        <v>417</v>
      </c>
    </row>
    <row r="340" spans="1:12" x14ac:dyDescent="0.25">
      <c r="A340" t="s">
        <v>741</v>
      </c>
      <c r="B340" t="s">
        <v>56</v>
      </c>
      <c r="C340" t="s">
        <v>613</v>
      </c>
      <c r="D340" s="4" t="s">
        <v>270</v>
      </c>
      <c r="E340" s="4" t="s">
        <v>247</v>
      </c>
      <c r="F340" s="4" t="s">
        <v>452</v>
      </c>
      <c r="G340" t="s">
        <v>726</v>
      </c>
      <c r="H340" t="s">
        <v>289</v>
      </c>
      <c r="I340" s="3">
        <f>RUSH__2[[#This Row],[TD]]/RUSH__2[[#This Row],[Rec]]</f>
        <v>0.33333333333333331</v>
      </c>
      <c r="J340" s="3">
        <f>D340/(VLOOKUP(B340,'2025 Team'!$B$2:$G$33,2,FALSE))</f>
        <v>1.8218623481781375E-2</v>
      </c>
      <c r="K340" t="s">
        <v>1297</v>
      </c>
      <c r="L340" t="s">
        <v>417</v>
      </c>
    </row>
    <row r="341" spans="1:12" x14ac:dyDescent="0.25">
      <c r="A341" t="s">
        <v>984</v>
      </c>
      <c r="B341" t="s">
        <v>56</v>
      </c>
      <c r="C341" t="s">
        <v>153</v>
      </c>
      <c r="D341" s="4" t="s">
        <v>270</v>
      </c>
      <c r="E341" s="4" t="s">
        <v>207</v>
      </c>
      <c r="F341" s="4" t="s">
        <v>441</v>
      </c>
      <c r="G341" t="s">
        <v>656</v>
      </c>
      <c r="H341" t="s">
        <v>417</v>
      </c>
      <c r="I341" s="3">
        <f>RUSH__2[[#This Row],[TD]]/RUSH__2[[#This Row],[Rec]]</f>
        <v>0</v>
      </c>
      <c r="J341" s="3">
        <f>D341/(VLOOKUP(B341,'2025 Team'!$B$2:$G$33,2,FALSE))</f>
        <v>1.8218623481781375E-2</v>
      </c>
      <c r="K341" t="s">
        <v>1424</v>
      </c>
      <c r="L341" t="s">
        <v>417</v>
      </c>
    </row>
    <row r="342" spans="1:12" x14ac:dyDescent="0.25">
      <c r="A342" t="s">
        <v>828</v>
      </c>
      <c r="B342" t="s">
        <v>14</v>
      </c>
      <c r="C342" t="s">
        <v>163</v>
      </c>
      <c r="D342" s="4" t="s">
        <v>270</v>
      </c>
      <c r="E342" s="4" t="s">
        <v>207</v>
      </c>
      <c r="F342" s="4" t="s">
        <v>698</v>
      </c>
      <c r="G342" t="s">
        <v>1083</v>
      </c>
      <c r="H342" t="s">
        <v>300</v>
      </c>
      <c r="I342" s="3">
        <f>RUSH__2[[#This Row],[TD]]/RUSH__2[[#This Row],[Rec]]</f>
        <v>0.14285714285714285</v>
      </c>
      <c r="J342" s="3">
        <f>D342/(VLOOKUP(B342,'2025 Team'!$B$2:$G$33,2,FALSE))</f>
        <v>1.8181818181818181E-2</v>
      </c>
      <c r="K342" t="s">
        <v>1424</v>
      </c>
      <c r="L342" t="s">
        <v>417</v>
      </c>
    </row>
    <row r="343" spans="1:12" x14ac:dyDescent="0.25">
      <c r="A343" t="s">
        <v>995</v>
      </c>
      <c r="B343" t="s">
        <v>58</v>
      </c>
      <c r="C343" t="s">
        <v>153</v>
      </c>
      <c r="D343" s="4" t="s">
        <v>270</v>
      </c>
      <c r="E343" s="4" t="s">
        <v>207</v>
      </c>
      <c r="F343" s="4" t="s">
        <v>592</v>
      </c>
      <c r="G343" t="s">
        <v>226</v>
      </c>
      <c r="H343" t="s">
        <v>417</v>
      </c>
      <c r="I343" s="3">
        <f>RUSH__2[[#This Row],[TD]]/RUSH__2[[#This Row],[Rec]]</f>
        <v>0</v>
      </c>
      <c r="J343" s="3">
        <f>D343/(VLOOKUP(B343,'2025 Team'!$B$2:$G$33,2,FALSE))</f>
        <v>1.8108651911468814E-2</v>
      </c>
      <c r="K343" t="s">
        <v>1424</v>
      </c>
      <c r="L343" t="s">
        <v>417</v>
      </c>
    </row>
    <row r="344" spans="1:12" x14ac:dyDescent="0.25">
      <c r="A344" t="s">
        <v>863</v>
      </c>
      <c r="B344" t="s">
        <v>26</v>
      </c>
      <c r="C344" t="s">
        <v>153</v>
      </c>
      <c r="D344" s="4" t="s">
        <v>266</v>
      </c>
      <c r="E344" s="4" t="s">
        <v>247</v>
      </c>
      <c r="F344" s="4" t="s">
        <v>450</v>
      </c>
      <c r="G344" t="s">
        <v>531</v>
      </c>
      <c r="H344" t="s">
        <v>300</v>
      </c>
      <c r="I344" s="3">
        <f>RUSH__2[[#This Row],[TD]]/RUSH__2[[#This Row],[Rec]]</f>
        <v>0.16666666666666666</v>
      </c>
      <c r="J344" s="3">
        <f>D344/(VLOOKUP(B344,'2025 Team'!$B$2:$G$33,2,FALSE))</f>
        <v>1.794453507340946E-2</v>
      </c>
      <c r="K344" t="s">
        <v>1532</v>
      </c>
      <c r="L344" t="s">
        <v>417</v>
      </c>
    </row>
    <row r="345" spans="1:12" x14ac:dyDescent="0.25">
      <c r="A345" t="s">
        <v>906</v>
      </c>
      <c r="B345" t="s">
        <v>36</v>
      </c>
      <c r="C345" t="s">
        <v>163</v>
      </c>
      <c r="D345" s="4" t="s">
        <v>211</v>
      </c>
      <c r="E345" s="4" t="s">
        <v>314</v>
      </c>
      <c r="F345" s="4" t="s">
        <v>459</v>
      </c>
      <c r="G345" t="s">
        <v>1263</v>
      </c>
      <c r="H345" t="s">
        <v>417</v>
      </c>
      <c r="I345" s="3">
        <f>RUSH__2[[#This Row],[TD]]/RUSH__2[[#This Row],[Rec]]</f>
        <v>0</v>
      </c>
      <c r="J345" s="3">
        <f>D345/(VLOOKUP(B345,'2025 Team'!$B$2:$G$33,2,FALSE))</f>
        <v>1.7761989342806393E-2</v>
      </c>
      <c r="K345" t="s">
        <v>1534</v>
      </c>
      <c r="L345" t="s">
        <v>417</v>
      </c>
    </row>
    <row r="346" spans="1:12" x14ac:dyDescent="0.25">
      <c r="A346" t="s">
        <v>766</v>
      </c>
      <c r="B346" t="s">
        <v>42</v>
      </c>
      <c r="C346" t="s">
        <v>153</v>
      </c>
      <c r="D346" s="4" t="s">
        <v>211</v>
      </c>
      <c r="E346" s="4" t="s">
        <v>207</v>
      </c>
      <c r="F346" s="4" t="s">
        <v>369</v>
      </c>
      <c r="G346" t="s">
        <v>1159</v>
      </c>
      <c r="H346" t="s">
        <v>417</v>
      </c>
      <c r="I346" s="3">
        <f>RUSH__2[[#This Row],[TD]]/RUSH__2[[#This Row],[Rec]]</f>
        <v>0</v>
      </c>
      <c r="J346" s="3">
        <f>D346/(VLOOKUP(B346,'2025 Team'!$B$2:$G$33,2,FALSE))</f>
        <v>1.7574692442882251E-2</v>
      </c>
      <c r="K346" t="s">
        <v>1324</v>
      </c>
      <c r="L346" t="s">
        <v>300</v>
      </c>
    </row>
    <row r="347" spans="1:12" x14ac:dyDescent="0.25">
      <c r="A347" t="s">
        <v>840</v>
      </c>
      <c r="B347" t="s">
        <v>18</v>
      </c>
      <c r="C347" t="s">
        <v>163</v>
      </c>
      <c r="D347" s="4" t="s">
        <v>211</v>
      </c>
      <c r="E347" s="4" t="s">
        <v>247</v>
      </c>
      <c r="F347" s="4" t="s">
        <v>598</v>
      </c>
      <c r="G347" t="s">
        <v>1092</v>
      </c>
      <c r="H347" t="s">
        <v>289</v>
      </c>
      <c r="I347" s="3">
        <f>RUSH__2[[#This Row],[TD]]/RUSH__2[[#This Row],[Rec]]</f>
        <v>0.33333333333333331</v>
      </c>
      <c r="J347" s="3">
        <f>D347/(VLOOKUP(B347,'2025 Team'!$B$2:$G$33,2,FALSE))</f>
        <v>1.7421602787456445E-2</v>
      </c>
      <c r="K347" t="s">
        <v>1290</v>
      </c>
      <c r="L347" t="s">
        <v>417</v>
      </c>
    </row>
    <row r="348" spans="1:12" x14ac:dyDescent="0.25">
      <c r="A348" t="s">
        <v>871</v>
      </c>
      <c r="B348" t="s">
        <v>28</v>
      </c>
      <c r="C348" t="s">
        <v>153</v>
      </c>
      <c r="D348" s="4" t="s">
        <v>211</v>
      </c>
      <c r="E348" s="4" t="s">
        <v>225</v>
      </c>
      <c r="F348" s="4" t="s">
        <v>446</v>
      </c>
      <c r="G348" t="s">
        <v>426</v>
      </c>
      <c r="H348" t="s">
        <v>417</v>
      </c>
      <c r="I348" s="3">
        <f>RUSH__2[[#This Row],[TD]]/RUSH__2[[#This Row],[Rec]]</f>
        <v>0</v>
      </c>
      <c r="J348" s="3">
        <f>D348/(VLOOKUP(B348,'2025 Team'!$B$2:$G$33,2,FALSE))</f>
        <v>1.7182130584192441E-2</v>
      </c>
      <c r="K348" t="s">
        <v>1329</v>
      </c>
      <c r="L348" t="s">
        <v>417</v>
      </c>
    </row>
    <row r="349" spans="1:12" x14ac:dyDescent="0.25">
      <c r="A349" t="s">
        <v>958</v>
      </c>
      <c r="B349" t="s">
        <v>52</v>
      </c>
      <c r="C349" t="s">
        <v>153</v>
      </c>
      <c r="D349" s="4" t="s">
        <v>211</v>
      </c>
      <c r="E349" s="4" t="s">
        <v>207</v>
      </c>
      <c r="F349" s="4" t="s">
        <v>398</v>
      </c>
      <c r="G349" t="s">
        <v>1257</v>
      </c>
      <c r="H349" t="s">
        <v>417</v>
      </c>
      <c r="I349" s="3">
        <f>RUSH__2[[#This Row],[TD]]/RUSH__2[[#This Row],[Rec]]</f>
        <v>0</v>
      </c>
      <c r="J349" s="3">
        <f>D349/(VLOOKUP(B349,'2025 Team'!$B$2:$G$33,2,FALSE))</f>
        <v>1.6920473773265651E-2</v>
      </c>
      <c r="K349" t="s">
        <v>1324</v>
      </c>
      <c r="L349" t="s">
        <v>417</v>
      </c>
    </row>
    <row r="350" spans="1:12" x14ac:dyDescent="0.25">
      <c r="A350" t="s">
        <v>811</v>
      </c>
      <c r="B350" t="s">
        <v>10</v>
      </c>
      <c r="C350" t="s">
        <v>153</v>
      </c>
      <c r="D350" s="4" t="s">
        <v>270</v>
      </c>
      <c r="E350" s="4" t="s">
        <v>225</v>
      </c>
      <c r="F350" s="4" t="s">
        <v>450</v>
      </c>
      <c r="G350" t="s">
        <v>389</v>
      </c>
      <c r="H350" t="s">
        <v>417</v>
      </c>
      <c r="I350" s="3">
        <f>RUSH__2[[#This Row],[TD]]/RUSH__2[[#This Row],[Rec]]</f>
        <v>0</v>
      </c>
      <c r="J350" s="3">
        <f>D350/(VLOOKUP(B350,'2025 Team'!$B$2:$G$33,2,FALSE))</f>
        <v>1.6513761467889909E-2</v>
      </c>
      <c r="K350" t="s">
        <v>1384</v>
      </c>
      <c r="L350" t="s">
        <v>417</v>
      </c>
    </row>
    <row r="351" spans="1:12" x14ac:dyDescent="0.25">
      <c r="A351" t="s">
        <v>902</v>
      </c>
      <c r="B351" t="s">
        <v>36</v>
      </c>
      <c r="C351" t="s">
        <v>153</v>
      </c>
      <c r="D351" s="4" t="s">
        <v>270</v>
      </c>
      <c r="E351" s="4" t="s">
        <v>247</v>
      </c>
      <c r="F351" s="4" t="s">
        <v>433</v>
      </c>
      <c r="G351" t="s">
        <v>1273</v>
      </c>
      <c r="H351" t="s">
        <v>300</v>
      </c>
      <c r="I351" s="3">
        <f>RUSH__2[[#This Row],[TD]]/RUSH__2[[#This Row],[Rec]]</f>
        <v>0.16666666666666666</v>
      </c>
      <c r="J351" s="3">
        <f>D351/(VLOOKUP(B351,'2025 Team'!$B$2:$G$33,2,FALSE))</f>
        <v>1.5985790408525755E-2</v>
      </c>
      <c r="K351" t="s">
        <v>1297</v>
      </c>
      <c r="L351" t="s">
        <v>417</v>
      </c>
    </row>
    <row r="352" spans="1:12" x14ac:dyDescent="0.25">
      <c r="A352" t="s">
        <v>549</v>
      </c>
      <c r="B352" t="s">
        <v>70</v>
      </c>
      <c r="C352" t="s">
        <v>159</v>
      </c>
      <c r="D352" s="4" t="s">
        <v>207</v>
      </c>
      <c r="E352" s="4" t="s">
        <v>220</v>
      </c>
      <c r="F352" s="4" t="s">
        <v>480</v>
      </c>
      <c r="G352" t="s">
        <v>1325</v>
      </c>
      <c r="H352" t="s">
        <v>417</v>
      </c>
      <c r="I352" s="3">
        <f>RUSH__2[[#This Row],[TD]]/RUSH__2[[#This Row],[Rec]]</f>
        <v>0</v>
      </c>
      <c r="J352" s="3">
        <f>D352/(VLOOKUP(B352,'2025 Team'!$B$2:$G$33,2,FALSE))</f>
        <v>1.4925373134328358E-2</v>
      </c>
      <c r="K352" t="s">
        <v>1363</v>
      </c>
      <c r="L352" t="s">
        <v>417</v>
      </c>
    </row>
    <row r="353" spans="1:12" x14ac:dyDescent="0.25">
      <c r="A353" t="s">
        <v>942</v>
      </c>
      <c r="B353" t="s">
        <v>46</v>
      </c>
      <c r="C353" t="s">
        <v>163</v>
      </c>
      <c r="D353" s="4" t="s">
        <v>207</v>
      </c>
      <c r="E353" s="4" t="s">
        <v>229</v>
      </c>
      <c r="F353" s="4" t="s">
        <v>573</v>
      </c>
      <c r="G353" t="s">
        <v>1536</v>
      </c>
      <c r="H353" t="s">
        <v>417</v>
      </c>
      <c r="I353" s="3">
        <f>RUSH__2[[#This Row],[TD]]/RUSH__2[[#This Row],[Rec]]</f>
        <v>0</v>
      </c>
      <c r="J353" s="3">
        <f>D353/(VLOOKUP(B353,'2025 Team'!$B$2:$G$33,2,FALSE))</f>
        <v>1.4613778705636743E-2</v>
      </c>
      <c r="K353" t="s">
        <v>1488</v>
      </c>
      <c r="L353" t="s">
        <v>300</v>
      </c>
    </row>
    <row r="354" spans="1:12" x14ac:dyDescent="0.25">
      <c r="A354" t="s">
        <v>1011</v>
      </c>
      <c r="B354" t="s">
        <v>64</v>
      </c>
      <c r="C354" t="s">
        <v>153</v>
      </c>
      <c r="D354" s="4" t="s">
        <v>207</v>
      </c>
      <c r="E354" s="4" t="s">
        <v>229</v>
      </c>
      <c r="F354" s="4" t="s">
        <v>493</v>
      </c>
      <c r="G354" t="s">
        <v>611</v>
      </c>
      <c r="H354" t="s">
        <v>417</v>
      </c>
      <c r="I354" s="3">
        <f>RUSH__2[[#This Row],[TD]]/RUSH__2[[#This Row],[Rec]]</f>
        <v>0</v>
      </c>
      <c r="J354" s="3">
        <f>D354/(VLOOKUP(B354,'2025 Team'!$B$2:$G$33,2,FALSE))</f>
        <v>1.4553014553014554E-2</v>
      </c>
      <c r="K354" t="s">
        <v>1488</v>
      </c>
      <c r="L354" t="s">
        <v>417</v>
      </c>
    </row>
    <row r="355" spans="1:12" x14ac:dyDescent="0.25">
      <c r="A355" t="s">
        <v>629</v>
      </c>
      <c r="B355" t="s">
        <v>22</v>
      </c>
      <c r="C355" t="s">
        <v>159</v>
      </c>
      <c r="D355" s="4" t="s">
        <v>225</v>
      </c>
      <c r="E355" s="4" t="s">
        <v>207</v>
      </c>
      <c r="F355" s="4" t="s">
        <v>433</v>
      </c>
      <c r="G355" t="s">
        <v>599</v>
      </c>
      <c r="H355" t="s">
        <v>417</v>
      </c>
      <c r="I355" s="3">
        <f>RUSH__2[[#This Row],[TD]]/RUSH__2[[#This Row],[Rec]]</f>
        <v>0</v>
      </c>
      <c r="J355" s="3">
        <f>D355/(VLOOKUP(B355,'2025 Team'!$B$2:$G$33,2,FALSE))</f>
        <v>1.4336917562724014E-2</v>
      </c>
      <c r="K355" t="s">
        <v>1504</v>
      </c>
      <c r="L355" t="s">
        <v>417</v>
      </c>
    </row>
    <row r="356" spans="1:12" x14ac:dyDescent="0.25">
      <c r="A356" t="s">
        <v>881</v>
      </c>
      <c r="B356" t="s">
        <v>30</v>
      </c>
      <c r="C356" t="s">
        <v>163</v>
      </c>
      <c r="D356" s="4" t="s">
        <v>207</v>
      </c>
      <c r="E356" s="4" t="s">
        <v>247</v>
      </c>
      <c r="F356" s="4" t="s">
        <v>371</v>
      </c>
      <c r="G356" t="s">
        <v>1225</v>
      </c>
      <c r="H356" t="s">
        <v>417</v>
      </c>
      <c r="I356" s="3">
        <f>RUSH__2[[#This Row],[TD]]/RUSH__2[[#This Row],[Rec]]</f>
        <v>0</v>
      </c>
      <c r="J356" s="3">
        <f>D356/(VLOOKUP(B356,'2025 Team'!$B$2:$G$33,2,FALSE))</f>
        <v>1.4314928425357873E-2</v>
      </c>
      <c r="K356" t="s">
        <v>1430</v>
      </c>
      <c r="L356" t="s">
        <v>417</v>
      </c>
    </row>
    <row r="357" spans="1:12" x14ac:dyDescent="0.25">
      <c r="A357" t="s">
        <v>1003</v>
      </c>
      <c r="B357" t="s">
        <v>62</v>
      </c>
      <c r="C357" t="s">
        <v>163</v>
      </c>
      <c r="D357" s="4" t="s">
        <v>225</v>
      </c>
      <c r="E357" s="4" t="s">
        <v>229</v>
      </c>
      <c r="F357" s="4" t="s">
        <v>592</v>
      </c>
      <c r="G357" t="s">
        <v>662</v>
      </c>
      <c r="H357" t="s">
        <v>417</v>
      </c>
      <c r="I357" s="3">
        <f>RUSH__2[[#This Row],[TD]]/RUSH__2[[#This Row],[Rec]]</f>
        <v>0</v>
      </c>
      <c r="J357" s="3">
        <f>D357/(VLOOKUP(B357,'2025 Team'!$B$2:$G$33,2,FALSE))</f>
        <v>1.3937282229965157E-2</v>
      </c>
      <c r="K357" t="s">
        <v>1356</v>
      </c>
      <c r="L357" t="s">
        <v>417</v>
      </c>
    </row>
    <row r="358" spans="1:12" x14ac:dyDescent="0.25">
      <c r="A358" t="s">
        <v>501</v>
      </c>
      <c r="B358" t="s">
        <v>8</v>
      </c>
      <c r="C358" t="s">
        <v>159</v>
      </c>
      <c r="D358" s="4" t="s">
        <v>270</v>
      </c>
      <c r="E358" s="4" t="s">
        <v>225</v>
      </c>
      <c r="F358" s="4" t="s">
        <v>480</v>
      </c>
      <c r="G358" t="s">
        <v>251</v>
      </c>
      <c r="H358" t="s">
        <v>300</v>
      </c>
      <c r="I358" s="3">
        <f>RUSH__2[[#This Row],[TD]]/RUSH__2[[#This Row],[Rec]]</f>
        <v>0.125</v>
      </c>
      <c r="J358" s="3">
        <f>D358/(VLOOKUP(B358,'2025 Team'!$B$2:$G$33,2,FALSE))</f>
        <v>1.386748844375963E-2</v>
      </c>
      <c r="K358" t="s">
        <v>1384</v>
      </c>
      <c r="L358" t="s">
        <v>300</v>
      </c>
    </row>
    <row r="359" spans="1:12" x14ac:dyDescent="0.25">
      <c r="A359" t="s">
        <v>885</v>
      </c>
      <c r="B359" t="s">
        <v>32</v>
      </c>
      <c r="C359" t="s">
        <v>163</v>
      </c>
      <c r="D359" s="4" t="s">
        <v>225</v>
      </c>
      <c r="E359" s="4" t="s">
        <v>247</v>
      </c>
      <c r="F359" s="4" t="s">
        <v>461</v>
      </c>
      <c r="G359" t="s">
        <v>574</v>
      </c>
      <c r="H359" t="s">
        <v>417</v>
      </c>
      <c r="I359" s="3">
        <f>RUSH__2[[#This Row],[TD]]/RUSH__2[[#This Row],[Rec]]</f>
        <v>0</v>
      </c>
      <c r="J359" s="3">
        <f>D359/(VLOOKUP(B359,'2025 Team'!$B$2:$G$33,2,FALSE))</f>
        <v>1.3745704467353952E-2</v>
      </c>
      <c r="K359" t="s">
        <v>1321</v>
      </c>
      <c r="L359" t="s">
        <v>417</v>
      </c>
    </row>
    <row r="360" spans="1:12" x14ac:dyDescent="0.25">
      <c r="A360" t="s">
        <v>612</v>
      </c>
      <c r="B360" t="s">
        <v>26</v>
      </c>
      <c r="C360" t="s">
        <v>613</v>
      </c>
      <c r="D360" s="4" t="s">
        <v>225</v>
      </c>
      <c r="E360" s="4" t="s">
        <v>247</v>
      </c>
      <c r="F360" s="4" t="s">
        <v>446</v>
      </c>
      <c r="G360" t="s">
        <v>1192</v>
      </c>
      <c r="H360" t="s">
        <v>417</v>
      </c>
      <c r="I360" s="3">
        <f>RUSH__2[[#This Row],[TD]]/RUSH__2[[#This Row],[Rec]]</f>
        <v>0</v>
      </c>
      <c r="J360" s="3">
        <f>D360/(VLOOKUP(B360,'2025 Team'!$B$2:$G$33,2,FALSE))</f>
        <v>1.3050570962479609E-2</v>
      </c>
      <c r="K360" t="s">
        <v>1321</v>
      </c>
      <c r="L360" t="s">
        <v>417</v>
      </c>
    </row>
    <row r="361" spans="1:12" x14ac:dyDescent="0.25">
      <c r="A361" t="s">
        <v>545</v>
      </c>
      <c r="B361" t="s">
        <v>24</v>
      </c>
      <c r="C361" t="s">
        <v>159</v>
      </c>
      <c r="D361" s="4" t="s">
        <v>225</v>
      </c>
      <c r="E361" s="4" t="s">
        <v>225</v>
      </c>
      <c r="F361" s="4" t="s">
        <v>639</v>
      </c>
      <c r="G361" t="s">
        <v>323</v>
      </c>
      <c r="H361" t="s">
        <v>417</v>
      </c>
      <c r="I361" s="3">
        <f>RUSH__2[[#This Row],[TD]]/RUSH__2[[#This Row],[Rec]]</f>
        <v>0</v>
      </c>
      <c r="J361" s="3">
        <f>D361/(VLOOKUP(B361,'2025 Team'!$B$2:$G$33,2,FALSE))</f>
        <v>1.282051282051282E-2</v>
      </c>
      <c r="K361" t="s">
        <v>1519</v>
      </c>
      <c r="L361" t="s">
        <v>300</v>
      </c>
    </row>
    <row r="362" spans="1:12" x14ac:dyDescent="0.25">
      <c r="A362" t="s">
        <v>709</v>
      </c>
      <c r="B362" t="s">
        <v>66</v>
      </c>
      <c r="C362" t="s">
        <v>163</v>
      </c>
      <c r="D362" s="4" t="s">
        <v>207</v>
      </c>
      <c r="E362" s="4" t="s">
        <v>229</v>
      </c>
      <c r="F362" s="4" t="s">
        <v>424</v>
      </c>
      <c r="G362" t="s">
        <v>1537</v>
      </c>
      <c r="H362" t="s">
        <v>300</v>
      </c>
      <c r="I362" s="3">
        <f>RUSH__2[[#This Row],[TD]]/RUSH__2[[#This Row],[Rec]]</f>
        <v>0.25</v>
      </c>
      <c r="J362" s="3">
        <f>D362/(VLOOKUP(B362,'2025 Team'!$B$2:$G$33,2,FALSE))</f>
        <v>1.2544802867383513E-2</v>
      </c>
      <c r="K362" t="s">
        <v>1488</v>
      </c>
      <c r="L362" t="s">
        <v>289</v>
      </c>
    </row>
    <row r="363" spans="1:12" x14ac:dyDescent="0.25">
      <c r="A363" t="s">
        <v>951</v>
      </c>
      <c r="B363" t="s">
        <v>48</v>
      </c>
      <c r="C363" t="s">
        <v>153</v>
      </c>
      <c r="D363" s="4" t="s">
        <v>247</v>
      </c>
      <c r="E363" s="4" t="s">
        <v>314</v>
      </c>
      <c r="F363" s="4" t="s">
        <v>639</v>
      </c>
      <c r="G363" t="s">
        <v>662</v>
      </c>
      <c r="H363" t="s">
        <v>417</v>
      </c>
      <c r="I363" s="3">
        <f>RUSH__2[[#This Row],[TD]]/RUSH__2[[#This Row],[Rec]]</f>
        <v>0</v>
      </c>
      <c r="J363" s="3">
        <f>D363/(VLOOKUP(B363,'2025 Team'!$B$2:$G$33,2,FALSE))</f>
        <v>1.2396694214876033E-2</v>
      </c>
      <c r="K363" t="s">
        <v>1356</v>
      </c>
      <c r="L363" t="s">
        <v>417</v>
      </c>
    </row>
    <row r="364" spans="1:12" x14ac:dyDescent="0.25">
      <c r="A364" t="s">
        <v>1037</v>
      </c>
      <c r="B364" t="s">
        <v>68</v>
      </c>
      <c r="C364" t="s">
        <v>163</v>
      </c>
      <c r="D364" s="4" t="s">
        <v>207</v>
      </c>
      <c r="E364" s="4" t="s">
        <v>314</v>
      </c>
      <c r="F364" s="4" t="s">
        <v>454</v>
      </c>
      <c r="G364" t="s">
        <v>1140</v>
      </c>
      <c r="H364" t="s">
        <v>417</v>
      </c>
      <c r="I364" s="3">
        <f>RUSH__2[[#This Row],[TD]]/RUSH__2[[#This Row],[Rec]]</f>
        <v>0</v>
      </c>
      <c r="J364" s="3">
        <f>D364/(VLOOKUP(B364,'2025 Team'!$B$2:$G$33,2,FALSE))</f>
        <v>1.2280701754385965E-2</v>
      </c>
      <c r="K364" t="s">
        <v>1517</v>
      </c>
      <c r="L364" t="s">
        <v>417</v>
      </c>
    </row>
    <row r="365" spans="1:12" x14ac:dyDescent="0.25">
      <c r="A365" t="s">
        <v>884</v>
      </c>
      <c r="B365" t="s">
        <v>30</v>
      </c>
      <c r="C365" t="s">
        <v>153</v>
      </c>
      <c r="D365" s="4" t="s">
        <v>247</v>
      </c>
      <c r="E365" s="4" t="s">
        <v>220</v>
      </c>
      <c r="F365" s="4" t="s">
        <v>476</v>
      </c>
      <c r="G365" t="s">
        <v>1458</v>
      </c>
      <c r="H365" t="s">
        <v>300</v>
      </c>
      <c r="I365" s="3">
        <f>RUSH__2[[#This Row],[TD]]/RUSH__2[[#This Row],[Rec]]</f>
        <v>0.2</v>
      </c>
      <c r="J365" s="3">
        <f>D365/(VLOOKUP(B365,'2025 Team'!$B$2:$G$33,2,FALSE))</f>
        <v>1.2269938650306749E-2</v>
      </c>
      <c r="K365" t="s">
        <v>1133</v>
      </c>
      <c r="L365" t="s">
        <v>417</v>
      </c>
    </row>
    <row r="366" spans="1:12" x14ac:dyDescent="0.25">
      <c r="A366" t="s">
        <v>720</v>
      </c>
      <c r="B366" t="s">
        <v>62</v>
      </c>
      <c r="C366" t="s">
        <v>163</v>
      </c>
      <c r="D366" s="4" t="s">
        <v>207</v>
      </c>
      <c r="E366" s="4" t="s">
        <v>220</v>
      </c>
      <c r="F366" s="4" t="s">
        <v>598</v>
      </c>
      <c r="G366" t="s">
        <v>1538</v>
      </c>
      <c r="H366" t="s">
        <v>417</v>
      </c>
      <c r="I366" s="3">
        <f>RUSH__2[[#This Row],[TD]]/RUSH__2[[#This Row],[Rec]]</f>
        <v>0</v>
      </c>
      <c r="J366" s="3">
        <f>D366/(VLOOKUP(B366,'2025 Team'!$B$2:$G$33,2,FALSE))</f>
        <v>1.2195121951219513E-2</v>
      </c>
      <c r="K366" t="s">
        <v>1363</v>
      </c>
      <c r="L366" t="s">
        <v>300</v>
      </c>
    </row>
    <row r="367" spans="1:12" x14ac:dyDescent="0.25">
      <c r="A367" t="s">
        <v>466</v>
      </c>
      <c r="B367" t="s">
        <v>32</v>
      </c>
      <c r="C367" t="s">
        <v>159</v>
      </c>
      <c r="D367" s="4" t="s">
        <v>207</v>
      </c>
      <c r="E367" s="4" t="s">
        <v>207</v>
      </c>
      <c r="F367" s="4" t="s">
        <v>679</v>
      </c>
      <c r="G367" t="s">
        <v>203</v>
      </c>
      <c r="H367" t="s">
        <v>417</v>
      </c>
      <c r="I367" s="3">
        <f>RUSH__2[[#This Row],[TD]]/RUSH__2[[#This Row],[Rec]]</f>
        <v>0</v>
      </c>
      <c r="J367" s="3">
        <f>D367/(VLOOKUP(B367,'2025 Team'!$B$2:$G$33,2,FALSE))</f>
        <v>1.2027491408934709E-2</v>
      </c>
      <c r="K367" t="s">
        <v>1519</v>
      </c>
      <c r="L367" t="s">
        <v>417</v>
      </c>
    </row>
    <row r="368" spans="1:12" x14ac:dyDescent="0.25">
      <c r="A368" t="s">
        <v>937</v>
      </c>
      <c r="B368" t="s">
        <v>40</v>
      </c>
      <c r="C368" t="s">
        <v>153</v>
      </c>
      <c r="D368" s="4" t="s">
        <v>247</v>
      </c>
      <c r="E368" s="4" t="s">
        <v>220</v>
      </c>
      <c r="F368" s="4" t="s">
        <v>476</v>
      </c>
      <c r="G368" t="s">
        <v>1458</v>
      </c>
      <c r="H368" t="s">
        <v>417</v>
      </c>
      <c r="I368" s="3">
        <f>RUSH__2[[#This Row],[TD]]/RUSH__2[[#This Row],[Rec]]</f>
        <v>0</v>
      </c>
      <c r="J368" s="3">
        <f>D368/(VLOOKUP(B368,'2025 Team'!$B$2:$G$33,2,FALSE))</f>
        <v>1.1650485436893204E-2</v>
      </c>
      <c r="K368" t="s">
        <v>1133</v>
      </c>
      <c r="L368" t="s">
        <v>417</v>
      </c>
    </row>
    <row r="369" spans="1:12" x14ac:dyDescent="0.25">
      <c r="A369" t="s">
        <v>576</v>
      </c>
      <c r="B369" t="s">
        <v>40</v>
      </c>
      <c r="C369" t="s">
        <v>159</v>
      </c>
      <c r="D369" s="4" t="s">
        <v>247</v>
      </c>
      <c r="E369" s="4" t="s">
        <v>229</v>
      </c>
      <c r="F369" s="4" t="s">
        <v>487</v>
      </c>
      <c r="G369" t="s">
        <v>389</v>
      </c>
      <c r="H369" t="s">
        <v>417</v>
      </c>
      <c r="I369" s="3">
        <f>RUSH__2[[#This Row],[TD]]/RUSH__2[[#This Row],[Rec]]</f>
        <v>0</v>
      </c>
      <c r="J369" s="3">
        <f>D369/(VLOOKUP(B369,'2025 Team'!$B$2:$G$33,2,FALSE))</f>
        <v>1.1650485436893204E-2</v>
      </c>
      <c r="K369" t="s">
        <v>1297</v>
      </c>
      <c r="L369" t="s">
        <v>417</v>
      </c>
    </row>
    <row r="370" spans="1:12" x14ac:dyDescent="0.25">
      <c r="A370" t="s">
        <v>970</v>
      </c>
      <c r="B370" t="s">
        <v>54</v>
      </c>
      <c r="C370" t="s">
        <v>163</v>
      </c>
      <c r="D370" s="4" t="s">
        <v>247</v>
      </c>
      <c r="E370" s="4" t="s">
        <v>289</v>
      </c>
      <c r="F370" s="4" t="s">
        <v>500</v>
      </c>
      <c r="G370" t="s">
        <v>1065</v>
      </c>
      <c r="H370" t="s">
        <v>417</v>
      </c>
      <c r="I370" s="3">
        <f>RUSH__2[[#This Row],[TD]]/RUSH__2[[#This Row],[Rec]]</f>
        <v>0</v>
      </c>
      <c r="J370" s="3">
        <f>D370/(VLOOKUP(B370,'2025 Team'!$B$2:$G$33,2,FALSE))</f>
        <v>1.1406844106463879E-2</v>
      </c>
      <c r="K370" t="s">
        <v>1446</v>
      </c>
      <c r="L370" t="s">
        <v>417</v>
      </c>
    </row>
    <row r="371" spans="1:12" x14ac:dyDescent="0.25">
      <c r="A371" t="s">
        <v>895</v>
      </c>
      <c r="B371" t="s">
        <v>34</v>
      </c>
      <c r="C371" t="s">
        <v>153</v>
      </c>
      <c r="D371" s="4" t="s">
        <v>247</v>
      </c>
      <c r="E371" s="4" t="s">
        <v>229</v>
      </c>
      <c r="F371" s="4" t="s">
        <v>490</v>
      </c>
      <c r="G371" t="s">
        <v>1539</v>
      </c>
      <c r="H371" t="s">
        <v>300</v>
      </c>
      <c r="I371" s="3">
        <f>RUSH__2[[#This Row],[TD]]/RUSH__2[[#This Row],[Rec]]</f>
        <v>0.25</v>
      </c>
      <c r="J371" s="3">
        <f>D371/(VLOOKUP(B371,'2025 Team'!$B$2:$G$33,2,FALSE))</f>
        <v>1.0968921389396709E-2</v>
      </c>
      <c r="K371" t="s">
        <v>1297</v>
      </c>
      <c r="L371" t="s">
        <v>417</v>
      </c>
    </row>
    <row r="372" spans="1:12" x14ac:dyDescent="0.25">
      <c r="A372" t="s">
        <v>1002</v>
      </c>
      <c r="B372" t="s">
        <v>60</v>
      </c>
      <c r="C372" t="s">
        <v>163</v>
      </c>
      <c r="D372" s="4" t="s">
        <v>247</v>
      </c>
      <c r="E372" s="4" t="s">
        <v>229</v>
      </c>
      <c r="F372" s="4" t="s">
        <v>497</v>
      </c>
      <c r="G372" t="s">
        <v>1540</v>
      </c>
      <c r="H372" t="s">
        <v>300</v>
      </c>
      <c r="I372" s="3">
        <f>RUSH__2[[#This Row],[TD]]/RUSH__2[[#This Row],[Rec]]</f>
        <v>0.25</v>
      </c>
      <c r="J372" s="3">
        <f>D372/(VLOOKUP(B372,'2025 Team'!$B$2:$G$33,2,FALSE))</f>
        <v>1.090909090909091E-2</v>
      </c>
      <c r="K372" t="s">
        <v>1297</v>
      </c>
      <c r="L372" t="s">
        <v>417</v>
      </c>
    </row>
    <row r="373" spans="1:12" x14ac:dyDescent="0.25">
      <c r="A373" t="s">
        <v>855</v>
      </c>
      <c r="B373" t="s">
        <v>22</v>
      </c>
      <c r="C373" t="s">
        <v>153</v>
      </c>
      <c r="D373" s="4" t="s">
        <v>247</v>
      </c>
      <c r="E373" s="4" t="s">
        <v>289</v>
      </c>
      <c r="F373" s="4" t="s">
        <v>229</v>
      </c>
      <c r="G373" t="s">
        <v>643</v>
      </c>
      <c r="H373" t="s">
        <v>417</v>
      </c>
      <c r="I373" s="3">
        <f>RUSH__2[[#This Row],[TD]]/RUSH__2[[#This Row],[Rec]]</f>
        <v>0</v>
      </c>
      <c r="J373" s="3">
        <f>D373/(VLOOKUP(B373,'2025 Team'!$B$2:$G$33,2,FALSE))</f>
        <v>1.0752688172043012E-2</v>
      </c>
      <c r="K373" t="s">
        <v>1446</v>
      </c>
      <c r="L373" t="s">
        <v>300</v>
      </c>
    </row>
    <row r="374" spans="1:12" x14ac:dyDescent="0.25">
      <c r="A374" t="s">
        <v>1033</v>
      </c>
      <c r="B374" t="s">
        <v>68</v>
      </c>
      <c r="C374" t="s">
        <v>153</v>
      </c>
      <c r="D374" s="4" t="s">
        <v>247</v>
      </c>
      <c r="E374" s="4" t="s">
        <v>229</v>
      </c>
      <c r="F374" s="4" t="s">
        <v>639</v>
      </c>
      <c r="G374" t="s">
        <v>726</v>
      </c>
      <c r="H374" t="s">
        <v>300</v>
      </c>
      <c r="I374" s="3">
        <f>RUSH__2[[#This Row],[TD]]/RUSH__2[[#This Row],[Rec]]</f>
        <v>0.25</v>
      </c>
      <c r="J374" s="3">
        <f>D374/(VLOOKUP(B374,'2025 Team'!$B$2:$G$33,2,FALSE))</f>
        <v>1.0526315789473684E-2</v>
      </c>
      <c r="K374" t="s">
        <v>1297</v>
      </c>
      <c r="L374" t="s">
        <v>417</v>
      </c>
    </row>
    <row r="375" spans="1:12" x14ac:dyDescent="0.25">
      <c r="A375" t="s">
        <v>839</v>
      </c>
      <c r="B375" t="s">
        <v>18</v>
      </c>
      <c r="C375" t="s">
        <v>153</v>
      </c>
      <c r="D375" s="4" t="s">
        <v>247</v>
      </c>
      <c r="E375" s="4" t="s">
        <v>229</v>
      </c>
      <c r="F375" s="4" t="s">
        <v>500</v>
      </c>
      <c r="G375" t="s">
        <v>488</v>
      </c>
      <c r="H375" t="s">
        <v>417</v>
      </c>
      <c r="I375" s="3">
        <f>RUSH__2[[#This Row],[TD]]/RUSH__2[[#This Row],[Rec]]</f>
        <v>0</v>
      </c>
      <c r="J375" s="3">
        <f>D375/(VLOOKUP(B375,'2025 Team'!$B$2:$G$33,2,FALSE))</f>
        <v>1.0452961672473868E-2</v>
      </c>
      <c r="K375" t="s">
        <v>1297</v>
      </c>
      <c r="L375" t="s">
        <v>417</v>
      </c>
    </row>
    <row r="376" spans="1:12" x14ac:dyDescent="0.25">
      <c r="A376" t="s">
        <v>945</v>
      </c>
      <c r="B376" t="s">
        <v>46</v>
      </c>
      <c r="C376" t="s">
        <v>163</v>
      </c>
      <c r="D376" s="4" t="s">
        <v>220</v>
      </c>
      <c r="E376" s="4" t="s">
        <v>314</v>
      </c>
      <c r="F376" s="4" t="s">
        <v>461</v>
      </c>
      <c r="G376" t="s">
        <v>1236</v>
      </c>
      <c r="H376" t="s">
        <v>417</v>
      </c>
      <c r="I376" s="3">
        <f>RUSH__2[[#This Row],[TD]]/RUSH__2[[#This Row],[Rec]]</f>
        <v>0</v>
      </c>
      <c r="J376" s="3">
        <f>D376/(VLOOKUP(B376,'2025 Team'!$B$2:$G$33,2,FALSE))</f>
        <v>1.0438413361169102E-2</v>
      </c>
      <c r="K376" t="s">
        <v>1290</v>
      </c>
      <c r="L376" t="s">
        <v>300</v>
      </c>
    </row>
    <row r="377" spans="1:12" x14ac:dyDescent="0.25">
      <c r="A377" t="s">
        <v>886</v>
      </c>
      <c r="B377" t="s">
        <v>32</v>
      </c>
      <c r="C377" t="s">
        <v>153</v>
      </c>
      <c r="D377" s="4" t="s">
        <v>247</v>
      </c>
      <c r="E377" s="4" t="s">
        <v>289</v>
      </c>
      <c r="F377" s="4" t="s">
        <v>207</v>
      </c>
      <c r="G377" t="s">
        <v>555</v>
      </c>
      <c r="H377" t="s">
        <v>417</v>
      </c>
      <c r="I377" s="3">
        <f>RUSH__2[[#This Row],[TD]]/RUSH__2[[#This Row],[Rec]]</f>
        <v>0</v>
      </c>
      <c r="J377" s="3">
        <f>D377/(VLOOKUP(B377,'2025 Team'!$B$2:$G$33,2,FALSE))</f>
        <v>1.0309278350515464E-2</v>
      </c>
      <c r="K377" t="s">
        <v>1446</v>
      </c>
      <c r="L377" t="s">
        <v>417</v>
      </c>
    </row>
    <row r="378" spans="1:12" x14ac:dyDescent="0.25">
      <c r="A378" t="s">
        <v>482</v>
      </c>
      <c r="B378" t="s">
        <v>26</v>
      </c>
      <c r="C378" t="s">
        <v>159</v>
      </c>
      <c r="D378" s="4" t="s">
        <v>247</v>
      </c>
      <c r="E378" s="4" t="s">
        <v>229</v>
      </c>
      <c r="F378" s="4" t="s">
        <v>490</v>
      </c>
      <c r="G378" t="s">
        <v>1539</v>
      </c>
      <c r="H378" t="s">
        <v>417</v>
      </c>
      <c r="I378" s="3">
        <f>RUSH__2[[#This Row],[TD]]/RUSH__2[[#This Row],[Rec]]</f>
        <v>0</v>
      </c>
      <c r="J378" s="3">
        <f>D378/(VLOOKUP(B378,'2025 Team'!$B$2:$G$33,2,FALSE))</f>
        <v>9.7879282218597055E-3</v>
      </c>
      <c r="K378" t="s">
        <v>1297</v>
      </c>
      <c r="L378" t="s">
        <v>417</v>
      </c>
    </row>
    <row r="379" spans="1:12" x14ac:dyDescent="0.25">
      <c r="A379" t="s">
        <v>753</v>
      </c>
      <c r="B379" t="s">
        <v>40</v>
      </c>
      <c r="C379" t="s">
        <v>163</v>
      </c>
      <c r="D379" s="4" t="s">
        <v>220</v>
      </c>
      <c r="E379" s="4" t="s">
        <v>229</v>
      </c>
      <c r="F379" s="4" t="s">
        <v>1244</v>
      </c>
      <c r="G379" t="s">
        <v>696</v>
      </c>
      <c r="H379" t="s">
        <v>300</v>
      </c>
      <c r="I379" s="3">
        <f>RUSH__2[[#This Row],[TD]]/RUSH__2[[#This Row],[Rec]]</f>
        <v>0.25</v>
      </c>
      <c r="J379" s="3">
        <f>D379/(VLOOKUP(B379,'2025 Team'!$B$2:$G$33,2,FALSE))</f>
        <v>9.7087378640776691E-3</v>
      </c>
      <c r="K379" t="s">
        <v>1329</v>
      </c>
      <c r="L379" t="s">
        <v>417</v>
      </c>
    </row>
    <row r="380" spans="1:12" x14ac:dyDescent="0.25">
      <c r="A380" t="s">
        <v>789</v>
      </c>
      <c r="B380" t="s">
        <v>8</v>
      </c>
      <c r="C380" t="s">
        <v>163</v>
      </c>
      <c r="D380" s="4" t="s">
        <v>247</v>
      </c>
      <c r="E380" s="4" t="s">
        <v>314</v>
      </c>
      <c r="F380" s="4" t="s">
        <v>582</v>
      </c>
      <c r="G380" t="s">
        <v>1541</v>
      </c>
      <c r="H380" t="s">
        <v>417</v>
      </c>
      <c r="I380" s="3">
        <f>RUSH__2[[#This Row],[TD]]/RUSH__2[[#This Row],[Rec]]</f>
        <v>0</v>
      </c>
      <c r="J380" s="3">
        <f>D380/(VLOOKUP(B380,'2025 Team'!$B$2:$G$33,2,FALSE))</f>
        <v>9.2449922958397542E-3</v>
      </c>
      <c r="K380" t="s">
        <v>1356</v>
      </c>
      <c r="L380" t="s">
        <v>300</v>
      </c>
    </row>
    <row r="381" spans="1:12" x14ac:dyDescent="0.25">
      <c r="A381" t="s">
        <v>851</v>
      </c>
      <c r="B381" t="s">
        <v>22</v>
      </c>
      <c r="C381" t="s">
        <v>153</v>
      </c>
      <c r="D381" s="4" t="s">
        <v>220</v>
      </c>
      <c r="E381" s="4" t="s">
        <v>289</v>
      </c>
      <c r="F381" s="4" t="s">
        <v>266</v>
      </c>
      <c r="G381" t="s">
        <v>445</v>
      </c>
      <c r="H381" t="s">
        <v>417</v>
      </c>
      <c r="I381" s="3">
        <f>RUSH__2[[#This Row],[TD]]/RUSH__2[[#This Row],[Rec]]</f>
        <v>0</v>
      </c>
      <c r="J381" s="3">
        <f>D381/(VLOOKUP(B381,'2025 Team'!$B$2:$G$33,2,FALSE))</f>
        <v>8.9605734767025085E-3</v>
      </c>
      <c r="K381" t="s">
        <v>1522</v>
      </c>
      <c r="L381" t="s">
        <v>417</v>
      </c>
    </row>
    <row r="382" spans="1:12" x14ac:dyDescent="0.25">
      <c r="A382" t="s">
        <v>837</v>
      </c>
      <c r="B382" t="s">
        <v>18</v>
      </c>
      <c r="C382" t="s">
        <v>163</v>
      </c>
      <c r="D382" s="4" t="s">
        <v>220</v>
      </c>
      <c r="E382" s="4" t="s">
        <v>289</v>
      </c>
      <c r="F382" s="4" t="s">
        <v>507</v>
      </c>
      <c r="G382" t="s">
        <v>1466</v>
      </c>
      <c r="H382" t="s">
        <v>417</v>
      </c>
      <c r="I382" s="3">
        <f>RUSH__2[[#This Row],[TD]]/RUSH__2[[#This Row],[Rec]]</f>
        <v>0</v>
      </c>
      <c r="J382" s="3">
        <f>D382/(VLOOKUP(B382,'2025 Team'!$B$2:$G$33,2,FALSE))</f>
        <v>8.7108013937282226E-3</v>
      </c>
      <c r="K382" t="s">
        <v>1522</v>
      </c>
      <c r="L382" t="s">
        <v>417</v>
      </c>
    </row>
    <row r="383" spans="1:12" x14ac:dyDescent="0.25">
      <c r="A383" t="s">
        <v>870</v>
      </c>
      <c r="B383" t="s">
        <v>28</v>
      </c>
      <c r="C383" t="s">
        <v>153</v>
      </c>
      <c r="D383" s="4" t="s">
        <v>220</v>
      </c>
      <c r="E383" s="4" t="s">
        <v>289</v>
      </c>
      <c r="F383" s="4" t="s">
        <v>207</v>
      </c>
      <c r="G383" t="s">
        <v>555</v>
      </c>
      <c r="H383" t="s">
        <v>417</v>
      </c>
      <c r="I383" s="3">
        <f>RUSH__2[[#This Row],[TD]]/RUSH__2[[#This Row],[Rec]]</f>
        <v>0</v>
      </c>
      <c r="J383" s="3">
        <f>D383/(VLOOKUP(B383,'2025 Team'!$B$2:$G$33,2,FALSE))</f>
        <v>8.5910652920962206E-3</v>
      </c>
      <c r="K383" t="s">
        <v>1522</v>
      </c>
      <c r="L383" t="s">
        <v>417</v>
      </c>
    </row>
    <row r="384" spans="1:12" x14ac:dyDescent="0.25">
      <c r="A384" t="s">
        <v>877</v>
      </c>
      <c r="B384" t="s">
        <v>28</v>
      </c>
      <c r="C384" t="s">
        <v>153</v>
      </c>
      <c r="D384" s="4" t="s">
        <v>220</v>
      </c>
      <c r="E384" s="4" t="s">
        <v>314</v>
      </c>
      <c r="F384" s="4" t="s">
        <v>524</v>
      </c>
      <c r="G384" t="s">
        <v>608</v>
      </c>
      <c r="H384" t="s">
        <v>417</v>
      </c>
      <c r="I384" s="3">
        <f>RUSH__2[[#This Row],[TD]]/RUSH__2[[#This Row],[Rec]]</f>
        <v>0</v>
      </c>
      <c r="J384" s="3">
        <f>D384/(VLOOKUP(B384,'2025 Team'!$B$2:$G$33,2,FALSE))</f>
        <v>8.5910652920962206E-3</v>
      </c>
      <c r="K384" t="s">
        <v>1290</v>
      </c>
      <c r="L384" t="s">
        <v>417</v>
      </c>
    </row>
    <row r="385" spans="1:12" x14ac:dyDescent="0.25">
      <c r="A385" t="s">
        <v>336</v>
      </c>
      <c r="B385" t="s">
        <v>70</v>
      </c>
      <c r="C385" t="s">
        <v>159</v>
      </c>
      <c r="D385" s="4" t="s">
        <v>229</v>
      </c>
      <c r="E385" s="4" t="s">
        <v>314</v>
      </c>
      <c r="F385" s="4" t="s">
        <v>639</v>
      </c>
      <c r="G385" t="s">
        <v>662</v>
      </c>
      <c r="H385" t="s">
        <v>417</v>
      </c>
      <c r="I385" s="3">
        <f>RUSH__2[[#This Row],[TD]]/RUSH__2[[#This Row],[Rec]]</f>
        <v>0</v>
      </c>
      <c r="J385" s="3">
        <f>D385/(VLOOKUP(B385,'2025 Team'!$B$2:$G$33,2,FALSE))</f>
        <v>8.5287846481876331E-3</v>
      </c>
      <c r="K385" t="s">
        <v>1321</v>
      </c>
      <c r="L385" t="s">
        <v>417</v>
      </c>
    </row>
    <row r="386" spans="1:12" x14ac:dyDescent="0.25">
      <c r="A386" t="s">
        <v>456</v>
      </c>
      <c r="B386" t="s">
        <v>52</v>
      </c>
      <c r="C386" t="s">
        <v>159</v>
      </c>
      <c r="D386" s="4" t="s">
        <v>220</v>
      </c>
      <c r="E386" s="4" t="s">
        <v>220</v>
      </c>
      <c r="F386" s="4" t="s">
        <v>639</v>
      </c>
      <c r="G386" t="s">
        <v>389</v>
      </c>
      <c r="H386" t="s">
        <v>417</v>
      </c>
      <c r="I386" s="3">
        <f>RUSH__2[[#This Row],[TD]]/RUSH__2[[#This Row],[Rec]]</f>
        <v>0</v>
      </c>
      <c r="J386" s="3">
        <f>D386/(VLOOKUP(B386,'2025 Team'!$B$2:$G$33,2,FALSE))</f>
        <v>8.4602368866328256E-3</v>
      </c>
      <c r="K386" t="s">
        <v>1519</v>
      </c>
      <c r="L386" t="s">
        <v>417</v>
      </c>
    </row>
    <row r="387" spans="1:12" x14ac:dyDescent="0.25">
      <c r="A387" t="s">
        <v>1012</v>
      </c>
      <c r="B387" t="s">
        <v>64</v>
      </c>
      <c r="C387" t="s">
        <v>163</v>
      </c>
      <c r="D387" s="4" t="s">
        <v>229</v>
      </c>
      <c r="E387" s="4" t="s">
        <v>314</v>
      </c>
      <c r="F387" s="4" t="s">
        <v>1209</v>
      </c>
      <c r="G387" t="s">
        <v>1534</v>
      </c>
      <c r="H387" t="s">
        <v>300</v>
      </c>
      <c r="I387" s="3">
        <f>RUSH__2[[#This Row],[TD]]/RUSH__2[[#This Row],[Rec]]</f>
        <v>0.33333333333333331</v>
      </c>
      <c r="J387" s="3">
        <f>D387/(VLOOKUP(B387,'2025 Team'!$B$2:$G$33,2,FALSE))</f>
        <v>8.3160083160083165E-3</v>
      </c>
      <c r="K387" t="s">
        <v>1321</v>
      </c>
      <c r="L387" t="s">
        <v>417</v>
      </c>
    </row>
    <row r="388" spans="1:12" x14ac:dyDescent="0.25">
      <c r="A388" t="s">
        <v>540</v>
      </c>
      <c r="B388" t="s">
        <v>48</v>
      </c>
      <c r="C388" t="s">
        <v>159</v>
      </c>
      <c r="D388" s="4" t="s">
        <v>229</v>
      </c>
      <c r="E388" s="4" t="s">
        <v>314</v>
      </c>
      <c r="F388" s="4" t="s">
        <v>266</v>
      </c>
      <c r="G388" t="s">
        <v>221</v>
      </c>
      <c r="H388" t="s">
        <v>417</v>
      </c>
      <c r="I388" s="3">
        <f>RUSH__2[[#This Row],[TD]]/RUSH__2[[#This Row],[Rec]]</f>
        <v>0</v>
      </c>
      <c r="J388" s="3">
        <f>D388/(VLOOKUP(B388,'2025 Team'!$B$2:$G$33,2,FALSE))</f>
        <v>8.2644628099173556E-3</v>
      </c>
      <c r="K388" t="s">
        <v>1321</v>
      </c>
      <c r="L388" t="s">
        <v>417</v>
      </c>
    </row>
    <row r="389" spans="1:12" x14ac:dyDescent="0.25">
      <c r="A389" t="s">
        <v>543</v>
      </c>
      <c r="B389" t="s">
        <v>56</v>
      </c>
      <c r="C389" t="s">
        <v>159</v>
      </c>
      <c r="D389" s="4" t="s">
        <v>229</v>
      </c>
      <c r="E389" s="4" t="s">
        <v>300</v>
      </c>
      <c r="F389" s="4" t="s">
        <v>229</v>
      </c>
      <c r="G389" t="s">
        <v>235</v>
      </c>
      <c r="H389" t="s">
        <v>417</v>
      </c>
      <c r="I389" s="3">
        <f>RUSH__2[[#This Row],[TD]]/RUSH__2[[#This Row],[Rec]]</f>
        <v>0</v>
      </c>
      <c r="J389" s="3">
        <f>D389/(VLOOKUP(B389,'2025 Team'!$B$2:$G$33,2,FALSE))</f>
        <v>8.0971659919028341E-3</v>
      </c>
      <c r="K389" t="s">
        <v>1542</v>
      </c>
      <c r="L389" t="s">
        <v>417</v>
      </c>
    </row>
    <row r="390" spans="1:12" x14ac:dyDescent="0.25">
      <c r="A390" t="s">
        <v>826</v>
      </c>
      <c r="B390" t="s">
        <v>14</v>
      </c>
      <c r="C390" t="s">
        <v>153</v>
      </c>
      <c r="D390" s="4" t="s">
        <v>229</v>
      </c>
      <c r="E390" s="4" t="s">
        <v>229</v>
      </c>
      <c r="F390" s="4" t="s">
        <v>467</v>
      </c>
      <c r="G390" t="s">
        <v>1192</v>
      </c>
      <c r="H390" t="s">
        <v>417</v>
      </c>
      <c r="I390" s="3">
        <f>RUSH__2[[#This Row],[TD]]/RUSH__2[[#This Row],[Rec]]</f>
        <v>0</v>
      </c>
      <c r="J390" s="3">
        <f>D390/(VLOOKUP(B390,'2025 Team'!$B$2:$G$33,2,FALSE))</f>
        <v>8.0808080808080808E-3</v>
      </c>
      <c r="K390" t="s">
        <v>1519</v>
      </c>
      <c r="L390" t="s">
        <v>417</v>
      </c>
    </row>
    <row r="391" spans="1:12" x14ac:dyDescent="0.25">
      <c r="A391" t="s">
        <v>991</v>
      </c>
      <c r="B391" t="s">
        <v>58</v>
      </c>
      <c r="C391" t="s">
        <v>163</v>
      </c>
      <c r="D391" s="4" t="s">
        <v>229</v>
      </c>
      <c r="E391" s="4" t="s">
        <v>289</v>
      </c>
      <c r="F391" s="4" t="s">
        <v>524</v>
      </c>
      <c r="G391" t="s">
        <v>662</v>
      </c>
      <c r="H391" t="s">
        <v>417</v>
      </c>
      <c r="I391" s="3">
        <f>RUSH__2[[#This Row],[TD]]/RUSH__2[[#This Row],[Rec]]</f>
        <v>0</v>
      </c>
      <c r="J391" s="3">
        <f>D391/(VLOOKUP(B391,'2025 Team'!$B$2:$G$33,2,FALSE))</f>
        <v>8.0482897384305842E-3</v>
      </c>
      <c r="K391" t="s">
        <v>1356</v>
      </c>
      <c r="L391" t="s">
        <v>289</v>
      </c>
    </row>
    <row r="392" spans="1:12" x14ac:dyDescent="0.25">
      <c r="A392" t="s">
        <v>677</v>
      </c>
      <c r="B392" t="s">
        <v>58</v>
      </c>
      <c r="C392" t="s">
        <v>163</v>
      </c>
      <c r="D392" s="4" t="s">
        <v>229</v>
      </c>
      <c r="E392" s="4" t="s">
        <v>229</v>
      </c>
      <c r="F392" s="4" t="s">
        <v>202</v>
      </c>
      <c r="G392" t="s">
        <v>255</v>
      </c>
      <c r="H392" t="s">
        <v>417</v>
      </c>
      <c r="I392" s="3">
        <f>RUSH__2[[#This Row],[TD]]/RUSH__2[[#This Row],[Rec]]</f>
        <v>0</v>
      </c>
      <c r="J392" s="3">
        <f>D392/(VLOOKUP(B392,'2025 Team'!$B$2:$G$33,2,FALSE))</f>
        <v>8.0482897384305842E-3</v>
      </c>
      <c r="K392" t="s">
        <v>1519</v>
      </c>
      <c r="L392" t="s">
        <v>417</v>
      </c>
    </row>
    <row r="393" spans="1:12" x14ac:dyDescent="0.25">
      <c r="A393" t="s">
        <v>418</v>
      </c>
      <c r="B393" t="s">
        <v>58</v>
      </c>
      <c r="C393" t="s">
        <v>159</v>
      </c>
      <c r="D393" s="4" t="s">
        <v>229</v>
      </c>
      <c r="E393" s="4" t="s">
        <v>314</v>
      </c>
      <c r="F393" s="4" t="s">
        <v>475</v>
      </c>
      <c r="G393" t="s">
        <v>1331</v>
      </c>
      <c r="H393" t="s">
        <v>417</v>
      </c>
      <c r="I393" s="3">
        <f>RUSH__2[[#This Row],[TD]]/RUSH__2[[#This Row],[Rec]]</f>
        <v>0</v>
      </c>
      <c r="J393" s="3">
        <f>D393/(VLOOKUP(B393,'2025 Team'!$B$2:$G$33,2,FALSE))</f>
        <v>8.0482897384305842E-3</v>
      </c>
      <c r="K393" t="s">
        <v>1321</v>
      </c>
      <c r="L393" t="s">
        <v>417</v>
      </c>
    </row>
    <row r="394" spans="1:12" x14ac:dyDescent="0.25">
      <c r="A394" t="s">
        <v>858</v>
      </c>
      <c r="B394" t="s">
        <v>24</v>
      </c>
      <c r="C394" t="s">
        <v>163</v>
      </c>
      <c r="D394" s="4" t="s">
        <v>220</v>
      </c>
      <c r="E394" s="4" t="s">
        <v>300</v>
      </c>
      <c r="F394" s="4" t="s">
        <v>500</v>
      </c>
      <c r="G394" t="s">
        <v>1542</v>
      </c>
      <c r="H394" t="s">
        <v>417</v>
      </c>
      <c r="I394" s="3">
        <f>RUSH__2[[#This Row],[TD]]/RUSH__2[[#This Row],[Rec]]</f>
        <v>0</v>
      </c>
      <c r="J394" s="3">
        <f>D394/(VLOOKUP(B394,'2025 Team'!$B$2:$G$33,2,FALSE))</f>
        <v>8.0128205128205121E-3</v>
      </c>
      <c r="K394" t="s">
        <v>1543</v>
      </c>
      <c r="L394" t="s">
        <v>417</v>
      </c>
    </row>
    <row r="395" spans="1:12" x14ac:dyDescent="0.25">
      <c r="A395" t="s">
        <v>448</v>
      </c>
      <c r="B395" t="s">
        <v>24</v>
      </c>
      <c r="C395" t="s">
        <v>159</v>
      </c>
      <c r="D395" s="4" t="s">
        <v>220</v>
      </c>
      <c r="E395" s="4" t="s">
        <v>289</v>
      </c>
      <c r="F395" s="4" t="s">
        <v>193</v>
      </c>
      <c r="G395" t="s">
        <v>531</v>
      </c>
      <c r="H395" t="s">
        <v>417</v>
      </c>
      <c r="I395" s="3">
        <f>RUSH__2[[#This Row],[TD]]/RUSH__2[[#This Row],[Rec]]</f>
        <v>0</v>
      </c>
      <c r="J395" s="3">
        <f>D395/(VLOOKUP(B395,'2025 Team'!$B$2:$G$33,2,FALSE))</f>
        <v>8.0128205128205121E-3</v>
      </c>
      <c r="K395" t="s">
        <v>1522</v>
      </c>
      <c r="L395" t="s">
        <v>417</v>
      </c>
    </row>
    <row r="396" spans="1:12" x14ac:dyDescent="0.25">
      <c r="A396" t="s">
        <v>625</v>
      </c>
      <c r="B396" t="s">
        <v>40</v>
      </c>
      <c r="C396" t="s">
        <v>159</v>
      </c>
      <c r="D396" s="4" t="s">
        <v>229</v>
      </c>
      <c r="E396" s="4" t="s">
        <v>314</v>
      </c>
      <c r="F396" s="4" t="s">
        <v>202</v>
      </c>
      <c r="G396" t="s">
        <v>389</v>
      </c>
      <c r="H396" t="s">
        <v>417</v>
      </c>
      <c r="I396" s="3">
        <f>RUSH__2[[#This Row],[TD]]/RUSH__2[[#This Row],[Rec]]</f>
        <v>0</v>
      </c>
      <c r="J396" s="3">
        <f>D396/(VLOOKUP(B396,'2025 Team'!$B$2:$G$33,2,FALSE))</f>
        <v>7.7669902912621356E-3</v>
      </c>
      <c r="K396" t="s">
        <v>1321</v>
      </c>
      <c r="L396" t="s">
        <v>300</v>
      </c>
    </row>
    <row r="397" spans="1:12" x14ac:dyDescent="0.25">
      <c r="A397" t="s">
        <v>791</v>
      </c>
      <c r="B397" t="s">
        <v>8</v>
      </c>
      <c r="C397" t="s">
        <v>153</v>
      </c>
      <c r="D397" s="4" t="s">
        <v>220</v>
      </c>
      <c r="E397" s="4" t="s">
        <v>314</v>
      </c>
      <c r="F397" s="4" t="s">
        <v>528</v>
      </c>
      <c r="G397" t="s">
        <v>648</v>
      </c>
      <c r="H397" t="s">
        <v>300</v>
      </c>
      <c r="I397" s="3">
        <f>RUSH__2[[#This Row],[TD]]/RUSH__2[[#This Row],[Rec]]</f>
        <v>0.33333333333333331</v>
      </c>
      <c r="J397" s="3">
        <f>D397/(VLOOKUP(B397,'2025 Team'!$B$2:$G$33,2,FALSE))</f>
        <v>7.7041602465331279E-3</v>
      </c>
      <c r="K397" t="s">
        <v>1290</v>
      </c>
      <c r="L397" t="s">
        <v>417</v>
      </c>
    </row>
    <row r="398" spans="1:12" x14ac:dyDescent="0.25">
      <c r="A398" t="s">
        <v>796</v>
      </c>
      <c r="B398" t="s">
        <v>8</v>
      </c>
      <c r="C398" t="s">
        <v>153</v>
      </c>
      <c r="D398" s="4" t="s">
        <v>220</v>
      </c>
      <c r="E398" s="4" t="s">
        <v>314</v>
      </c>
      <c r="F398" s="4" t="s">
        <v>202</v>
      </c>
      <c r="G398" t="s">
        <v>389</v>
      </c>
      <c r="H398" t="s">
        <v>417</v>
      </c>
      <c r="I398" s="3">
        <f>RUSH__2[[#This Row],[TD]]/RUSH__2[[#This Row],[Rec]]</f>
        <v>0</v>
      </c>
      <c r="J398" s="3">
        <f>D398/(VLOOKUP(B398,'2025 Team'!$B$2:$G$33,2,FALSE))</f>
        <v>7.7041602465331279E-3</v>
      </c>
      <c r="K398" t="s">
        <v>1290</v>
      </c>
      <c r="L398" t="s">
        <v>417</v>
      </c>
    </row>
    <row r="399" spans="1:12" x14ac:dyDescent="0.25">
      <c r="A399" t="s">
        <v>556</v>
      </c>
      <c r="B399" t="s">
        <v>60</v>
      </c>
      <c r="C399" t="s">
        <v>153</v>
      </c>
      <c r="D399" s="4" t="s">
        <v>229</v>
      </c>
      <c r="E399" s="4" t="s">
        <v>314</v>
      </c>
      <c r="F399" s="4" t="s">
        <v>528</v>
      </c>
      <c r="G399" t="s">
        <v>648</v>
      </c>
      <c r="H399" t="s">
        <v>300</v>
      </c>
      <c r="I399" s="3">
        <f>RUSH__2[[#This Row],[TD]]/RUSH__2[[#This Row],[Rec]]</f>
        <v>0.33333333333333331</v>
      </c>
      <c r="J399" s="3">
        <f>D399/(VLOOKUP(B399,'2025 Team'!$B$2:$G$33,2,FALSE))</f>
        <v>7.2727272727272727E-3</v>
      </c>
      <c r="K399" t="s">
        <v>1321</v>
      </c>
      <c r="L399" t="s">
        <v>417</v>
      </c>
    </row>
    <row r="400" spans="1:12" x14ac:dyDescent="0.25">
      <c r="A400" t="s">
        <v>1023</v>
      </c>
      <c r="B400" t="s">
        <v>66</v>
      </c>
      <c r="C400" t="s">
        <v>153</v>
      </c>
      <c r="D400" s="4" t="s">
        <v>229</v>
      </c>
      <c r="E400" s="4" t="s">
        <v>300</v>
      </c>
      <c r="F400" s="4" t="s">
        <v>266</v>
      </c>
      <c r="G400" t="s">
        <v>779</v>
      </c>
      <c r="H400" t="s">
        <v>417</v>
      </c>
      <c r="I400" s="3">
        <f>RUSH__2[[#This Row],[TD]]/RUSH__2[[#This Row],[Rec]]</f>
        <v>0</v>
      </c>
      <c r="J400" s="3">
        <f>D400/(VLOOKUP(B400,'2025 Team'!$B$2:$G$33,2,FALSE))</f>
        <v>7.1684587813620072E-3</v>
      </c>
      <c r="K400" t="s">
        <v>1542</v>
      </c>
      <c r="L400" t="s">
        <v>417</v>
      </c>
    </row>
    <row r="401" spans="1:12" x14ac:dyDescent="0.25">
      <c r="A401" t="s">
        <v>505</v>
      </c>
      <c r="B401" t="s">
        <v>22</v>
      </c>
      <c r="C401" t="s">
        <v>159</v>
      </c>
      <c r="D401" s="4" t="s">
        <v>229</v>
      </c>
      <c r="E401" s="4" t="s">
        <v>314</v>
      </c>
      <c r="F401" s="4" t="s">
        <v>528</v>
      </c>
      <c r="G401" t="s">
        <v>648</v>
      </c>
      <c r="H401" t="s">
        <v>417</v>
      </c>
      <c r="I401" s="3">
        <f>RUSH__2[[#This Row],[TD]]/RUSH__2[[#This Row],[Rec]]</f>
        <v>0</v>
      </c>
      <c r="J401" s="3">
        <f>D401/(VLOOKUP(B401,'2025 Team'!$B$2:$G$33,2,FALSE))</f>
        <v>7.1684587813620072E-3</v>
      </c>
      <c r="K401" t="s">
        <v>1321</v>
      </c>
      <c r="L401" t="s">
        <v>417</v>
      </c>
    </row>
    <row r="402" spans="1:12" x14ac:dyDescent="0.25">
      <c r="A402" t="s">
        <v>1026</v>
      </c>
      <c r="B402" t="s">
        <v>66</v>
      </c>
      <c r="C402" t="s">
        <v>163</v>
      </c>
      <c r="D402" s="4" t="s">
        <v>229</v>
      </c>
      <c r="E402" s="4" t="s">
        <v>289</v>
      </c>
      <c r="F402" s="4" t="s">
        <v>679</v>
      </c>
      <c r="G402" t="s">
        <v>1541</v>
      </c>
      <c r="H402" t="s">
        <v>300</v>
      </c>
      <c r="I402" s="3">
        <f>RUSH__2[[#This Row],[TD]]/RUSH__2[[#This Row],[Rec]]</f>
        <v>0.5</v>
      </c>
      <c r="J402" s="3">
        <f>D402/(VLOOKUP(B402,'2025 Team'!$B$2:$G$33,2,FALSE))</f>
        <v>7.1684587813620072E-3</v>
      </c>
      <c r="K402" t="s">
        <v>1356</v>
      </c>
      <c r="L402" t="s">
        <v>417</v>
      </c>
    </row>
    <row r="403" spans="1:12" x14ac:dyDescent="0.25">
      <c r="A403" t="s">
        <v>547</v>
      </c>
      <c r="B403" t="s">
        <v>42</v>
      </c>
      <c r="C403" t="s">
        <v>159</v>
      </c>
      <c r="D403" s="4" t="s">
        <v>229</v>
      </c>
      <c r="E403" s="4" t="s">
        <v>229</v>
      </c>
      <c r="F403" s="4" t="s">
        <v>234</v>
      </c>
      <c r="G403" t="s">
        <v>409</v>
      </c>
      <c r="H403" t="s">
        <v>417</v>
      </c>
      <c r="I403" s="3">
        <f>RUSH__2[[#This Row],[TD]]/RUSH__2[[#This Row],[Rec]]</f>
        <v>0</v>
      </c>
      <c r="J403" s="3">
        <f>D403/(VLOOKUP(B403,'2025 Team'!$B$2:$G$33,2,FALSE))</f>
        <v>7.0298769771528994E-3</v>
      </c>
      <c r="K403" t="s">
        <v>1519</v>
      </c>
      <c r="L403" t="s">
        <v>417</v>
      </c>
    </row>
    <row r="404" spans="1:12" x14ac:dyDescent="0.25">
      <c r="A404" t="s">
        <v>469</v>
      </c>
      <c r="B404" t="s">
        <v>42</v>
      </c>
      <c r="C404" t="s">
        <v>159</v>
      </c>
      <c r="D404" s="4" t="s">
        <v>229</v>
      </c>
      <c r="E404" s="4" t="s">
        <v>314</v>
      </c>
      <c r="F404" s="4" t="s">
        <v>225</v>
      </c>
      <c r="G404" t="s">
        <v>423</v>
      </c>
      <c r="H404" t="s">
        <v>417</v>
      </c>
      <c r="I404" s="3">
        <f>RUSH__2[[#This Row],[TD]]/RUSH__2[[#This Row],[Rec]]</f>
        <v>0</v>
      </c>
      <c r="J404" s="3">
        <f>D404/(VLOOKUP(B404,'2025 Team'!$B$2:$G$33,2,FALSE))</f>
        <v>7.0298769771528994E-3</v>
      </c>
      <c r="K404" t="s">
        <v>1321</v>
      </c>
      <c r="L404" t="s">
        <v>417</v>
      </c>
    </row>
    <row r="405" spans="1:12" x14ac:dyDescent="0.25">
      <c r="A405" t="s">
        <v>921</v>
      </c>
      <c r="B405" t="s">
        <v>42</v>
      </c>
      <c r="C405" t="s">
        <v>613</v>
      </c>
      <c r="D405" s="4" t="s">
        <v>229</v>
      </c>
      <c r="E405" s="4" t="s">
        <v>229</v>
      </c>
      <c r="F405" s="4" t="s">
        <v>198</v>
      </c>
      <c r="G405" t="s">
        <v>502</v>
      </c>
      <c r="H405" t="s">
        <v>300</v>
      </c>
      <c r="I405" s="3">
        <f>RUSH__2[[#This Row],[TD]]/RUSH__2[[#This Row],[Rec]]</f>
        <v>0.25</v>
      </c>
      <c r="J405" s="3">
        <f>D405/(VLOOKUP(B405,'2025 Team'!$B$2:$G$33,2,FALSE))</f>
        <v>7.0298769771528994E-3</v>
      </c>
      <c r="K405" t="s">
        <v>1519</v>
      </c>
      <c r="L405" t="s">
        <v>417</v>
      </c>
    </row>
    <row r="406" spans="1:12" x14ac:dyDescent="0.25">
      <c r="A406" t="s">
        <v>918</v>
      </c>
      <c r="B406" t="s">
        <v>42</v>
      </c>
      <c r="C406" t="s">
        <v>153</v>
      </c>
      <c r="D406" s="4" t="s">
        <v>229</v>
      </c>
      <c r="E406" s="4" t="s">
        <v>289</v>
      </c>
      <c r="F406" s="4" t="s">
        <v>541</v>
      </c>
      <c r="G406" t="s">
        <v>723</v>
      </c>
      <c r="H406" t="s">
        <v>417</v>
      </c>
      <c r="I406" s="3">
        <f>RUSH__2[[#This Row],[TD]]/RUSH__2[[#This Row],[Rec]]</f>
        <v>0</v>
      </c>
      <c r="J406" s="3">
        <f>D406/(VLOOKUP(B406,'2025 Team'!$B$2:$G$33,2,FALSE))</f>
        <v>7.0298769771528994E-3</v>
      </c>
      <c r="K406" t="s">
        <v>1356</v>
      </c>
      <c r="L406" t="s">
        <v>417</v>
      </c>
    </row>
    <row r="407" spans="1:12" x14ac:dyDescent="0.25">
      <c r="A407" t="s">
        <v>1032</v>
      </c>
      <c r="B407" t="s">
        <v>68</v>
      </c>
      <c r="C407" t="s">
        <v>163</v>
      </c>
      <c r="D407" s="4" t="s">
        <v>229</v>
      </c>
      <c r="E407" s="4" t="s">
        <v>289</v>
      </c>
      <c r="F407" s="4" t="s">
        <v>450</v>
      </c>
      <c r="G407" t="s">
        <v>1544</v>
      </c>
      <c r="H407" t="s">
        <v>417</v>
      </c>
      <c r="I407" s="3">
        <f>RUSH__2[[#This Row],[TD]]/RUSH__2[[#This Row],[Rec]]</f>
        <v>0</v>
      </c>
      <c r="J407" s="3">
        <f>D407/(VLOOKUP(B407,'2025 Team'!$B$2:$G$33,2,FALSE))</f>
        <v>7.0175438596491229E-3</v>
      </c>
      <c r="K407" t="s">
        <v>1356</v>
      </c>
      <c r="L407" t="s">
        <v>417</v>
      </c>
    </row>
    <row r="408" spans="1:12" x14ac:dyDescent="0.25">
      <c r="A408" t="s">
        <v>890</v>
      </c>
      <c r="B408" t="s">
        <v>32</v>
      </c>
      <c r="C408" t="s">
        <v>163</v>
      </c>
      <c r="D408" s="4" t="s">
        <v>229</v>
      </c>
      <c r="E408" s="4" t="s">
        <v>314</v>
      </c>
      <c r="F408" s="4" t="s">
        <v>639</v>
      </c>
      <c r="G408" t="s">
        <v>662</v>
      </c>
      <c r="H408" t="s">
        <v>417</v>
      </c>
      <c r="I408" s="3">
        <f>RUSH__2[[#This Row],[TD]]/RUSH__2[[#This Row],[Rec]]</f>
        <v>0</v>
      </c>
      <c r="J408" s="3">
        <f>D408/(VLOOKUP(B408,'2025 Team'!$B$2:$G$33,2,FALSE))</f>
        <v>6.8728522336769758E-3</v>
      </c>
      <c r="K408" t="s">
        <v>1321</v>
      </c>
      <c r="L408" t="s">
        <v>417</v>
      </c>
    </row>
    <row r="409" spans="1:12" x14ac:dyDescent="0.25">
      <c r="A409" t="s">
        <v>872</v>
      </c>
      <c r="B409" t="s">
        <v>28</v>
      </c>
      <c r="C409" t="s">
        <v>163</v>
      </c>
      <c r="D409" s="4" t="s">
        <v>229</v>
      </c>
      <c r="E409" s="4" t="s">
        <v>229</v>
      </c>
      <c r="F409" s="4" t="s">
        <v>476</v>
      </c>
      <c r="G409" t="s">
        <v>732</v>
      </c>
      <c r="H409" t="s">
        <v>417</v>
      </c>
      <c r="I409" s="3">
        <f>RUSH__2[[#This Row],[TD]]/RUSH__2[[#This Row],[Rec]]</f>
        <v>0</v>
      </c>
      <c r="J409" s="3">
        <f>D409/(VLOOKUP(B409,'2025 Team'!$B$2:$G$33,2,FALSE))</f>
        <v>6.8728522336769758E-3</v>
      </c>
      <c r="K409" t="s">
        <v>1519</v>
      </c>
      <c r="L409" t="s">
        <v>417</v>
      </c>
    </row>
    <row r="410" spans="1:12" x14ac:dyDescent="0.25">
      <c r="A410" t="s">
        <v>955</v>
      </c>
      <c r="B410" t="s">
        <v>52</v>
      </c>
      <c r="C410" t="s">
        <v>163</v>
      </c>
      <c r="D410" s="4" t="s">
        <v>229</v>
      </c>
      <c r="E410" s="4" t="s">
        <v>289</v>
      </c>
      <c r="F410" s="4" t="s">
        <v>510</v>
      </c>
      <c r="G410" t="s">
        <v>1181</v>
      </c>
      <c r="H410" t="s">
        <v>300</v>
      </c>
      <c r="I410" s="3">
        <f>RUSH__2[[#This Row],[TD]]/RUSH__2[[#This Row],[Rec]]</f>
        <v>0.5</v>
      </c>
      <c r="J410" s="3">
        <f>D410/(VLOOKUP(B410,'2025 Team'!$B$2:$G$33,2,FALSE))</f>
        <v>6.7681895093062603E-3</v>
      </c>
      <c r="K410" t="s">
        <v>1356</v>
      </c>
      <c r="L410" t="s">
        <v>417</v>
      </c>
    </row>
    <row r="411" spans="1:12" x14ac:dyDescent="0.25">
      <c r="A411" t="s">
        <v>868</v>
      </c>
      <c r="B411" t="s">
        <v>26</v>
      </c>
      <c r="C411" t="s">
        <v>153</v>
      </c>
      <c r="D411" s="4" t="s">
        <v>229</v>
      </c>
      <c r="E411" s="4" t="s">
        <v>289</v>
      </c>
      <c r="F411" s="4" t="s">
        <v>557</v>
      </c>
      <c r="G411" t="s">
        <v>726</v>
      </c>
      <c r="H411" t="s">
        <v>417</v>
      </c>
      <c r="I411" s="3">
        <f>RUSH__2[[#This Row],[TD]]/RUSH__2[[#This Row],[Rec]]</f>
        <v>0</v>
      </c>
      <c r="J411" s="3">
        <f>D411/(VLOOKUP(B411,'2025 Team'!$B$2:$G$33,2,FALSE))</f>
        <v>6.5252854812398045E-3</v>
      </c>
      <c r="K411" t="s">
        <v>1356</v>
      </c>
      <c r="L411" t="s">
        <v>417</v>
      </c>
    </row>
    <row r="412" spans="1:12" x14ac:dyDescent="0.25">
      <c r="A412" t="s">
        <v>864</v>
      </c>
      <c r="B412" t="s">
        <v>26</v>
      </c>
      <c r="C412" t="s">
        <v>163</v>
      </c>
      <c r="D412" s="4" t="s">
        <v>229</v>
      </c>
      <c r="E412" s="4" t="s">
        <v>229</v>
      </c>
      <c r="F412" s="4" t="s">
        <v>427</v>
      </c>
      <c r="G412" t="s">
        <v>1065</v>
      </c>
      <c r="H412" t="s">
        <v>300</v>
      </c>
      <c r="I412" s="3">
        <f>RUSH__2[[#This Row],[TD]]/RUSH__2[[#This Row],[Rec]]</f>
        <v>0.25</v>
      </c>
      <c r="J412" s="3">
        <f>D412/(VLOOKUP(B412,'2025 Team'!$B$2:$G$33,2,FALSE))</f>
        <v>6.5252854812398045E-3</v>
      </c>
      <c r="K412" t="s">
        <v>1519</v>
      </c>
      <c r="L412" t="s">
        <v>300</v>
      </c>
    </row>
    <row r="413" spans="1:12" x14ac:dyDescent="0.25">
      <c r="A413" t="s">
        <v>797</v>
      </c>
      <c r="B413" t="s">
        <v>26</v>
      </c>
      <c r="C413" t="s">
        <v>163</v>
      </c>
      <c r="D413" s="4" t="s">
        <v>229</v>
      </c>
      <c r="E413" s="4" t="s">
        <v>314</v>
      </c>
      <c r="F413" s="4" t="s">
        <v>528</v>
      </c>
      <c r="G413" t="s">
        <v>648</v>
      </c>
      <c r="H413" t="s">
        <v>417</v>
      </c>
      <c r="I413" s="3">
        <f>RUSH__2[[#This Row],[TD]]/RUSH__2[[#This Row],[Rec]]</f>
        <v>0</v>
      </c>
      <c r="J413" s="3">
        <f>D413/(VLOOKUP(B413,'2025 Team'!$B$2:$G$33,2,FALSE))</f>
        <v>6.5252854812398045E-3</v>
      </c>
      <c r="K413" t="s">
        <v>1321</v>
      </c>
      <c r="L413" t="s">
        <v>417</v>
      </c>
    </row>
    <row r="414" spans="1:12" x14ac:dyDescent="0.25">
      <c r="A414" t="s">
        <v>1050</v>
      </c>
      <c r="B414" t="s">
        <v>70</v>
      </c>
      <c r="C414" t="s">
        <v>153</v>
      </c>
      <c r="D414" s="4" t="s">
        <v>314</v>
      </c>
      <c r="E414" s="4" t="s">
        <v>289</v>
      </c>
      <c r="F414" s="4" t="s">
        <v>202</v>
      </c>
      <c r="G414" t="s">
        <v>732</v>
      </c>
      <c r="H414" t="s">
        <v>417</v>
      </c>
      <c r="I414" s="3">
        <f>RUSH__2[[#This Row],[TD]]/RUSH__2[[#This Row],[Rec]]</f>
        <v>0</v>
      </c>
      <c r="J414" s="3">
        <f>D414/(VLOOKUP(B414,'2025 Team'!$B$2:$G$33,2,FALSE))</f>
        <v>6.3965884861407248E-3</v>
      </c>
      <c r="K414" t="s">
        <v>1297</v>
      </c>
      <c r="L414" t="s">
        <v>417</v>
      </c>
    </row>
    <row r="415" spans="1:12" x14ac:dyDescent="0.25">
      <c r="A415" t="s">
        <v>1013</v>
      </c>
      <c r="B415" t="s">
        <v>64</v>
      </c>
      <c r="C415" t="s">
        <v>163</v>
      </c>
      <c r="D415" s="4" t="s">
        <v>314</v>
      </c>
      <c r="E415" s="4" t="s">
        <v>289</v>
      </c>
      <c r="F415" s="4" t="s">
        <v>450</v>
      </c>
      <c r="G415" t="s">
        <v>1544</v>
      </c>
      <c r="H415" t="s">
        <v>417</v>
      </c>
      <c r="I415" s="3">
        <f>RUSH__2[[#This Row],[TD]]/RUSH__2[[#This Row],[Rec]]</f>
        <v>0</v>
      </c>
      <c r="J415" s="3">
        <f>D415/(VLOOKUP(B415,'2025 Team'!$B$2:$G$33,2,FALSE))</f>
        <v>6.2370062370062374E-3</v>
      </c>
      <c r="K415" t="s">
        <v>1297</v>
      </c>
      <c r="L415" t="s">
        <v>417</v>
      </c>
    </row>
    <row r="416" spans="1:12" x14ac:dyDescent="0.25">
      <c r="A416" t="s">
        <v>953</v>
      </c>
      <c r="B416" t="s">
        <v>48</v>
      </c>
      <c r="C416" t="s">
        <v>153</v>
      </c>
      <c r="D416" s="4" t="s">
        <v>314</v>
      </c>
      <c r="E416" s="4" t="s">
        <v>289</v>
      </c>
      <c r="F416" s="4" t="s">
        <v>344</v>
      </c>
      <c r="G416" t="s">
        <v>648</v>
      </c>
      <c r="H416" t="s">
        <v>417</v>
      </c>
      <c r="I416" s="3">
        <f>RUSH__2[[#This Row],[TD]]/RUSH__2[[#This Row],[Rec]]</f>
        <v>0</v>
      </c>
      <c r="J416" s="3">
        <f>D416/(VLOOKUP(B416,'2025 Team'!$B$2:$G$33,2,FALSE))</f>
        <v>6.1983471074380167E-3</v>
      </c>
      <c r="K416" t="s">
        <v>1297</v>
      </c>
      <c r="L416" t="s">
        <v>417</v>
      </c>
    </row>
    <row r="417" spans="1:12" x14ac:dyDescent="0.25">
      <c r="A417" t="s">
        <v>949</v>
      </c>
      <c r="B417" t="s">
        <v>48</v>
      </c>
      <c r="C417" t="s">
        <v>163</v>
      </c>
      <c r="D417" s="4" t="s">
        <v>314</v>
      </c>
      <c r="E417" s="4" t="s">
        <v>314</v>
      </c>
      <c r="F417" s="4" t="s">
        <v>500</v>
      </c>
      <c r="G417" t="s">
        <v>1383</v>
      </c>
      <c r="H417" t="s">
        <v>417</v>
      </c>
      <c r="I417" s="3">
        <f>RUSH__2[[#This Row],[TD]]/RUSH__2[[#This Row],[Rec]]</f>
        <v>0</v>
      </c>
      <c r="J417" s="3">
        <f>D417/(VLOOKUP(B417,'2025 Team'!$B$2:$G$33,2,FALSE))</f>
        <v>6.1983471074380167E-3</v>
      </c>
      <c r="K417" t="s">
        <v>1519</v>
      </c>
      <c r="L417" t="s">
        <v>417</v>
      </c>
    </row>
    <row r="418" spans="1:12" x14ac:dyDescent="0.25">
      <c r="A418" t="s">
        <v>787</v>
      </c>
      <c r="B418" t="s">
        <v>8</v>
      </c>
      <c r="C418" t="s">
        <v>163</v>
      </c>
      <c r="D418" s="4" t="s">
        <v>229</v>
      </c>
      <c r="E418" s="4" t="s">
        <v>289</v>
      </c>
      <c r="F418" s="4" t="s">
        <v>225</v>
      </c>
      <c r="G418" t="s">
        <v>235</v>
      </c>
      <c r="H418" t="s">
        <v>417</v>
      </c>
      <c r="I418" s="3">
        <f>RUSH__2[[#This Row],[TD]]/RUSH__2[[#This Row],[Rec]]</f>
        <v>0</v>
      </c>
      <c r="J418" s="3">
        <f>D418/(VLOOKUP(B418,'2025 Team'!$B$2:$G$33,2,FALSE))</f>
        <v>6.1633281972265025E-3</v>
      </c>
      <c r="K418" t="s">
        <v>1356</v>
      </c>
      <c r="L418" t="s">
        <v>417</v>
      </c>
    </row>
    <row r="419" spans="1:12" x14ac:dyDescent="0.25">
      <c r="A419" t="s">
        <v>532</v>
      </c>
      <c r="B419" t="s">
        <v>56</v>
      </c>
      <c r="C419" t="s">
        <v>159</v>
      </c>
      <c r="D419" s="4" t="s">
        <v>314</v>
      </c>
      <c r="E419" s="4" t="s">
        <v>289</v>
      </c>
      <c r="F419" s="4" t="s">
        <v>535</v>
      </c>
      <c r="G419" t="s">
        <v>717</v>
      </c>
      <c r="H419" t="s">
        <v>417</v>
      </c>
      <c r="I419" s="3">
        <f>RUSH__2[[#This Row],[TD]]/RUSH__2[[#This Row],[Rec]]</f>
        <v>0</v>
      </c>
      <c r="J419" s="3">
        <f>D419/(VLOOKUP(B419,'2025 Team'!$B$2:$G$33,2,FALSE))</f>
        <v>6.0728744939271256E-3</v>
      </c>
      <c r="K419" t="s">
        <v>1297</v>
      </c>
      <c r="L419" t="s">
        <v>300</v>
      </c>
    </row>
    <row r="420" spans="1:12" x14ac:dyDescent="0.25">
      <c r="A420" t="s">
        <v>987</v>
      </c>
      <c r="B420" t="s">
        <v>56</v>
      </c>
      <c r="C420" t="s">
        <v>153</v>
      </c>
      <c r="D420" s="4" t="s">
        <v>314</v>
      </c>
      <c r="E420" s="4" t="s">
        <v>300</v>
      </c>
      <c r="F420" s="4" t="s">
        <v>229</v>
      </c>
      <c r="G420" t="s">
        <v>235</v>
      </c>
      <c r="H420" t="s">
        <v>417</v>
      </c>
      <c r="I420" s="3">
        <f>RUSH__2[[#This Row],[TD]]/RUSH__2[[#This Row],[Rec]]</f>
        <v>0</v>
      </c>
      <c r="J420" s="3">
        <f>D420/(VLOOKUP(B420,'2025 Team'!$B$2:$G$33,2,FALSE))</f>
        <v>6.0728744939271256E-3</v>
      </c>
      <c r="K420" t="s">
        <v>1446</v>
      </c>
      <c r="L420" t="s">
        <v>417</v>
      </c>
    </row>
    <row r="421" spans="1:12" x14ac:dyDescent="0.25">
      <c r="A421" t="s">
        <v>570</v>
      </c>
      <c r="B421" t="s">
        <v>58</v>
      </c>
      <c r="C421" t="s">
        <v>159</v>
      </c>
      <c r="D421" s="4" t="s">
        <v>314</v>
      </c>
      <c r="E421" s="4" t="s">
        <v>314</v>
      </c>
      <c r="F421" s="4" t="s">
        <v>528</v>
      </c>
      <c r="G421" t="s">
        <v>648</v>
      </c>
      <c r="H421" t="s">
        <v>417</v>
      </c>
      <c r="I421" s="3">
        <f>RUSH__2[[#This Row],[TD]]/RUSH__2[[#This Row],[Rec]]</f>
        <v>0</v>
      </c>
      <c r="J421" s="3">
        <f>D421/(VLOOKUP(B421,'2025 Team'!$B$2:$G$33,2,FALSE))</f>
        <v>6.0362173038229373E-3</v>
      </c>
      <c r="K421" t="s">
        <v>1519</v>
      </c>
      <c r="L421" t="s">
        <v>300</v>
      </c>
    </row>
    <row r="422" spans="1:12" x14ac:dyDescent="0.25">
      <c r="A422" t="s">
        <v>499</v>
      </c>
      <c r="B422" t="s">
        <v>50</v>
      </c>
      <c r="C422" t="s">
        <v>159</v>
      </c>
      <c r="D422" s="4" t="s">
        <v>314</v>
      </c>
      <c r="E422" s="4" t="s">
        <v>289</v>
      </c>
      <c r="F422" s="4" t="s">
        <v>247</v>
      </c>
      <c r="G422" t="s">
        <v>502</v>
      </c>
      <c r="H422" t="s">
        <v>417</v>
      </c>
      <c r="I422" s="3">
        <f>RUSH__2[[#This Row],[TD]]/RUSH__2[[#This Row],[Rec]]</f>
        <v>0</v>
      </c>
      <c r="J422" s="3">
        <f>D422/(VLOOKUP(B422,'2025 Team'!$B$2:$G$33,2,FALSE))</f>
        <v>5.9760956175298804E-3</v>
      </c>
      <c r="K422" t="s">
        <v>1297</v>
      </c>
      <c r="L422" t="s">
        <v>289</v>
      </c>
    </row>
    <row r="423" spans="1:12" x14ac:dyDescent="0.25">
      <c r="A423" t="s">
        <v>964</v>
      </c>
      <c r="B423" t="s">
        <v>50</v>
      </c>
      <c r="C423" t="s">
        <v>163</v>
      </c>
      <c r="D423" s="4" t="s">
        <v>314</v>
      </c>
      <c r="E423" s="4" t="s">
        <v>314</v>
      </c>
      <c r="F423" s="4" t="s">
        <v>536</v>
      </c>
      <c r="G423" t="s">
        <v>1542</v>
      </c>
      <c r="H423" t="s">
        <v>300</v>
      </c>
      <c r="I423" s="3">
        <f>RUSH__2[[#This Row],[TD]]/RUSH__2[[#This Row],[Rec]]</f>
        <v>0.33333333333333331</v>
      </c>
      <c r="J423" s="3">
        <f>D423/(VLOOKUP(B423,'2025 Team'!$B$2:$G$33,2,FALSE))</f>
        <v>5.9760956175298804E-3</v>
      </c>
      <c r="K423" t="s">
        <v>1519</v>
      </c>
      <c r="L423" t="s">
        <v>417</v>
      </c>
    </row>
    <row r="424" spans="1:12" x14ac:dyDescent="0.25">
      <c r="A424" t="s">
        <v>931</v>
      </c>
      <c r="B424" t="s">
        <v>40</v>
      </c>
      <c r="C424" t="s">
        <v>163</v>
      </c>
      <c r="D424" s="4" t="s">
        <v>314</v>
      </c>
      <c r="E424" s="4" t="s">
        <v>289</v>
      </c>
      <c r="F424" s="4" t="s">
        <v>198</v>
      </c>
      <c r="G424" t="s">
        <v>389</v>
      </c>
      <c r="H424" t="s">
        <v>417</v>
      </c>
      <c r="I424" s="3">
        <f>RUSH__2[[#This Row],[TD]]/RUSH__2[[#This Row],[Rec]]</f>
        <v>0</v>
      </c>
      <c r="J424" s="3">
        <f>D424/(VLOOKUP(B424,'2025 Team'!$B$2:$G$33,2,FALSE))</f>
        <v>5.8252427184466021E-3</v>
      </c>
      <c r="K424" t="s">
        <v>1297</v>
      </c>
      <c r="L424" t="s">
        <v>300</v>
      </c>
    </row>
    <row r="425" spans="1:12" x14ac:dyDescent="0.25">
      <c r="A425" t="s">
        <v>832</v>
      </c>
      <c r="B425" t="s">
        <v>16</v>
      </c>
      <c r="C425" t="s">
        <v>153</v>
      </c>
      <c r="D425" s="4" t="s">
        <v>314</v>
      </c>
      <c r="E425" s="4" t="s">
        <v>314</v>
      </c>
      <c r="F425" s="4" t="s">
        <v>496</v>
      </c>
      <c r="G425" t="s">
        <v>676</v>
      </c>
      <c r="H425" t="s">
        <v>417</v>
      </c>
      <c r="I425" s="3">
        <f>RUSH__2[[#This Row],[TD]]/RUSH__2[[#This Row],[Rec]]</f>
        <v>0</v>
      </c>
      <c r="J425" s="3">
        <f>D425/(VLOOKUP(B425,'2025 Team'!$B$2:$G$33,2,FALSE))</f>
        <v>5.8252427184466021E-3</v>
      </c>
      <c r="K425" t="s">
        <v>1519</v>
      </c>
      <c r="L425" t="s">
        <v>417</v>
      </c>
    </row>
    <row r="426" spans="1:12" x14ac:dyDescent="0.25">
      <c r="A426" t="s">
        <v>527</v>
      </c>
      <c r="B426" t="s">
        <v>16</v>
      </c>
      <c r="C426" t="s">
        <v>159</v>
      </c>
      <c r="D426" s="4" t="s">
        <v>314</v>
      </c>
      <c r="E426" s="4" t="s">
        <v>314</v>
      </c>
      <c r="F426" s="4" t="s">
        <v>234</v>
      </c>
      <c r="G426" t="s">
        <v>239</v>
      </c>
      <c r="H426" t="s">
        <v>417</v>
      </c>
      <c r="I426" s="3">
        <f>RUSH__2[[#This Row],[TD]]/RUSH__2[[#This Row],[Rec]]</f>
        <v>0</v>
      </c>
      <c r="J426" s="3">
        <f>D426/(VLOOKUP(B426,'2025 Team'!$B$2:$G$33,2,FALSE))</f>
        <v>5.8252427184466021E-3</v>
      </c>
      <c r="K426" t="s">
        <v>1519</v>
      </c>
      <c r="L426" t="s">
        <v>289</v>
      </c>
    </row>
    <row r="427" spans="1:12" x14ac:dyDescent="0.25">
      <c r="A427" t="s">
        <v>759</v>
      </c>
      <c r="B427" t="s">
        <v>10</v>
      </c>
      <c r="C427" t="s">
        <v>163</v>
      </c>
      <c r="D427" s="4" t="s">
        <v>314</v>
      </c>
      <c r="E427" s="4" t="s">
        <v>314</v>
      </c>
      <c r="F427" s="4" t="s">
        <v>490</v>
      </c>
      <c r="G427" t="s">
        <v>732</v>
      </c>
      <c r="H427" t="s">
        <v>417</v>
      </c>
      <c r="I427" s="3">
        <f>RUSH__2[[#This Row],[TD]]/RUSH__2[[#This Row],[Rec]]</f>
        <v>0</v>
      </c>
      <c r="J427" s="3">
        <f>D427/(VLOOKUP(B427,'2025 Team'!$B$2:$G$33,2,FALSE))</f>
        <v>5.5045871559633031E-3</v>
      </c>
      <c r="K427" t="s">
        <v>1519</v>
      </c>
      <c r="L427" t="s">
        <v>417</v>
      </c>
    </row>
    <row r="428" spans="1:12" x14ac:dyDescent="0.25">
      <c r="A428" t="s">
        <v>609</v>
      </c>
      <c r="B428" t="s">
        <v>34</v>
      </c>
      <c r="C428" t="s">
        <v>159</v>
      </c>
      <c r="D428" s="4" t="s">
        <v>314</v>
      </c>
      <c r="E428" s="4" t="s">
        <v>289</v>
      </c>
      <c r="F428" s="4" t="s">
        <v>225</v>
      </c>
      <c r="G428" t="s">
        <v>235</v>
      </c>
      <c r="H428" t="s">
        <v>417</v>
      </c>
      <c r="I428" s="3">
        <f>RUSH__2[[#This Row],[TD]]/RUSH__2[[#This Row],[Rec]]</f>
        <v>0</v>
      </c>
      <c r="J428" s="3">
        <f>D428/(VLOOKUP(B428,'2025 Team'!$B$2:$G$33,2,FALSE))</f>
        <v>5.4844606946983544E-3</v>
      </c>
      <c r="K428" t="s">
        <v>1297</v>
      </c>
      <c r="L428" t="s">
        <v>417</v>
      </c>
    </row>
    <row r="429" spans="1:12" x14ac:dyDescent="0.25">
      <c r="A429" t="s">
        <v>850</v>
      </c>
      <c r="B429" t="s">
        <v>22</v>
      </c>
      <c r="C429" t="s">
        <v>153</v>
      </c>
      <c r="D429" s="4" t="s">
        <v>314</v>
      </c>
      <c r="E429" s="4" t="s">
        <v>289</v>
      </c>
      <c r="F429" s="4" t="s">
        <v>500</v>
      </c>
      <c r="G429" t="s">
        <v>1065</v>
      </c>
      <c r="H429" t="s">
        <v>417</v>
      </c>
      <c r="I429" s="3">
        <f>RUSH__2[[#This Row],[TD]]/RUSH__2[[#This Row],[Rec]]</f>
        <v>0</v>
      </c>
      <c r="J429" s="3">
        <f>D429/(VLOOKUP(B429,'2025 Team'!$B$2:$G$33,2,FALSE))</f>
        <v>5.3763440860215058E-3</v>
      </c>
      <c r="K429" t="s">
        <v>1297</v>
      </c>
      <c r="L429" t="s">
        <v>417</v>
      </c>
    </row>
    <row r="430" spans="1:12" x14ac:dyDescent="0.25">
      <c r="A430" t="s">
        <v>711</v>
      </c>
      <c r="B430" t="s">
        <v>42</v>
      </c>
      <c r="C430" t="s">
        <v>163</v>
      </c>
      <c r="D430" s="4" t="s">
        <v>314</v>
      </c>
      <c r="E430" s="4" t="s">
        <v>289</v>
      </c>
      <c r="F430" s="4" t="s">
        <v>211</v>
      </c>
      <c r="G430" t="s">
        <v>258</v>
      </c>
      <c r="H430" t="s">
        <v>417</v>
      </c>
      <c r="I430" s="3">
        <f>RUSH__2[[#This Row],[TD]]/RUSH__2[[#This Row],[Rec]]</f>
        <v>0</v>
      </c>
      <c r="J430" s="3">
        <f>D430/(VLOOKUP(B430,'2025 Team'!$B$2:$G$33,2,FALSE))</f>
        <v>5.272407732864675E-3</v>
      </c>
      <c r="K430" t="s">
        <v>1297</v>
      </c>
      <c r="L430" t="s">
        <v>300</v>
      </c>
    </row>
    <row r="431" spans="1:12" x14ac:dyDescent="0.25">
      <c r="A431" t="s">
        <v>560</v>
      </c>
      <c r="B431" t="s">
        <v>42</v>
      </c>
      <c r="C431" t="s">
        <v>159</v>
      </c>
      <c r="D431" s="4" t="s">
        <v>314</v>
      </c>
      <c r="E431" s="4" t="s">
        <v>314</v>
      </c>
      <c r="F431" s="4" t="s">
        <v>500</v>
      </c>
      <c r="G431" t="s">
        <v>1383</v>
      </c>
      <c r="H431" t="s">
        <v>417</v>
      </c>
      <c r="I431" s="3">
        <f>RUSH__2[[#This Row],[TD]]/RUSH__2[[#This Row],[Rec]]</f>
        <v>0</v>
      </c>
      <c r="J431" s="3">
        <f>D431/(VLOOKUP(B431,'2025 Team'!$B$2:$G$33,2,FALSE))</f>
        <v>5.272407732864675E-3</v>
      </c>
      <c r="K431" t="s">
        <v>1519</v>
      </c>
      <c r="L431" t="s">
        <v>417</v>
      </c>
    </row>
    <row r="432" spans="1:12" x14ac:dyDescent="0.25">
      <c r="A432" t="s">
        <v>1020</v>
      </c>
      <c r="B432" t="s">
        <v>62</v>
      </c>
      <c r="C432" t="s">
        <v>163</v>
      </c>
      <c r="D432" s="4" t="s">
        <v>314</v>
      </c>
      <c r="E432" s="4" t="s">
        <v>289</v>
      </c>
      <c r="F432" s="4" t="s">
        <v>507</v>
      </c>
      <c r="G432" t="s">
        <v>1466</v>
      </c>
      <c r="H432" t="s">
        <v>417</v>
      </c>
      <c r="I432" s="3">
        <f>RUSH__2[[#This Row],[TD]]/RUSH__2[[#This Row],[Rec]]</f>
        <v>0</v>
      </c>
      <c r="J432" s="3">
        <f>D432/(VLOOKUP(B432,'2025 Team'!$B$2:$G$33,2,FALSE))</f>
        <v>5.2264808362369342E-3</v>
      </c>
      <c r="K432" t="s">
        <v>1297</v>
      </c>
      <c r="L432" t="s">
        <v>417</v>
      </c>
    </row>
    <row r="433" spans="1:12" x14ac:dyDescent="0.25">
      <c r="A433" t="s">
        <v>911</v>
      </c>
      <c r="B433" t="s">
        <v>38</v>
      </c>
      <c r="C433" t="s">
        <v>163</v>
      </c>
      <c r="D433" s="4" t="s">
        <v>314</v>
      </c>
      <c r="E433" s="4" t="s">
        <v>289</v>
      </c>
      <c r="F433" s="4" t="s">
        <v>229</v>
      </c>
      <c r="G433" t="s">
        <v>643</v>
      </c>
      <c r="H433" t="s">
        <v>417</v>
      </c>
      <c r="I433" s="3">
        <f>RUSH__2[[#This Row],[TD]]/RUSH__2[[#This Row],[Rec]]</f>
        <v>0</v>
      </c>
      <c r="J433" s="3">
        <f>D433/(VLOOKUP(B433,'2025 Team'!$B$2:$G$33,2,FALSE))</f>
        <v>5.1369863013698627E-3</v>
      </c>
      <c r="K433" t="s">
        <v>1297</v>
      </c>
      <c r="L433" t="s">
        <v>417</v>
      </c>
    </row>
    <row r="434" spans="1:12" x14ac:dyDescent="0.25">
      <c r="A434" t="s">
        <v>961</v>
      </c>
      <c r="B434" t="s">
        <v>52</v>
      </c>
      <c r="C434" t="s">
        <v>163</v>
      </c>
      <c r="D434" s="4" t="s">
        <v>314</v>
      </c>
      <c r="E434" s="4" t="s">
        <v>300</v>
      </c>
      <c r="F434" s="4" t="s">
        <v>314</v>
      </c>
      <c r="G434" t="s">
        <v>502</v>
      </c>
      <c r="H434" t="s">
        <v>417</v>
      </c>
      <c r="I434" s="3">
        <f>RUSH__2[[#This Row],[TD]]/RUSH__2[[#This Row],[Rec]]</f>
        <v>0</v>
      </c>
      <c r="J434" s="3">
        <f>D434/(VLOOKUP(B434,'2025 Team'!$B$2:$G$33,2,FALSE))</f>
        <v>5.076142131979695E-3</v>
      </c>
      <c r="K434" t="s">
        <v>1446</v>
      </c>
      <c r="L434" t="s">
        <v>417</v>
      </c>
    </row>
    <row r="435" spans="1:12" x14ac:dyDescent="0.25">
      <c r="A435" t="s">
        <v>729</v>
      </c>
      <c r="B435" t="s">
        <v>12</v>
      </c>
      <c r="C435" t="s">
        <v>613</v>
      </c>
      <c r="D435" s="4" t="s">
        <v>289</v>
      </c>
      <c r="E435" s="4" t="s">
        <v>300</v>
      </c>
      <c r="F435" s="4" t="s">
        <v>225</v>
      </c>
      <c r="G435" t="s">
        <v>531</v>
      </c>
      <c r="H435" t="s">
        <v>417</v>
      </c>
      <c r="I435" s="3">
        <f>RUSH__2[[#This Row],[TD]]/RUSH__2[[#This Row],[Rec]]</f>
        <v>0</v>
      </c>
      <c r="J435" s="3">
        <f>D435/(VLOOKUP(B435,'2025 Team'!$B$2:$G$33,2,FALSE))</f>
        <v>4.7393364928909956E-3</v>
      </c>
      <c r="K435" t="s">
        <v>1356</v>
      </c>
      <c r="L435" t="s">
        <v>417</v>
      </c>
    </row>
    <row r="436" spans="1:12" x14ac:dyDescent="0.25">
      <c r="A436" t="s">
        <v>816</v>
      </c>
      <c r="B436" t="s">
        <v>12</v>
      </c>
      <c r="C436" t="s">
        <v>153</v>
      </c>
      <c r="D436" s="4" t="s">
        <v>289</v>
      </c>
      <c r="E436" s="4" t="s">
        <v>300</v>
      </c>
      <c r="F436" s="4" t="s">
        <v>314</v>
      </c>
      <c r="G436" t="s">
        <v>502</v>
      </c>
      <c r="H436" t="s">
        <v>417</v>
      </c>
      <c r="I436" s="3">
        <f>RUSH__2[[#This Row],[TD]]/RUSH__2[[#This Row],[Rec]]</f>
        <v>0</v>
      </c>
      <c r="J436" s="3">
        <f>D436/(VLOOKUP(B436,'2025 Team'!$B$2:$G$33,2,FALSE))</f>
        <v>4.7393364928909956E-3</v>
      </c>
      <c r="K436" t="s">
        <v>1356</v>
      </c>
      <c r="L436" t="s">
        <v>417</v>
      </c>
    </row>
    <row r="437" spans="1:12" x14ac:dyDescent="0.25">
      <c r="A437" t="s">
        <v>600</v>
      </c>
      <c r="B437" t="s">
        <v>8</v>
      </c>
      <c r="C437" t="s">
        <v>159</v>
      </c>
      <c r="D437" s="4" t="s">
        <v>314</v>
      </c>
      <c r="E437" s="4" t="s">
        <v>289</v>
      </c>
      <c r="F437" s="4" t="s">
        <v>557</v>
      </c>
      <c r="G437" t="s">
        <v>726</v>
      </c>
      <c r="H437" t="s">
        <v>417</v>
      </c>
      <c r="I437" s="3">
        <f>RUSH__2[[#This Row],[TD]]/RUSH__2[[#This Row],[Rec]]</f>
        <v>0</v>
      </c>
      <c r="J437" s="3">
        <f>D437/(VLOOKUP(B437,'2025 Team'!$B$2:$G$33,2,FALSE))</f>
        <v>4.6224961479198771E-3</v>
      </c>
      <c r="K437" t="s">
        <v>1297</v>
      </c>
      <c r="L437" t="s">
        <v>417</v>
      </c>
    </row>
    <row r="438" spans="1:12" x14ac:dyDescent="0.25">
      <c r="A438" t="s">
        <v>1046</v>
      </c>
      <c r="B438" t="s">
        <v>70</v>
      </c>
      <c r="C438" t="s">
        <v>163</v>
      </c>
      <c r="D438" s="4" t="s">
        <v>289</v>
      </c>
      <c r="E438" s="4" t="s">
        <v>289</v>
      </c>
      <c r="F438" s="4" t="s">
        <v>510</v>
      </c>
      <c r="G438" t="s">
        <v>1181</v>
      </c>
      <c r="H438" t="s">
        <v>417</v>
      </c>
      <c r="I438" s="3">
        <f>RUSH__2[[#This Row],[TD]]/RUSH__2[[#This Row],[Rec]]</f>
        <v>0</v>
      </c>
      <c r="J438" s="3">
        <f>D438/(VLOOKUP(B438,'2025 Team'!$B$2:$G$33,2,FALSE))</f>
        <v>4.2643923240938165E-3</v>
      </c>
      <c r="K438" t="s">
        <v>1519</v>
      </c>
      <c r="L438" t="s">
        <v>417</v>
      </c>
    </row>
    <row r="439" spans="1:12" x14ac:dyDescent="0.25">
      <c r="A439" t="s">
        <v>513</v>
      </c>
      <c r="B439" t="s">
        <v>64</v>
      </c>
      <c r="C439" t="s">
        <v>159</v>
      </c>
      <c r="D439" s="4" t="s">
        <v>289</v>
      </c>
      <c r="E439" s="4" t="s">
        <v>289</v>
      </c>
      <c r="F439" s="4" t="s">
        <v>557</v>
      </c>
      <c r="G439" t="s">
        <v>726</v>
      </c>
      <c r="H439" t="s">
        <v>417</v>
      </c>
      <c r="I439" s="3">
        <f>RUSH__2[[#This Row],[TD]]/RUSH__2[[#This Row],[Rec]]</f>
        <v>0</v>
      </c>
      <c r="J439" s="3">
        <f>D439/(VLOOKUP(B439,'2025 Team'!$B$2:$G$33,2,FALSE))</f>
        <v>4.1580041580041582E-3</v>
      </c>
      <c r="K439" t="s">
        <v>1519</v>
      </c>
      <c r="L439" t="s">
        <v>300</v>
      </c>
    </row>
    <row r="440" spans="1:12" x14ac:dyDescent="0.25">
      <c r="A440" t="s">
        <v>1007</v>
      </c>
      <c r="B440" t="s">
        <v>64</v>
      </c>
      <c r="C440" t="s">
        <v>163</v>
      </c>
      <c r="D440" s="4" t="s">
        <v>289</v>
      </c>
      <c r="E440" s="4" t="s">
        <v>289</v>
      </c>
      <c r="F440" s="4" t="s">
        <v>524</v>
      </c>
      <c r="G440" t="s">
        <v>662</v>
      </c>
      <c r="H440" t="s">
        <v>417</v>
      </c>
      <c r="I440" s="3">
        <f>RUSH__2[[#This Row],[TD]]/RUSH__2[[#This Row],[Rec]]</f>
        <v>0</v>
      </c>
      <c r="J440" s="3">
        <f>D440/(VLOOKUP(B440,'2025 Team'!$B$2:$G$33,2,FALSE))</f>
        <v>4.1580041580041582E-3</v>
      </c>
      <c r="K440" t="s">
        <v>1519</v>
      </c>
      <c r="L440" t="s">
        <v>417</v>
      </c>
    </row>
    <row r="441" spans="1:12" x14ac:dyDescent="0.25">
      <c r="A441" t="s">
        <v>674</v>
      </c>
      <c r="B441" t="s">
        <v>48</v>
      </c>
      <c r="C441" t="s">
        <v>613</v>
      </c>
      <c r="D441" s="4" t="s">
        <v>289</v>
      </c>
      <c r="E441" s="4" t="s">
        <v>289</v>
      </c>
      <c r="F441" s="4" t="s">
        <v>266</v>
      </c>
      <c r="G441" t="s">
        <v>445</v>
      </c>
      <c r="H441" t="s">
        <v>417</v>
      </c>
      <c r="I441" s="3">
        <f>RUSH__2[[#This Row],[TD]]/RUSH__2[[#This Row],[Rec]]</f>
        <v>0</v>
      </c>
      <c r="J441" s="3">
        <f>D441/(VLOOKUP(B441,'2025 Team'!$B$2:$G$33,2,FALSE))</f>
        <v>4.1322314049586778E-3</v>
      </c>
      <c r="K441" t="s">
        <v>1519</v>
      </c>
      <c r="L441" t="s">
        <v>417</v>
      </c>
    </row>
    <row r="442" spans="1:12" x14ac:dyDescent="0.25">
      <c r="A442" t="s">
        <v>878</v>
      </c>
      <c r="B442" t="s">
        <v>30</v>
      </c>
      <c r="C442" t="s">
        <v>153</v>
      </c>
      <c r="D442" s="4" t="s">
        <v>289</v>
      </c>
      <c r="E442" s="4" t="s">
        <v>300</v>
      </c>
      <c r="F442" s="4" t="s">
        <v>314</v>
      </c>
      <c r="G442" t="s">
        <v>502</v>
      </c>
      <c r="H442" t="s">
        <v>417</v>
      </c>
      <c r="I442" s="3">
        <f>RUSH__2[[#This Row],[TD]]/RUSH__2[[#This Row],[Rec]]</f>
        <v>0</v>
      </c>
      <c r="J442" s="3">
        <f>D442/(VLOOKUP(B442,'2025 Team'!$B$2:$G$33,2,FALSE))</f>
        <v>4.0899795501022499E-3</v>
      </c>
      <c r="K442" t="s">
        <v>1356</v>
      </c>
      <c r="L442" t="s">
        <v>417</v>
      </c>
    </row>
    <row r="443" spans="1:12" x14ac:dyDescent="0.25">
      <c r="A443" t="s">
        <v>882</v>
      </c>
      <c r="B443" t="s">
        <v>30</v>
      </c>
      <c r="C443" t="s">
        <v>163</v>
      </c>
      <c r="D443" s="4" t="s">
        <v>289</v>
      </c>
      <c r="E443" s="4" t="s">
        <v>289</v>
      </c>
      <c r="F443" s="4" t="s">
        <v>557</v>
      </c>
      <c r="G443" t="s">
        <v>726</v>
      </c>
      <c r="H443" t="s">
        <v>417</v>
      </c>
      <c r="I443" s="3">
        <f>RUSH__2[[#This Row],[TD]]/RUSH__2[[#This Row],[Rec]]</f>
        <v>0</v>
      </c>
      <c r="J443" s="3">
        <f>D443/(VLOOKUP(B443,'2025 Team'!$B$2:$G$33,2,FALSE))</f>
        <v>4.0899795501022499E-3</v>
      </c>
      <c r="K443" t="s">
        <v>1519</v>
      </c>
      <c r="L443" t="s">
        <v>417</v>
      </c>
    </row>
    <row r="444" spans="1:12" x14ac:dyDescent="0.25">
      <c r="A444" t="s">
        <v>702</v>
      </c>
      <c r="B444" t="s">
        <v>14</v>
      </c>
      <c r="C444" t="s">
        <v>613</v>
      </c>
      <c r="D444" s="4" t="s">
        <v>289</v>
      </c>
      <c r="E444" s="4" t="s">
        <v>289</v>
      </c>
      <c r="F444" s="4" t="s">
        <v>487</v>
      </c>
      <c r="G444" t="s">
        <v>752</v>
      </c>
      <c r="H444" t="s">
        <v>417</v>
      </c>
      <c r="I444" s="3">
        <f>RUSH__2[[#This Row],[TD]]/RUSH__2[[#This Row],[Rec]]</f>
        <v>0</v>
      </c>
      <c r="J444" s="3">
        <f>D444/(VLOOKUP(B444,'2025 Team'!$B$2:$G$33,2,FALSE))</f>
        <v>4.0404040404040404E-3</v>
      </c>
      <c r="K444" t="s">
        <v>1519</v>
      </c>
      <c r="L444" t="s">
        <v>417</v>
      </c>
    </row>
    <row r="445" spans="1:12" x14ac:dyDescent="0.25">
      <c r="A445" t="s">
        <v>993</v>
      </c>
      <c r="B445" t="s">
        <v>58</v>
      </c>
      <c r="C445" t="s">
        <v>163</v>
      </c>
      <c r="D445" s="4" t="s">
        <v>289</v>
      </c>
      <c r="E445" s="4" t="s">
        <v>289</v>
      </c>
      <c r="F445" s="4" t="s">
        <v>247</v>
      </c>
      <c r="G445" t="s">
        <v>502</v>
      </c>
      <c r="H445" t="s">
        <v>417</v>
      </c>
      <c r="I445" s="3">
        <f>RUSH__2[[#This Row],[TD]]/RUSH__2[[#This Row],[Rec]]</f>
        <v>0</v>
      </c>
      <c r="J445" s="3">
        <f>D445/(VLOOKUP(B445,'2025 Team'!$B$2:$G$33,2,FALSE))</f>
        <v>4.0241448692152921E-3</v>
      </c>
      <c r="K445" t="s">
        <v>1519</v>
      </c>
      <c r="L445" t="s">
        <v>289</v>
      </c>
    </row>
    <row r="446" spans="1:12" x14ac:dyDescent="0.25">
      <c r="A446" t="s">
        <v>968</v>
      </c>
      <c r="B446" t="s">
        <v>50</v>
      </c>
      <c r="C446" t="s">
        <v>613</v>
      </c>
      <c r="D446" s="4" t="s">
        <v>289</v>
      </c>
      <c r="E446" s="4" t="s">
        <v>300</v>
      </c>
      <c r="F446" s="4" t="s">
        <v>417</v>
      </c>
      <c r="G446" t="s">
        <v>504</v>
      </c>
      <c r="H446" t="s">
        <v>417</v>
      </c>
      <c r="I446" s="3">
        <f>RUSH__2[[#This Row],[TD]]/RUSH__2[[#This Row],[Rec]]</f>
        <v>0</v>
      </c>
      <c r="J446" s="3">
        <f>D446/(VLOOKUP(B446,'2025 Team'!$B$2:$G$33,2,FALSE))</f>
        <v>3.9840637450199202E-3</v>
      </c>
      <c r="K446" t="s">
        <v>1356</v>
      </c>
      <c r="L446" t="s">
        <v>417</v>
      </c>
    </row>
    <row r="447" spans="1:12" x14ac:dyDescent="0.25">
      <c r="A447" t="s">
        <v>974</v>
      </c>
      <c r="B447" t="s">
        <v>54</v>
      </c>
      <c r="C447" t="s">
        <v>153</v>
      </c>
      <c r="D447" s="4" t="s">
        <v>289</v>
      </c>
      <c r="E447" s="4" t="s">
        <v>300</v>
      </c>
      <c r="F447" s="4" t="s">
        <v>207</v>
      </c>
      <c r="G447" t="s">
        <v>648</v>
      </c>
      <c r="H447" t="s">
        <v>417</v>
      </c>
      <c r="I447" s="3">
        <f>RUSH__2[[#This Row],[TD]]/RUSH__2[[#This Row],[Rec]]</f>
        <v>0</v>
      </c>
      <c r="J447" s="3">
        <f>D447/(VLOOKUP(B447,'2025 Team'!$B$2:$G$33,2,FALSE))</f>
        <v>3.8022813688212928E-3</v>
      </c>
      <c r="K447" t="s">
        <v>1356</v>
      </c>
      <c r="L447" t="s">
        <v>417</v>
      </c>
    </row>
    <row r="448" spans="1:12" x14ac:dyDescent="0.25">
      <c r="A448" t="s">
        <v>893</v>
      </c>
      <c r="B448" t="s">
        <v>34</v>
      </c>
      <c r="C448" t="s">
        <v>163</v>
      </c>
      <c r="D448" s="4" t="s">
        <v>289</v>
      </c>
      <c r="E448" s="4" t="s">
        <v>289</v>
      </c>
      <c r="F448" s="4" t="s">
        <v>247</v>
      </c>
      <c r="G448" t="s">
        <v>502</v>
      </c>
      <c r="H448" t="s">
        <v>417</v>
      </c>
      <c r="I448" s="3">
        <f>RUSH__2[[#This Row],[TD]]/RUSH__2[[#This Row],[Rec]]</f>
        <v>0</v>
      </c>
      <c r="J448" s="3">
        <f>D448/(VLOOKUP(B448,'2025 Team'!$B$2:$G$33,2,FALSE))</f>
        <v>3.6563071297989031E-3</v>
      </c>
      <c r="K448" t="s">
        <v>1519</v>
      </c>
      <c r="L448" t="s">
        <v>417</v>
      </c>
    </row>
    <row r="449" spans="1:12" x14ac:dyDescent="0.25">
      <c r="A449" t="s">
        <v>506</v>
      </c>
      <c r="B449" t="s">
        <v>34</v>
      </c>
      <c r="C449" t="s">
        <v>159</v>
      </c>
      <c r="D449" s="4" t="s">
        <v>289</v>
      </c>
      <c r="E449" s="4" t="s">
        <v>417</v>
      </c>
      <c r="F449" s="4" t="s">
        <v>417</v>
      </c>
      <c r="G449" t="s">
        <v>788</v>
      </c>
      <c r="H449" t="s">
        <v>417</v>
      </c>
      <c r="I449" s="3" t="e">
        <f>RUSH__2[[#This Row],[TD]]/RUSH__2[[#This Row],[Rec]]</f>
        <v>#DIV/0!</v>
      </c>
      <c r="J449" s="3">
        <f>D449/(VLOOKUP(B449,'2025 Team'!$B$2:$G$33,2,FALSE))</f>
        <v>3.6563071297989031E-3</v>
      </c>
      <c r="K449" t="s">
        <v>504</v>
      </c>
      <c r="L449" t="s">
        <v>417</v>
      </c>
    </row>
    <row r="450" spans="1:12" x14ac:dyDescent="0.25">
      <c r="A450" t="s">
        <v>495</v>
      </c>
      <c r="B450" t="s">
        <v>60</v>
      </c>
      <c r="C450" t="s">
        <v>159</v>
      </c>
      <c r="D450" s="4" t="s">
        <v>289</v>
      </c>
      <c r="E450" s="4" t="s">
        <v>300</v>
      </c>
      <c r="F450" s="4" t="s">
        <v>270</v>
      </c>
      <c r="G450" t="s">
        <v>732</v>
      </c>
      <c r="H450" t="s">
        <v>417</v>
      </c>
      <c r="I450" s="3">
        <f>RUSH__2[[#This Row],[TD]]/RUSH__2[[#This Row],[Rec]]</f>
        <v>0</v>
      </c>
      <c r="J450" s="3">
        <f>D450/(VLOOKUP(B450,'2025 Team'!$B$2:$G$33,2,FALSE))</f>
        <v>3.6363636363636364E-3</v>
      </c>
      <c r="K450" t="s">
        <v>1356</v>
      </c>
      <c r="L450" t="s">
        <v>300</v>
      </c>
    </row>
    <row r="451" spans="1:12" x14ac:dyDescent="0.25">
      <c r="A451" t="s">
        <v>591</v>
      </c>
      <c r="B451" t="s">
        <v>68</v>
      </c>
      <c r="C451" t="s">
        <v>159</v>
      </c>
      <c r="D451" s="4" t="s">
        <v>289</v>
      </c>
      <c r="E451" s="4" t="s">
        <v>417</v>
      </c>
      <c r="F451" s="4" t="s">
        <v>417</v>
      </c>
      <c r="G451" t="s">
        <v>788</v>
      </c>
      <c r="H451" t="s">
        <v>417</v>
      </c>
      <c r="I451" s="3" t="e">
        <f>RUSH__2[[#This Row],[TD]]/RUSH__2[[#This Row],[Rec]]</f>
        <v>#DIV/0!</v>
      </c>
      <c r="J451" s="3">
        <f>D451/(VLOOKUP(B451,'2025 Team'!$B$2:$G$33,2,FALSE))</f>
        <v>3.5087719298245615E-3</v>
      </c>
      <c r="K451" t="s">
        <v>504</v>
      </c>
      <c r="L451" t="s">
        <v>417</v>
      </c>
    </row>
    <row r="452" spans="1:12" x14ac:dyDescent="0.25">
      <c r="A452" t="s">
        <v>86</v>
      </c>
      <c r="B452" t="s">
        <v>18</v>
      </c>
      <c r="C452" t="s">
        <v>82</v>
      </c>
      <c r="D452" s="4" t="s">
        <v>289</v>
      </c>
      <c r="E452" s="4" t="s">
        <v>289</v>
      </c>
      <c r="F452" s="4" t="s">
        <v>514</v>
      </c>
      <c r="G452" t="s">
        <v>779</v>
      </c>
      <c r="H452" t="s">
        <v>300</v>
      </c>
      <c r="I452" s="3">
        <f>RUSH__2[[#This Row],[TD]]/RUSH__2[[#This Row],[Rec]]</f>
        <v>0.5</v>
      </c>
      <c r="J452" s="3">
        <f>D452/(VLOOKUP(B452,'2025 Team'!$B$2:$G$33,2,FALSE))</f>
        <v>3.4843205574912892E-3</v>
      </c>
      <c r="K452" t="s">
        <v>1519</v>
      </c>
      <c r="L452" t="s">
        <v>270</v>
      </c>
    </row>
    <row r="453" spans="1:12" x14ac:dyDescent="0.25">
      <c r="A453" t="s">
        <v>850</v>
      </c>
      <c r="B453" t="s">
        <v>32</v>
      </c>
      <c r="C453" t="s">
        <v>153</v>
      </c>
      <c r="D453" s="4" t="s">
        <v>289</v>
      </c>
      <c r="E453" s="4" t="s">
        <v>289</v>
      </c>
      <c r="F453" s="4" t="s">
        <v>510</v>
      </c>
      <c r="G453" t="s">
        <v>1181</v>
      </c>
      <c r="H453" t="s">
        <v>417</v>
      </c>
      <c r="I453" s="3">
        <f>RUSH__2[[#This Row],[TD]]/RUSH__2[[#This Row],[Rec]]</f>
        <v>0</v>
      </c>
      <c r="J453" s="3">
        <f>D453/(VLOOKUP(B453,'2025 Team'!$B$2:$G$33,2,FALSE))</f>
        <v>3.4364261168384879E-3</v>
      </c>
      <c r="K453" t="s">
        <v>1519</v>
      </c>
      <c r="L453" t="s">
        <v>417</v>
      </c>
    </row>
    <row r="454" spans="1:12" x14ac:dyDescent="0.25">
      <c r="A454" t="s">
        <v>891</v>
      </c>
      <c r="B454" t="s">
        <v>32</v>
      </c>
      <c r="C454" t="s">
        <v>163</v>
      </c>
      <c r="D454" s="4" t="s">
        <v>289</v>
      </c>
      <c r="E454" s="4" t="s">
        <v>289</v>
      </c>
      <c r="F454" s="4" t="s">
        <v>524</v>
      </c>
      <c r="G454" t="s">
        <v>662</v>
      </c>
      <c r="H454" t="s">
        <v>417</v>
      </c>
      <c r="I454" s="3">
        <f>RUSH__2[[#This Row],[TD]]/RUSH__2[[#This Row],[Rec]]</f>
        <v>0</v>
      </c>
      <c r="J454" s="3">
        <f>D454/(VLOOKUP(B454,'2025 Team'!$B$2:$G$33,2,FALSE))</f>
        <v>3.4364261168384879E-3</v>
      </c>
      <c r="K454" t="s">
        <v>1519</v>
      </c>
      <c r="L454" t="s">
        <v>417</v>
      </c>
    </row>
    <row r="455" spans="1:12" x14ac:dyDescent="0.25">
      <c r="A455" t="s">
        <v>635</v>
      </c>
      <c r="B455" t="s">
        <v>38</v>
      </c>
      <c r="C455" t="s">
        <v>159</v>
      </c>
      <c r="D455" s="4" t="s">
        <v>289</v>
      </c>
      <c r="E455" s="4" t="s">
        <v>289</v>
      </c>
      <c r="F455" s="4" t="s">
        <v>270</v>
      </c>
      <c r="G455" t="s">
        <v>255</v>
      </c>
      <c r="H455" t="s">
        <v>417</v>
      </c>
      <c r="I455" s="3">
        <f>RUSH__2[[#This Row],[TD]]/RUSH__2[[#This Row],[Rec]]</f>
        <v>0</v>
      </c>
      <c r="J455" s="3">
        <f>D455/(VLOOKUP(B455,'2025 Team'!$B$2:$G$33,2,FALSE))</f>
        <v>3.4246575342465752E-3</v>
      </c>
      <c r="K455" t="s">
        <v>1519</v>
      </c>
      <c r="L455" t="s">
        <v>417</v>
      </c>
    </row>
    <row r="456" spans="1:12" x14ac:dyDescent="0.25">
      <c r="A456" t="s">
        <v>957</v>
      </c>
      <c r="B456" t="s">
        <v>52</v>
      </c>
      <c r="C456" t="s">
        <v>153</v>
      </c>
      <c r="D456" s="4" t="s">
        <v>289</v>
      </c>
      <c r="E456" s="4" t="s">
        <v>289</v>
      </c>
      <c r="F456" s="4" t="s">
        <v>211</v>
      </c>
      <c r="G456" t="s">
        <v>258</v>
      </c>
      <c r="H456" t="s">
        <v>417</v>
      </c>
      <c r="I456" s="3">
        <f>RUSH__2[[#This Row],[TD]]/RUSH__2[[#This Row],[Rec]]</f>
        <v>0</v>
      </c>
      <c r="J456" s="3">
        <f>D456/(VLOOKUP(B456,'2025 Team'!$B$2:$G$33,2,FALSE))</f>
        <v>3.3840947546531302E-3</v>
      </c>
      <c r="K456" t="s">
        <v>1519</v>
      </c>
      <c r="L456" t="s">
        <v>417</v>
      </c>
    </row>
    <row r="457" spans="1:12" x14ac:dyDescent="0.25">
      <c r="A457" t="s">
        <v>112</v>
      </c>
      <c r="B457" t="s">
        <v>52</v>
      </c>
      <c r="C457" t="s">
        <v>82</v>
      </c>
      <c r="D457" s="4" t="s">
        <v>289</v>
      </c>
      <c r="E457" s="4" t="s">
        <v>300</v>
      </c>
      <c r="F457" s="4" t="s">
        <v>417</v>
      </c>
      <c r="G457" t="s">
        <v>504</v>
      </c>
      <c r="H457" t="s">
        <v>417</v>
      </c>
      <c r="I457" s="3">
        <f>RUSH__2[[#This Row],[TD]]/RUSH__2[[#This Row],[Rec]]</f>
        <v>0</v>
      </c>
      <c r="J457" s="3">
        <f>D457/(VLOOKUP(B457,'2025 Team'!$B$2:$G$33,2,FALSE))</f>
        <v>3.3840947546531302E-3</v>
      </c>
      <c r="K457" t="s">
        <v>1356</v>
      </c>
      <c r="L457" t="s">
        <v>229</v>
      </c>
    </row>
    <row r="458" spans="1:12" x14ac:dyDescent="0.25">
      <c r="A458" t="s">
        <v>661</v>
      </c>
      <c r="B458" t="s">
        <v>24</v>
      </c>
      <c r="C458" t="s">
        <v>159</v>
      </c>
      <c r="D458" s="4" t="s">
        <v>289</v>
      </c>
      <c r="E458" s="4" t="s">
        <v>289</v>
      </c>
      <c r="F458" s="4" t="s">
        <v>266</v>
      </c>
      <c r="G458" t="s">
        <v>445</v>
      </c>
      <c r="H458" t="s">
        <v>417</v>
      </c>
      <c r="I458" s="3">
        <f>RUSH__2[[#This Row],[TD]]/RUSH__2[[#This Row],[Rec]]</f>
        <v>0</v>
      </c>
      <c r="J458" s="3">
        <f>D458/(VLOOKUP(B458,'2025 Team'!$B$2:$G$33,2,FALSE))</f>
        <v>3.205128205128205E-3</v>
      </c>
      <c r="K458" t="s">
        <v>1519</v>
      </c>
      <c r="L458" t="s">
        <v>417</v>
      </c>
    </row>
    <row r="459" spans="1:12" x14ac:dyDescent="0.25">
      <c r="A459" t="s">
        <v>845</v>
      </c>
      <c r="B459" t="s">
        <v>20</v>
      </c>
      <c r="C459" t="s">
        <v>153</v>
      </c>
      <c r="D459" s="4" t="s">
        <v>289</v>
      </c>
      <c r="E459" s="4" t="s">
        <v>289</v>
      </c>
      <c r="F459" s="4" t="s">
        <v>207</v>
      </c>
      <c r="G459" t="s">
        <v>555</v>
      </c>
      <c r="H459" t="s">
        <v>417</v>
      </c>
      <c r="I459" s="3">
        <f>RUSH__2[[#This Row],[TD]]/RUSH__2[[#This Row],[Rec]]</f>
        <v>0</v>
      </c>
      <c r="J459" s="3">
        <f>D459/(VLOOKUP(B459,'2025 Team'!$B$2:$G$33,2,FALSE))</f>
        <v>3.1250000000000002E-3</v>
      </c>
      <c r="K459" t="s">
        <v>1519</v>
      </c>
      <c r="L459" t="s">
        <v>300</v>
      </c>
    </row>
    <row r="460" spans="1:12" x14ac:dyDescent="0.25">
      <c r="A460" t="s">
        <v>569</v>
      </c>
      <c r="B460" t="s">
        <v>20</v>
      </c>
      <c r="C460" t="s">
        <v>159</v>
      </c>
      <c r="D460" s="4" t="s">
        <v>289</v>
      </c>
      <c r="E460" s="4" t="s">
        <v>300</v>
      </c>
      <c r="F460" s="4" t="s">
        <v>270</v>
      </c>
      <c r="G460" t="s">
        <v>732</v>
      </c>
      <c r="H460" t="s">
        <v>417</v>
      </c>
      <c r="I460" s="3">
        <f>RUSH__2[[#This Row],[TD]]/RUSH__2[[#This Row],[Rec]]</f>
        <v>0</v>
      </c>
      <c r="J460" s="3">
        <f>D460/(VLOOKUP(B460,'2025 Team'!$B$2:$G$33,2,FALSE))</f>
        <v>3.1250000000000002E-3</v>
      </c>
      <c r="K460" t="s">
        <v>1356</v>
      </c>
      <c r="L460" t="s">
        <v>417</v>
      </c>
    </row>
    <row r="461" spans="1:12" x14ac:dyDescent="0.25">
      <c r="A461" t="s">
        <v>790</v>
      </c>
      <c r="B461" t="s">
        <v>8</v>
      </c>
      <c r="C461" t="s">
        <v>153</v>
      </c>
      <c r="D461" s="4" t="s">
        <v>289</v>
      </c>
      <c r="E461" s="4" t="s">
        <v>289</v>
      </c>
      <c r="F461" s="4" t="s">
        <v>300</v>
      </c>
      <c r="G461" t="s">
        <v>565</v>
      </c>
      <c r="H461" t="s">
        <v>417</v>
      </c>
      <c r="I461" s="3">
        <f>RUSH__2[[#This Row],[TD]]/RUSH__2[[#This Row],[Rec]]</f>
        <v>0</v>
      </c>
      <c r="J461" s="3">
        <f>D461/(VLOOKUP(B461,'2025 Team'!$B$2:$G$33,2,FALSE))</f>
        <v>3.0816640986132513E-3</v>
      </c>
      <c r="K461" t="s">
        <v>1519</v>
      </c>
      <c r="L461" t="s">
        <v>417</v>
      </c>
    </row>
    <row r="462" spans="1:12" x14ac:dyDescent="0.25">
      <c r="A462" t="s">
        <v>1045</v>
      </c>
      <c r="B462" t="s">
        <v>70</v>
      </c>
      <c r="C462" t="s">
        <v>163</v>
      </c>
      <c r="D462" s="4" t="s">
        <v>300</v>
      </c>
      <c r="E462" s="4" t="s">
        <v>300</v>
      </c>
      <c r="F462" s="4" t="s">
        <v>500</v>
      </c>
      <c r="G462" t="s">
        <v>1542</v>
      </c>
      <c r="H462" t="s">
        <v>417</v>
      </c>
      <c r="I462" s="3">
        <f>RUSH__2[[#This Row],[TD]]/RUSH__2[[#This Row],[Rec]]</f>
        <v>0</v>
      </c>
      <c r="J462" s="3">
        <f>D462/(VLOOKUP(B462,'2025 Team'!$B$2:$G$33,2,FALSE))</f>
        <v>2.1321961620469083E-3</v>
      </c>
      <c r="K462" t="s">
        <v>1519</v>
      </c>
      <c r="L462" t="s">
        <v>417</v>
      </c>
    </row>
    <row r="463" spans="1:12" x14ac:dyDescent="0.25">
      <c r="A463" t="s">
        <v>128</v>
      </c>
      <c r="B463" t="s">
        <v>46</v>
      </c>
      <c r="C463" t="s">
        <v>82</v>
      </c>
      <c r="D463" s="4" t="s">
        <v>300</v>
      </c>
      <c r="E463" s="4" t="s">
        <v>300</v>
      </c>
      <c r="F463" s="4" t="s">
        <v>1545</v>
      </c>
      <c r="G463" t="s">
        <v>1546</v>
      </c>
      <c r="H463" t="s">
        <v>417</v>
      </c>
      <c r="I463" s="3">
        <f>RUSH__2[[#This Row],[TD]]/RUSH__2[[#This Row],[Rec]]</f>
        <v>0</v>
      </c>
      <c r="J463" s="3">
        <f>D463/(VLOOKUP(B463,'2025 Team'!$B$2:$G$33,2,FALSE))</f>
        <v>2.0876826722338203E-3</v>
      </c>
      <c r="K463" t="s">
        <v>1519</v>
      </c>
      <c r="L463" t="s">
        <v>314</v>
      </c>
    </row>
    <row r="464" spans="1:12" x14ac:dyDescent="0.25">
      <c r="A464" t="s">
        <v>1010</v>
      </c>
      <c r="B464" t="s">
        <v>64</v>
      </c>
      <c r="C464" t="s">
        <v>613</v>
      </c>
      <c r="D464" s="4" t="s">
        <v>300</v>
      </c>
      <c r="E464" s="4" t="s">
        <v>417</v>
      </c>
      <c r="F464" s="4" t="s">
        <v>417</v>
      </c>
      <c r="G464" t="s">
        <v>788</v>
      </c>
      <c r="H464" t="s">
        <v>417</v>
      </c>
      <c r="I464" s="3" t="e">
        <f>RUSH__2[[#This Row],[TD]]/RUSH__2[[#This Row],[Rec]]</f>
        <v>#DIV/0!</v>
      </c>
      <c r="J464" s="3">
        <f>D464/(VLOOKUP(B464,'2025 Team'!$B$2:$G$33,2,FALSE))</f>
        <v>2.0790020790020791E-3</v>
      </c>
      <c r="K464" t="s">
        <v>504</v>
      </c>
      <c r="L464" t="s">
        <v>417</v>
      </c>
    </row>
    <row r="465" spans="1:12" x14ac:dyDescent="0.25">
      <c r="A465" t="s">
        <v>1009</v>
      </c>
      <c r="B465" t="s">
        <v>64</v>
      </c>
      <c r="C465" t="s">
        <v>153</v>
      </c>
      <c r="D465" s="4" t="s">
        <v>300</v>
      </c>
      <c r="E465" s="4" t="s">
        <v>417</v>
      </c>
      <c r="F465" s="4" t="s">
        <v>417</v>
      </c>
      <c r="G465" t="s">
        <v>788</v>
      </c>
      <c r="H465" t="s">
        <v>417</v>
      </c>
      <c r="I465" s="3" t="e">
        <f>RUSH__2[[#This Row],[TD]]/RUSH__2[[#This Row],[Rec]]</f>
        <v>#DIV/0!</v>
      </c>
      <c r="J465" s="3">
        <f>D465/(VLOOKUP(B465,'2025 Team'!$B$2:$G$33,2,FALSE))</f>
        <v>2.0790020790020791E-3</v>
      </c>
      <c r="K465" t="s">
        <v>504</v>
      </c>
      <c r="L465" t="s">
        <v>417</v>
      </c>
    </row>
    <row r="466" spans="1:12" x14ac:dyDescent="0.25">
      <c r="A466" t="s">
        <v>176</v>
      </c>
      <c r="B466" t="s">
        <v>48</v>
      </c>
      <c r="C466" t="s">
        <v>159</v>
      </c>
      <c r="D466" s="4" t="s">
        <v>300</v>
      </c>
      <c r="E466" s="4" t="s">
        <v>417</v>
      </c>
      <c r="F466" s="4" t="s">
        <v>417</v>
      </c>
      <c r="G466" t="s">
        <v>788</v>
      </c>
      <c r="H466" t="s">
        <v>417</v>
      </c>
      <c r="I466" s="3" t="e">
        <f>RUSH__2[[#This Row],[TD]]/RUSH__2[[#This Row],[Rec]]</f>
        <v>#DIV/0!</v>
      </c>
      <c r="J466" s="3">
        <f>D466/(VLOOKUP(B466,'2025 Team'!$B$2:$G$33,2,FALSE))</f>
        <v>2.0661157024793389E-3</v>
      </c>
      <c r="K466" t="s">
        <v>504</v>
      </c>
      <c r="L466" t="s">
        <v>417</v>
      </c>
    </row>
    <row r="467" spans="1:12" x14ac:dyDescent="0.25">
      <c r="A467" t="s">
        <v>117</v>
      </c>
      <c r="B467" t="s">
        <v>56</v>
      </c>
      <c r="C467" t="s">
        <v>82</v>
      </c>
      <c r="D467" s="4" t="s">
        <v>300</v>
      </c>
      <c r="E467" s="4" t="s">
        <v>417</v>
      </c>
      <c r="F467" s="4" t="s">
        <v>417</v>
      </c>
      <c r="G467" t="s">
        <v>788</v>
      </c>
      <c r="H467" t="s">
        <v>417</v>
      </c>
      <c r="I467" s="3" t="e">
        <f>RUSH__2[[#This Row],[TD]]/RUSH__2[[#This Row],[Rec]]</f>
        <v>#DIV/0!</v>
      </c>
      <c r="J467" s="3">
        <f>D467/(VLOOKUP(B467,'2025 Team'!$B$2:$G$33,2,FALSE))</f>
        <v>2.0242914979757085E-3</v>
      </c>
      <c r="K467" t="s">
        <v>504</v>
      </c>
      <c r="L467" t="s">
        <v>229</v>
      </c>
    </row>
    <row r="468" spans="1:12" x14ac:dyDescent="0.25">
      <c r="A468" t="s">
        <v>561</v>
      </c>
      <c r="B468" t="s">
        <v>56</v>
      </c>
      <c r="C468" t="s">
        <v>159</v>
      </c>
      <c r="D468" s="4" t="s">
        <v>300</v>
      </c>
      <c r="E468" s="4" t="s">
        <v>417</v>
      </c>
      <c r="F468" s="4" t="s">
        <v>417</v>
      </c>
      <c r="G468" t="s">
        <v>788</v>
      </c>
      <c r="H468" t="s">
        <v>417</v>
      </c>
      <c r="I468" s="3" t="e">
        <f>RUSH__2[[#This Row],[TD]]/RUSH__2[[#This Row],[Rec]]</f>
        <v>#DIV/0!</v>
      </c>
      <c r="J468" s="3">
        <f>D468/(VLOOKUP(B468,'2025 Team'!$B$2:$G$33,2,FALSE))</f>
        <v>2.0242914979757085E-3</v>
      </c>
      <c r="K468" t="s">
        <v>504</v>
      </c>
      <c r="L468" t="s">
        <v>417</v>
      </c>
    </row>
    <row r="469" spans="1:12" x14ac:dyDescent="0.25">
      <c r="A469" t="s">
        <v>979</v>
      </c>
      <c r="B469" t="s">
        <v>56</v>
      </c>
      <c r="C469" t="s">
        <v>980</v>
      </c>
      <c r="D469" s="4" t="s">
        <v>300</v>
      </c>
      <c r="E469" s="4" t="s">
        <v>300</v>
      </c>
      <c r="F469" s="4" t="s">
        <v>314</v>
      </c>
      <c r="G469" t="s">
        <v>502</v>
      </c>
      <c r="H469" t="s">
        <v>417</v>
      </c>
      <c r="I469" s="3">
        <f>RUSH__2[[#This Row],[TD]]/RUSH__2[[#This Row],[Rec]]</f>
        <v>0</v>
      </c>
      <c r="J469" s="3">
        <f>D469/(VLOOKUP(B469,'2025 Team'!$B$2:$G$33,2,FALSE))</f>
        <v>2.0242914979757085E-3</v>
      </c>
      <c r="K469" t="s">
        <v>1519</v>
      </c>
      <c r="L469" t="s">
        <v>300</v>
      </c>
    </row>
    <row r="470" spans="1:12" x14ac:dyDescent="0.25">
      <c r="A470" t="s">
        <v>983</v>
      </c>
      <c r="B470" t="s">
        <v>56</v>
      </c>
      <c r="C470" t="s">
        <v>163</v>
      </c>
      <c r="D470" s="4" t="s">
        <v>300</v>
      </c>
      <c r="E470" s="4" t="s">
        <v>300</v>
      </c>
      <c r="F470" s="4" t="s">
        <v>211</v>
      </c>
      <c r="G470" t="s">
        <v>662</v>
      </c>
      <c r="H470" t="s">
        <v>417</v>
      </c>
      <c r="I470" s="3">
        <f>RUSH__2[[#This Row],[TD]]/RUSH__2[[#This Row],[Rec]]</f>
        <v>0</v>
      </c>
      <c r="J470" s="3">
        <f>D470/(VLOOKUP(B470,'2025 Team'!$B$2:$G$33,2,FALSE))</f>
        <v>2.0242914979757085E-3</v>
      </c>
      <c r="K470" t="s">
        <v>1519</v>
      </c>
      <c r="L470" t="s">
        <v>417</v>
      </c>
    </row>
    <row r="471" spans="1:12" x14ac:dyDescent="0.25">
      <c r="A471" t="s">
        <v>822</v>
      </c>
      <c r="B471" t="s">
        <v>14</v>
      </c>
      <c r="C471" t="s">
        <v>163</v>
      </c>
      <c r="D471" s="4" t="s">
        <v>300</v>
      </c>
      <c r="E471" s="4" t="s">
        <v>417</v>
      </c>
      <c r="F471" s="4" t="s">
        <v>417</v>
      </c>
      <c r="G471" t="s">
        <v>788</v>
      </c>
      <c r="H471" t="s">
        <v>417</v>
      </c>
      <c r="I471" s="3" t="e">
        <f>RUSH__2[[#This Row],[TD]]/RUSH__2[[#This Row],[Rec]]</f>
        <v>#DIV/0!</v>
      </c>
      <c r="J471" s="3">
        <f>D471/(VLOOKUP(B471,'2025 Team'!$B$2:$G$33,2,FALSE))</f>
        <v>2.0202020202020202E-3</v>
      </c>
      <c r="K471" t="s">
        <v>504</v>
      </c>
      <c r="L471" t="s">
        <v>300</v>
      </c>
    </row>
    <row r="472" spans="1:12" x14ac:dyDescent="0.25">
      <c r="A472" t="s">
        <v>93</v>
      </c>
      <c r="B472" t="s">
        <v>50</v>
      </c>
      <c r="C472" t="s">
        <v>82</v>
      </c>
      <c r="D472" s="4" t="s">
        <v>300</v>
      </c>
      <c r="E472" s="4" t="s">
        <v>300</v>
      </c>
      <c r="F472" s="4" t="s">
        <v>289</v>
      </c>
      <c r="G472" t="s">
        <v>643</v>
      </c>
      <c r="H472" t="s">
        <v>417</v>
      </c>
      <c r="I472" s="3">
        <f>RUSH__2[[#This Row],[TD]]/RUSH__2[[#This Row],[Rec]]</f>
        <v>0</v>
      </c>
      <c r="J472" s="3">
        <f>D472/(VLOOKUP(B472,'2025 Team'!$B$2:$G$33,2,FALSE))</f>
        <v>1.9920318725099601E-3</v>
      </c>
      <c r="K472" t="s">
        <v>1519</v>
      </c>
      <c r="L472" t="s">
        <v>225</v>
      </c>
    </row>
    <row r="473" spans="1:12" x14ac:dyDescent="0.25">
      <c r="A473" t="s">
        <v>509</v>
      </c>
      <c r="B473" t="s">
        <v>50</v>
      </c>
      <c r="C473" t="s">
        <v>159</v>
      </c>
      <c r="D473" s="4" t="s">
        <v>300</v>
      </c>
      <c r="E473" s="4" t="s">
        <v>300</v>
      </c>
      <c r="F473" s="4" t="s">
        <v>270</v>
      </c>
      <c r="G473" t="s">
        <v>732</v>
      </c>
      <c r="H473" t="s">
        <v>417</v>
      </c>
      <c r="I473" s="3">
        <f>RUSH__2[[#This Row],[TD]]/RUSH__2[[#This Row],[Rec]]</f>
        <v>0</v>
      </c>
      <c r="J473" s="3">
        <f>D473/(VLOOKUP(B473,'2025 Team'!$B$2:$G$33,2,FALSE))</f>
        <v>1.9920318725099601E-3</v>
      </c>
      <c r="K473" t="s">
        <v>1519</v>
      </c>
      <c r="L473" t="s">
        <v>417</v>
      </c>
    </row>
    <row r="474" spans="1:12" x14ac:dyDescent="0.25">
      <c r="A474" t="s">
        <v>933</v>
      </c>
      <c r="B474" t="s">
        <v>40</v>
      </c>
      <c r="C474" t="s">
        <v>934</v>
      </c>
      <c r="D474" s="4" t="s">
        <v>300</v>
      </c>
      <c r="E474" s="4" t="s">
        <v>417</v>
      </c>
      <c r="F474" s="4" t="s">
        <v>417</v>
      </c>
      <c r="G474" t="s">
        <v>788</v>
      </c>
      <c r="H474" t="s">
        <v>417</v>
      </c>
      <c r="I474" s="3" t="e">
        <f>RUSH__2[[#This Row],[TD]]/RUSH__2[[#This Row],[Rec]]</f>
        <v>#DIV/0!</v>
      </c>
      <c r="J474" s="3">
        <f>D474/(VLOOKUP(B474,'2025 Team'!$B$2:$G$33,2,FALSE))</f>
        <v>1.9417475728155339E-3</v>
      </c>
      <c r="K474" t="s">
        <v>504</v>
      </c>
      <c r="L474" t="s">
        <v>417</v>
      </c>
    </row>
    <row r="475" spans="1:12" x14ac:dyDescent="0.25">
      <c r="A475" t="s">
        <v>938</v>
      </c>
      <c r="B475" t="s">
        <v>40</v>
      </c>
      <c r="C475" t="s">
        <v>153</v>
      </c>
      <c r="D475" s="4" t="s">
        <v>300</v>
      </c>
      <c r="E475" s="4" t="s">
        <v>300</v>
      </c>
      <c r="F475" s="4" t="s">
        <v>314</v>
      </c>
      <c r="G475" t="s">
        <v>502</v>
      </c>
      <c r="H475" t="s">
        <v>417</v>
      </c>
      <c r="I475" s="3">
        <f>RUSH__2[[#This Row],[TD]]/RUSH__2[[#This Row],[Rec]]</f>
        <v>0</v>
      </c>
      <c r="J475" s="3">
        <f>D475/(VLOOKUP(B475,'2025 Team'!$B$2:$G$33,2,FALSE))</f>
        <v>1.9417475728155339E-3</v>
      </c>
      <c r="K475" t="s">
        <v>1519</v>
      </c>
      <c r="L475" t="s">
        <v>417</v>
      </c>
    </row>
    <row r="476" spans="1:12" x14ac:dyDescent="0.25">
      <c r="A476" t="s">
        <v>751</v>
      </c>
      <c r="B476" t="s">
        <v>16</v>
      </c>
      <c r="C476" t="s">
        <v>163</v>
      </c>
      <c r="D476" s="4" t="s">
        <v>300</v>
      </c>
      <c r="E476" s="4" t="s">
        <v>300</v>
      </c>
      <c r="F476" s="4" t="s">
        <v>220</v>
      </c>
      <c r="G476" t="s">
        <v>258</v>
      </c>
      <c r="H476" t="s">
        <v>417</v>
      </c>
      <c r="I476" s="3">
        <f>RUSH__2[[#This Row],[TD]]/RUSH__2[[#This Row],[Rec]]</f>
        <v>0</v>
      </c>
      <c r="J476" s="3">
        <f>D476/(VLOOKUP(B476,'2025 Team'!$B$2:$G$33,2,FALSE))</f>
        <v>1.9417475728155339E-3</v>
      </c>
      <c r="K476" t="s">
        <v>1519</v>
      </c>
      <c r="L476" t="s">
        <v>417</v>
      </c>
    </row>
    <row r="477" spans="1:12" x14ac:dyDescent="0.25">
      <c r="A477" t="s">
        <v>132</v>
      </c>
      <c r="B477" t="s">
        <v>54</v>
      </c>
      <c r="C477" t="s">
        <v>82</v>
      </c>
      <c r="D477" s="4" t="s">
        <v>300</v>
      </c>
      <c r="E477" s="4" t="s">
        <v>300</v>
      </c>
      <c r="F477" s="4" t="s">
        <v>485</v>
      </c>
      <c r="G477" t="s">
        <v>1547</v>
      </c>
      <c r="H477" t="s">
        <v>300</v>
      </c>
      <c r="I477" s="3">
        <f>RUSH__2[[#This Row],[TD]]/RUSH__2[[#This Row],[Rec]]</f>
        <v>1</v>
      </c>
      <c r="J477" s="3">
        <f>D477/(VLOOKUP(B477,'2025 Team'!$B$2:$G$33,2,FALSE))</f>
        <v>1.9011406844106464E-3</v>
      </c>
      <c r="K477" t="s">
        <v>1519</v>
      </c>
      <c r="L477" t="s">
        <v>300</v>
      </c>
    </row>
    <row r="478" spans="1:12" x14ac:dyDescent="0.25">
      <c r="A478" t="s">
        <v>806</v>
      </c>
      <c r="B478" t="s">
        <v>54</v>
      </c>
      <c r="C478" t="s">
        <v>163</v>
      </c>
      <c r="D478" s="4" t="s">
        <v>300</v>
      </c>
      <c r="E478" s="4" t="s">
        <v>300</v>
      </c>
      <c r="F478" s="4" t="s">
        <v>220</v>
      </c>
      <c r="G478" t="s">
        <v>258</v>
      </c>
      <c r="H478" t="s">
        <v>417</v>
      </c>
      <c r="I478" s="3">
        <f>RUSH__2[[#This Row],[TD]]/RUSH__2[[#This Row],[Rec]]</f>
        <v>0</v>
      </c>
      <c r="J478" s="3">
        <f>D478/(VLOOKUP(B478,'2025 Team'!$B$2:$G$33,2,FALSE))</f>
        <v>1.9011406844106464E-3</v>
      </c>
      <c r="K478" t="s">
        <v>1519</v>
      </c>
      <c r="L478" t="s">
        <v>417</v>
      </c>
    </row>
    <row r="479" spans="1:12" x14ac:dyDescent="0.25">
      <c r="A479" t="s">
        <v>804</v>
      </c>
      <c r="B479" t="s">
        <v>10</v>
      </c>
      <c r="C479" t="s">
        <v>805</v>
      </c>
      <c r="D479" s="4" t="s">
        <v>300</v>
      </c>
      <c r="E479" s="4" t="s">
        <v>417</v>
      </c>
      <c r="F479" s="4" t="s">
        <v>417</v>
      </c>
      <c r="G479" t="s">
        <v>788</v>
      </c>
      <c r="H479" t="s">
        <v>417</v>
      </c>
      <c r="I479" s="3" t="e">
        <f>RUSH__2[[#This Row],[TD]]/RUSH__2[[#This Row],[Rec]]</f>
        <v>#DIV/0!</v>
      </c>
      <c r="J479" s="3">
        <f>D479/(VLOOKUP(B479,'2025 Team'!$B$2:$G$33,2,FALSE))</f>
        <v>1.834862385321101E-3</v>
      </c>
      <c r="K479" t="s">
        <v>504</v>
      </c>
      <c r="L479" t="s">
        <v>417</v>
      </c>
    </row>
    <row r="480" spans="1:12" x14ac:dyDescent="0.25">
      <c r="A480" t="s">
        <v>161</v>
      </c>
      <c r="B480" t="s">
        <v>34</v>
      </c>
      <c r="C480" t="s">
        <v>82</v>
      </c>
      <c r="D480" s="4" t="s">
        <v>300</v>
      </c>
      <c r="E480" s="4" t="s">
        <v>300</v>
      </c>
      <c r="F480" s="4" t="s">
        <v>270</v>
      </c>
      <c r="G480" t="s">
        <v>732</v>
      </c>
      <c r="H480" t="s">
        <v>417</v>
      </c>
      <c r="I480" s="3">
        <f>RUSH__2[[#This Row],[TD]]/RUSH__2[[#This Row],[Rec]]</f>
        <v>0</v>
      </c>
      <c r="J480" s="3">
        <f>D480/(VLOOKUP(B480,'2025 Team'!$B$2:$G$33,2,FALSE))</f>
        <v>1.8281535648994515E-3</v>
      </c>
      <c r="K480" t="s">
        <v>1519</v>
      </c>
      <c r="L480" t="s">
        <v>417</v>
      </c>
    </row>
    <row r="481" spans="1:12" x14ac:dyDescent="0.25">
      <c r="A481" t="s">
        <v>899</v>
      </c>
      <c r="B481" t="s">
        <v>34</v>
      </c>
      <c r="C481" t="s">
        <v>805</v>
      </c>
      <c r="D481" s="4" t="s">
        <v>300</v>
      </c>
      <c r="E481" s="4" t="s">
        <v>417</v>
      </c>
      <c r="F481" s="4" t="s">
        <v>417</v>
      </c>
      <c r="G481" t="s">
        <v>788</v>
      </c>
      <c r="H481" t="s">
        <v>417</v>
      </c>
      <c r="I481" s="3" t="e">
        <f>RUSH__2[[#This Row],[TD]]/RUSH__2[[#This Row],[Rec]]</f>
        <v>#DIV/0!</v>
      </c>
      <c r="J481" s="3">
        <f>D481/(VLOOKUP(B481,'2025 Team'!$B$2:$G$33,2,FALSE))</f>
        <v>1.8281535648994515E-3</v>
      </c>
      <c r="K481" t="s">
        <v>504</v>
      </c>
      <c r="L481" t="s">
        <v>417</v>
      </c>
    </row>
    <row r="482" spans="1:12" x14ac:dyDescent="0.25">
      <c r="A482" t="s">
        <v>896</v>
      </c>
      <c r="B482" t="s">
        <v>34</v>
      </c>
      <c r="C482" t="s">
        <v>163</v>
      </c>
      <c r="D482" s="4" t="s">
        <v>300</v>
      </c>
      <c r="E482" s="4" t="s">
        <v>417</v>
      </c>
      <c r="F482" s="4" t="s">
        <v>417</v>
      </c>
      <c r="G482" t="s">
        <v>788</v>
      </c>
      <c r="H482" t="s">
        <v>417</v>
      </c>
      <c r="I482" s="3" t="e">
        <f>RUSH__2[[#This Row],[TD]]/RUSH__2[[#This Row],[Rec]]</f>
        <v>#DIV/0!</v>
      </c>
      <c r="J482" s="3">
        <f>D482/(VLOOKUP(B482,'2025 Team'!$B$2:$G$33,2,FALSE))</f>
        <v>1.8281535648994515E-3</v>
      </c>
      <c r="K482" t="s">
        <v>504</v>
      </c>
      <c r="L482" t="s">
        <v>417</v>
      </c>
    </row>
    <row r="483" spans="1:12" x14ac:dyDescent="0.25">
      <c r="A483" t="s">
        <v>894</v>
      </c>
      <c r="B483" t="s">
        <v>34</v>
      </c>
      <c r="C483" t="s">
        <v>153</v>
      </c>
      <c r="D483" s="4" t="s">
        <v>300</v>
      </c>
      <c r="E483" s="4" t="s">
        <v>300</v>
      </c>
      <c r="F483" s="4" t="s">
        <v>193</v>
      </c>
      <c r="G483" t="s">
        <v>1537</v>
      </c>
      <c r="H483" t="s">
        <v>417</v>
      </c>
      <c r="I483" s="3">
        <f>RUSH__2[[#This Row],[TD]]/RUSH__2[[#This Row],[Rec]]</f>
        <v>0</v>
      </c>
      <c r="J483" s="3">
        <f>D483/(VLOOKUP(B483,'2025 Team'!$B$2:$G$33,2,FALSE))</f>
        <v>1.8281535648994515E-3</v>
      </c>
      <c r="K483" t="s">
        <v>1519</v>
      </c>
      <c r="L483" t="s">
        <v>417</v>
      </c>
    </row>
    <row r="484" spans="1:12" x14ac:dyDescent="0.25">
      <c r="A484" t="s">
        <v>92</v>
      </c>
      <c r="B484" t="s">
        <v>60</v>
      </c>
      <c r="C484" t="s">
        <v>82</v>
      </c>
      <c r="D484" s="4" t="s">
        <v>300</v>
      </c>
      <c r="E484" s="4" t="s">
        <v>300</v>
      </c>
      <c r="F484" s="4" t="s">
        <v>1548</v>
      </c>
      <c r="G484" t="s">
        <v>1549</v>
      </c>
      <c r="H484" t="s">
        <v>417</v>
      </c>
      <c r="I484" s="3">
        <f>RUSH__2[[#This Row],[TD]]/RUSH__2[[#This Row],[Rec]]</f>
        <v>0</v>
      </c>
      <c r="J484" s="3">
        <f>D484/(VLOOKUP(B484,'2025 Team'!$B$2:$G$33,2,FALSE))</f>
        <v>1.8181818181818182E-3</v>
      </c>
      <c r="K484" t="s">
        <v>1519</v>
      </c>
      <c r="L484" t="s">
        <v>229</v>
      </c>
    </row>
    <row r="485" spans="1:12" x14ac:dyDescent="0.25">
      <c r="A485" t="s">
        <v>997</v>
      </c>
      <c r="B485" t="s">
        <v>60</v>
      </c>
      <c r="C485" t="s">
        <v>998</v>
      </c>
      <c r="D485" s="4" t="s">
        <v>300</v>
      </c>
      <c r="E485" s="4" t="s">
        <v>300</v>
      </c>
      <c r="F485" s="4" t="s">
        <v>229</v>
      </c>
      <c r="G485" t="s">
        <v>235</v>
      </c>
      <c r="H485" t="s">
        <v>417</v>
      </c>
      <c r="I485" s="3">
        <f>RUSH__2[[#This Row],[TD]]/RUSH__2[[#This Row],[Rec]]</f>
        <v>0</v>
      </c>
      <c r="J485" s="3">
        <f>D485/(VLOOKUP(B485,'2025 Team'!$B$2:$G$33,2,FALSE))</f>
        <v>1.8181818181818182E-3</v>
      </c>
      <c r="K485" t="s">
        <v>1519</v>
      </c>
      <c r="L485" t="s">
        <v>417</v>
      </c>
    </row>
    <row r="486" spans="1:12" x14ac:dyDescent="0.25">
      <c r="A486" t="s">
        <v>1022</v>
      </c>
      <c r="B486" t="s">
        <v>66</v>
      </c>
      <c r="C486" t="s">
        <v>153</v>
      </c>
      <c r="D486" s="4" t="s">
        <v>300</v>
      </c>
      <c r="E486" s="4" t="s">
        <v>300</v>
      </c>
      <c r="F486" s="4" t="s">
        <v>247</v>
      </c>
      <c r="G486" t="s">
        <v>389</v>
      </c>
      <c r="H486" t="s">
        <v>300</v>
      </c>
      <c r="I486" s="3">
        <f>RUSH__2[[#This Row],[TD]]/RUSH__2[[#This Row],[Rec]]</f>
        <v>1</v>
      </c>
      <c r="J486" s="3">
        <f>D486/(VLOOKUP(B486,'2025 Team'!$B$2:$G$33,2,FALSE))</f>
        <v>1.7921146953405018E-3</v>
      </c>
      <c r="K486" t="s">
        <v>1519</v>
      </c>
      <c r="L486" t="s">
        <v>417</v>
      </c>
    </row>
    <row r="487" spans="1:12" x14ac:dyDescent="0.25">
      <c r="A487" t="s">
        <v>856</v>
      </c>
      <c r="B487" t="s">
        <v>22</v>
      </c>
      <c r="C487" t="s">
        <v>857</v>
      </c>
      <c r="D487" s="4" t="s">
        <v>300</v>
      </c>
      <c r="E487" s="4" t="s">
        <v>417</v>
      </c>
      <c r="F487" s="4" t="s">
        <v>417</v>
      </c>
      <c r="G487" t="s">
        <v>788</v>
      </c>
      <c r="H487" t="s">
        <v>417</v>
      </c>
      <c r="I487" s="3" t="e">
        <f>RUSH__2[[#This Row],[TD]]/RUSH__2[[#This Row],[Rec]]</f>
        <v>#DIV/0!</v>
      </c>
      <c r="J487" s="3">
        <f>D487/(VLOOKUP(B487,'2025 Team'!$B$2:$G$33,2,FALSE))</f>
        <v>1.7921146953405018E-3</v>
      </c>
      <c r="K487" t="s">
        <v>504</v>
      </c>
      <c r="L487" t="s">
        <v>417</v>
      </c>
    </row>
    <row r="488" spans="1:12" x14ac:dyDescent="0.25">
      <c r="A488" t="s">
        <v>1028</v>
      </c>
      <c r="B488" t="s">
        <v>66</v>
      </c>
      <c r="C488" t="s">
        <v>805</v>
      </c>
      <c r="D488" s="4" t="s">
        <v>300</v>
      </c>
      <c r="E488" s="4" t="s">
        <v>300</v>
      </c>
      <c r="F488" s="4" t="s">
        <v>289</v>
      </c>
      <c r="G488" t="s">
        <v>643</v>
      </c>
      <c r="H488" t="s">
        <v>300</v>
      </c>
      <c r="I488" s="3">
        <f>RUSH__2[[#This Row],[TD]]/RUSH__2[[#This Row],[Rec]]</f>
        <v>1</v>
      </c>
      <c r="J488" s="3">
        <f>D488/(VLOOKUP(B488,'2025 Team'!$B$2:$G$33,2,FALSE))</f>
        <v>1.7921146953405018E-3</v>
      </c>
      <c r="K488" t="s">
        <v>1519</v>
      </c>
      <c r="L488" t="s">
        <v>417</v>
      </c>
    </row>
    <row r="489" spans="1:12" x14ac:dyDescent="0.25">
      <c r="A489" t="s">
        <v>710</v>
      </c>
      <c r="B489" t="s">
        <v>36</v>
      </c>
      <c r="C489" t="s">
        <v>159</v>
      </c>
      <c r="D489" s="4" t="s">
        <v>300</v>
      </c>
      <c r="E489" s="4" t="s">
        <v>417</v>
      </c>
      <c r="F489" s="4" t="s">
        <v>417</v>
      </c>
      <c r="G489" t="s">
        <v>788</v>
      </c>
      <c r="H489" t="s">
        <v>417</v>
      </c>
      <c r="I489" s="3" t="e">
        <f>RUSH__2[[#This Row],[TD]]/RUSH__2[[#This Row],[Rec]]</f>
        <v>#DIV/0!</v>
      </c>
      <c r="J489" s="3">
        <f>D489/(VLOOKUP(B489,'2025 Team'!$B$2:$G$33,2,FALSE))</f>
        <v>1.7761989342806395E-3</v>
      </c>
      <c r="K489" t="s">
        <v>504</v>
      </c>
      <c r="L489" t="s">
        <v>417</v>
      </c>
    </row>
    <row r="490" spans="1:12" x14ac:dyDescent="0.25">
      <c r="A490" t="s">
        <v>900</v>
      </c>
      <c r="B490" t="s">
        <v>36</v>
      </c>
      <c r="C490" t="s">
        <v>163</v>
      </c>
      <c r="D490" s="4" t="s">
        <v>300</v>
      </c>
      <c r="E490" s="4" t="s">
        <v>300</v>
      </c>
      <c r="F490" s="4" t="s">
        <v>557</v>
      </c>
      <c r="G490" t="s">
        <v>1212</v>
      </c>
      <c r="H490" t="s">
        <v>417</v>
      </c>
      <c r="I490" s="3">
        <f>RUSH__2[[#This Row],[TD]]/RUSH__2[[#This Row],[Rec]]</f>
        <v>0</v>
      </c>
      <c r="J490" s="3">
        <f>D490/(VLOOKUP(B490,'2025 Team'!$B$2:$G$33,2,FALSE))</f>
        <v>1.7761989342806395E-3</v>
      </c>
      <c r="K490" t="s">
        <v>1519</v>
      </c>
      <c r="L490" t="s">
        <v>417</v>
      </c>
    </row>
    <row r="491" spans="1:12" x14ac:dyDescent="0.25">
      <c r="A491" t="s">
        <v>714</v>
      </c>
      <c r="B491" t="s">
        <v>42</v>
      </c>
      <c r="C491" t="s">
        <v>159</v>
      </c>
      <c r="D491" s="4" t="s">
        <v>300</v>
      </c>
      <c r="E491" s="4" t="s">
        <v>417</v>
      </c>
      <c r="F491" s="4" t="s">
        <v>417</v>
      </c>
      <c r="G491" t="s">
        <v>788</v>
      </c>
      <c r="H491" t="s">
        <v>417</v>
      </c>
      <c r="I491" s="3" t="e">
        <f>RUSH__2[[#This Row],[TD]]/RUSH__2[[#This Row],[Rec]]</f>
        <v>#DIV/0!</v>
      </c>
      <c r="J491" s="3">
        <f>D491/(VLOOKUP(B491,'2025 Team'!$B$2:$G$33,2,FALSE))</f>
        <v>1.7574692442882249E-3</v>
      </c>
      <c r="K491" t="s">
        <v>504</v>
      </c>
      <c r="L491" t="s">
        <v>417</v>
      </c>
    </row>
    <row r="492" spans="1:12" x14ac:dyDescent="0.25">
      <c r="A492" t="s">
        <v>629</v>
      </c>
      <c r="B492" t="s">
        <v>42</v>
      </c>
      <c r="C492" t="s">
        <v>159</v>
      </c>
      <c r="D492" s="4" t="s">
        <v>300</v>
      </c>
      <c r="E492" s="4" t="s">
        <v>300</v>
      </c>
      <c r="F492" s="4" t="s">
        <v>417</v>
      </c>
      <c r="G492" t="s">
        <v>504</v>
      </c>
      <c r="H492" t="s">
        <v>417</v>
      </c>
      <c r="I492" s="3">
        <f>RUSH__2[[#This Row],[TD]]/RUSH__2[[#This Row],[Rec]]</f>
        <v>0</v>
      </c>
      <c r="J492" s="3">
        <f>D492/(VLOOKUP(B492,'2025 Team'!$B$2:$G$33,2,FALSE))</f>
        <v>1.7574692442882249E-3</v>
      </c>
      <c r="K492" t="s">
        <v>1519</v>
      </c>
      <c r="L492" t="s">
        <v>417</v>
      </c>
    </row>
    <row r="493" spans="1:12" x14ac:dyDescent="0.25">
      <c r="A493" t="s">
        <v>923</v>
      </c>
      <c r="B493" t="s">
        <v>42</v>
      </c>
      <c r="C493" t="s">
        <v>843</v>
      </c>
      <c r="D493" s="4" t="s">
        <v>300</v>
      </c>
      <c r="E493" s="4" t="s">
        <v>417</v>
      </c>
      <c r="F493" s="4" t="s">
        <v>417</v>
      </c>
      <c r="G493" t="s">
        <v>788</v>
      </c>
      <c r="H493" t="s">
        <v>417</v>
      </c>
      <c r="I493" s="3" t="e">
        <f>RUSH__2[[#This Row],[TD]]/RUSH__2[[#This Row],[Rec]]</f>
        <v>#DIV/0!</v>
      </c>
      <c r="J493" s="3">
        <f>D493/(VLOOKUP(B493,'2025 Team'!$B$2:$G$33,2,FALSE))</f>
        <v>1.7574692442882249E-3</v>
      </c>
      <c r="K493" t="s">
        <v>504</v>
      </c>
      <c r="L493" t="s">
        <v>417</v>
      </c>
    </row>
    <row r="494" spans="1:12" x14ac:dyDescent="0.25">
      <c r="A494" t="s">
        <v>1035</v>
      </c>
      <c r="B494" t="s">
        <v>68</v>
      </c>
      <c r="C494" t="s">
        <v>163</v>
      </c>
      <c r="D494" s="4" t="s">
        <v>300</v>
      </c>
      <c r="E494" s="4" t="s">
        <v>300</v>
      </c>
      <c r="F494" s="4" t="s">
        <v>225</v>
      </c>
      <c r="G494" t="s">
        <v>531</v>
      </c>
      <c r="H494" t="s">
        <v>417</v>
      </c>
      <c r="I494" s="3">
        <f>RUSH__2[[#This Row],[TD]]/RUSH__2[[#This Row],[Rec]]</f>
        <v>0</v>
      </c>
      <c r="J494" s="3">
        <f>D494/(VLOOKUP(B494,'2025 Team'!$B$2:$G$33,2,FALSE))</f>
        <v>1.7543859649122807E-3</v>
      </c>
      <c r="K494" t="s">
        <v>1519</v>
      </c>
      <c r="L494" t="s">
        <v>417</v>
      </c>
    </row>
    <row r="495" spans="1:12" x14ac:dyDescent="0.25">
      <c r="A495" t="s">
        <v>1039</v>
      </c>
      <c r="B495" t="s">
        <v>68</v>
      </c>
      <c r="C495" t="s">
        <v>1040</v>
      </c>
      <c r="D495" s="4" t="s">
        <v>300</v>
      </c>
      <c r="E495" s="4" t="s">
        <v>300</v>
      </c>
      <c r="F495" s="4" t="s">
        <v>300</v>
      </c>
      <c r="G495" t="s">
        <v>614</v>
      </c>
      <c r="H495" t="s">
        <v>300</v>
      </c>
      <c r="I495" s="3">
        <f>RUSH__2[[#This Row],[TD]]/RUSH__2[[#This Row],[Rec]]</f>
        <v>1</v>
      </c>
      <c r="J495" s="3">
        <f>D495/(VLOOKUP(B495,'2025 Team'!$B$2:$G$33,2,FALSE))</f>
        <v>1.7543859649122807E-3</v>
      </c>
      <c r="K495" t="s">
        <v>1519</v>
      </c>
      <c r="L495" t="s">
        <v>417</v>
      </c>
    </row>
    <row r="496" spans="1:12" x14ac:dyDescent="0.25">
      <c r="A496" t="s">
        <v>1021</v>
      </c>
      <c r="B496" t="s">
        <v>62</v>
      </c>
      <c r="C496" t="s">
        <v>153</v>
      </c>
      <c r="D496" s="4" t="s">
        <v>300</v>
      </c>
      <c r="E496" s="4" t="s">
        <v>417</v>
      </c>
      <c r="F496" s="4" t="s">
        <v>417</v>
      </c>
      <c r="G496" t="s">
        <v>788</v>
      </c>
      <c r="H496" t="s">
        <v>417</v>
      </c>
      <c r="I496" s="3" t="e">
        <f>RUSH__2[[#This Row],[TD]]/RUSH__2[[#This Row],[Rec]]</f>
        <v>#DIV/0!</v>
      </c>
      <c r="J496" s="3">
        <f>D496/(VLOOKUP(B496,'2025 Team'!$B$2:$G$33,2,FALSE))</f>
        <v>1.7421602787456446E-3</v>
      </c>
      <c r="K496" t="s">
        <v>504</v>
      </c>
      <c r="L496" t="s">
        <v>417</v>
      </c>
    </row>
    <row r="497" spans="1:12" x14ac:dyDescent="0.25">
      <c r="A497" t="s">
        <v>655</v>
      </c>
      <c r="B497" t="s">
        <v>18</v>
      </c>
      <c r="C497" t="s">
        <v>159</v>
      </c>
      <c r="D497" s="4" t="s">
        <v>300</v>
      </c>
      <c r="E497" s="4" t="s">
        <v>417</v>
      </c>
      <c r="F497" s="4" t="s">
        <v>417</v>
      </c>
      <c r="G497" t="s">
        <v>788</v>
      </c>
      <c r="H497" t="s">
        <v>417</v>
      </c>
      <c r="I497" s="3" t="e">
        <f>RUSH__2[[#This Row],[TD]]/RUSH__2[[#This Row],[Rec]]</f>
        <v>#DIV/0!</v>
      </c>
      <c r="J497" s="3">
        <f>D497/(VLOOKUP(B497,'2025 Team'!$B$2:$G$33,2,FALSE))</f>
        <v>1.7421602787456446E-3</v>
      </c>
      <c r="K497" t="s">
        <v>504</v>
      </c>
      <c r="L497" t="s">
        <v>417</v>
      </c>
    </row>
    <row r="498" spans="1:12" x14ac:dyDescent="0.25">
      <c r="A498" t="s">
        <v>1015</v>
      </c>
      <c r="B498" t="s">
        <v>62</v>
      </c>
      <c r="C498" t="s">
        <v>998</v>
      </c>
      <c r="D498" s="4" t="s">
        <v>300</v>
      </c>
      <c r="E498" s="4" t="s">
        <v>300</v>
      </c>
      <c r="F498" s="4" t="s">
        <v>663</v>
      </c>
      <c r="G498" t="s">
        <v>652</v>
      </c>
      <c r="H498" t="s">
        <v>417</v>
      </c>
      <c r="I498" s="3">
        <f>RUSH__2[[#This Row],[TD]]/RUSH__2[[#This Row],[Rec]]</f>
        <v>0</v>
      </c>
      <c r="J498" s="3">
        <f>D498/(VLOOKUP(B498,'2025 Team'!$B$2:$G$33,2,FALSE))</f>
        <v>1.7421602787456446E-3</v>
      </c>
      <c r="K498" t="s">
        <v>1519</v>
      </c>
      <c r="L498" t="s">
        <v>417</v>
      </c>
    </row>
    <row r="499" spans="1:12" x14ac:dyDescent="0.25">
      <c r="A499" t="s">
        <v>1019</v>
      </c>
      <c r="B499" t="s">
        <v>62</v>
      </c>
      <c r="C499" t="s">
        <v>163</v>
      </c>
      <c r="D499" s="4" t="s">
        <v>300</v>
      </c>
      <c r="E499" s="4" t="s">
        <v>417</v>
      </c>
      <c r="F499" s="4" t="s">
        <v>417</v>
      </c>
      <c r="G499" t="s">
        <v>788</v>
      </c>
      <c r="H499" t="s">
        <v>417</v>
      </c>
      <c r="I499" s="3" t="e">
        <f>RUSH__2[[#This Row],[TD]]/RUSH__2[[#This Row],[Rec]]</f>
        <v>#DIV/0!</v>
      </c>
      <c r="J499" s="3">
        <f>D499/(VLOOKUP(B499,'2025 Team'!$B$2:$G$33,2,FALSE))</f>
        <v>1.7421602787456446E-3</v>
      </c>
      <c r="K499" t="s">
        <v>504</v>
      </c>
      <c r="L499" t="s">
        <v>417</v>
      </c>
    </row>
    <row r="500" spans="1:12" x14ac:dyDescent="0.25">
      <c r="A500" t="s">
        <v>602</v>
      </c>
      <c r="B500" t="s">
        <v>32</v>
      </c>
      <c r="C500" t="s">
        <v>159</v>
      </c>
      <c r="D500" s="4" t="s">
        <v>300</v>
      </c>
      <c r="E500" s="4" t="s">
        <v>417</v>
      </c>
      <c r="F500" s="4" t="s">
        <v>417</v>
      </c>
      <c r="G500" t="s">
        <v>788</v>
      </c>
      <c r="H500" t="s">
        <v>417</v>
      </c>
      <c r="I500" s="3" t="e">
        <f>RUSH__2[[#This Row],[TD]]/RUSH__2[[#This Row],[Rec]]</f>
        <v>#DIV/0!</v>
      </c>
      <c r="J500" s="3">
        <f>D500/(VLOOKUP(B500,'2025 Team'!$B$2:$G$33,2,FALSE))</f>
        <v>1.718213058419244E-3</v>
      </c>
      <c r="K500" t="s">
        <v>504</v>
      </c>
      <c r="L500" t="s">
        <v>417</v>
      </c>
    </row>
    <row r="501" spans="1:12" x14ac:dyDescent="0.25">
      <c r="A501" t="s">
        <v>874</v>
      </c>
      <c r="B501" t="s">
        <v>28</v>
      </c>
      <c r="C501" t="s">
        <v>153</v>
      </c>
      <c r="D501" s="4" t="s">
        <v>300</v>
      </c>
      <c r="E501" s="4" t="s">
        <v>417</v>
      </c>
      <c r="F501" s="4" t="s">
        <v>417</v>
      </c>
      <c r="G501" t="s">
        <v>788</v>
      </c>
      <c r="H501" t="s">
        <v>417</v>
      </c>
      <c r="I501" s="3" t="e">
        <f>RUSH__2[[#This Row],[TD]]/RUSH__2[[#This Row],[Rec]]</f>
        <v>#DIV/0!</v>
      </c>
      <c r="J501" s="3">
        <f>D501/(VLOOKUP(B501,'2025 Team'!$B$2:$G$33,2,FALSE))</f>
        <v>1.718213058419244E-3</v>
      </c>
      <c r="K501" t="s">
        <v>504</v>
      </c>
      <c r="L501" t="s">
        <v>417</v>
      </c>
    </row>
    <row r="502" spans="1:12" x14ac:dyDescent="0.25">
      <c r="A502" t="s">
        <v>910</v>
      </c>
      <c r="B502" t="s">
        <v>38</v>
      </c>
      <c r="C502" t="s">
        <v>159</v>
      </c>
      <c r="D502" s="4" t="s">
        <v>300</v>
      </c>
      <c r="E502" s="4" t="s">
        <v>417</v>
      </c>
      <c r="F502" s="4" t="s">
        <v>417</v>
      </c>
      <c r="G502" t="s">
        <v>788</v>
      </c>
      <c r="H502" t="s">
        <v>417</v>
      </c>
      <c r="I502" s="3" t="e">
        <f>RUSH__2[[#This Row],[TD]]/RUSH__2[[#This Row],[Rec]]</f>
        <v>#DIV/0!</v>
      </c>
      <c r="J502" s="3">
        <f>D502/(VLOOKUP(B502,'2025 Team'!$B$2:$G$33,2,FALSE))</f>
        <v>1.7123287671232876E-3</v>
      </c>
      <c r="K502" t="s">
        <v>504</v>
      </c>
      <c r="L502" t="s">
        <v>417</v>
      </c>
    </row>
    <row r="503" spans="1:12" x14ac:dyDescent="0.25">
      <c r="A503" t="s">
        <v>915</v>
      </c>
      <c r="B503" t="s">
        <v>38</v>
      </c>
      <c r="C503" t="s">
        <v>153</v>
      </c>
      <c r="D503" s="4" t="s">
        <v>300</v>
      </c>
      <c r="E503" s="4" t="s">
        <v>300</v>
      </c>
      <c r="F503" s="4" t="s">
        <v>229</v>
      </c>
      <c r="G503" t="s">
        <v>235</v>
      </c>
      <c r="H503" t="s">
        <v>417</v>
      </c>
      <c r="I503" s="3">
        <f>RUSH__2[[#This Row],[TD]]/RUSH__2[[#This Row],[Rec]]</f>
        <v>0</v>
      </c>
      <c r="J503" s="3">
        <f>D503/(VLOOKUP(B503,'2025 Team'!$B$2:$G$33,2,FALSE))</f>
        <v>1.7123287671232876E-3</v>
      </c>
      <c r="K503" t="s">
        <v>1519</v>
      </c>
      <c r="L503" t="s">
        <v>417</v>
      </c>
    </row>
    <row r="504" spans="1:12" x14ac:dyDescent="0.25">
      <c r="A504" t="s">
        <v>908</v>
      </c>
      <c r="B504" t="s">
        <v>38</v>
      </c>
      <c r="C504" t="s">
        <v>163</v>
      </c>
      <c r="D504" s="4" t="s">
        <v>300</v>
      </c>
      <c r="E504" s="4" t="s">
        <v>417</v>
      </c>
      <c r="F504" s="4" t="s">
        <v>417</v>
      </c>
      <c r="G504" t="s">
        <v>788</v>
      </c>
      <c r="H504" t="s">
        <v>417</v>
      </c>
      <c r="I504" s="3" t="e">
        <f>RUSH__2[[#This Row],[TD]]/RUSH__2[[#This Row],[Rec]]</f>
        <v>#DIV/0!</v>
      </c>
      <c r="J504" s="3">
        <f>D504/(VLOOKUP(B504,'2025 Team'!$B$2:$G$33,2,FALSE))</f>
        <v>1.7123287671232876E-3</v>
      </c>
      <c r="K504" t="s">
        <v>504</v>
      </c>
      <c r="L504" t="s">
        <v>417</v>
      </c>
    </row>
    <row r="505" spans="1:12" x14ac:dyDescent="0.25">
      <c r="A505" t="s">
        <v>778</v>
      </c>
      <c r="B505" t="s">
        <v>38</v>
      </c>
      <c r="C505" t="s">
        <v>163</v>
      </c>
      <c r="D505" s="4" t="s">
        <v>300</v>
      </c>
      <c r="E505" s="4" t="s">
        <v>300</v>
      </c>
      <c r="F505" s="4" t="s">
        <v>528</v>
      </c>
      <c r="G505" t="s">
        <v>1479</v>
      </c>
      <c r="H505" t="s">
        <v>417</v>
      </c>
      <c r="I505" s="3">
        <f>RUSH__2[[#This Row],[TD]]/RUSH__2[[#This Row],[Rec]]</f>
        <v>0</v>
      </c>
      <c r="J505" s="3">
        <f>D505/(VLOOKUP(B505,'2025 Team'!$B$2:$G$33,2,FALSE))</f>
        <v>1.7123287671232876E-3</v>
      </c>
      <c r="K505" t="s">
        <v>1519</v>
      </c>
      <c r="L505" t="s">
        <v>289</v>
      </c>
    </row>
    <row r="506" spans="1:12" x14ac:dyDescent="0.25">
      <c r="A506" t="s">
        <v>91</v>
      </c>
      <c r="B506" t="s">
        <v>38</v>
      </c>
      <c r="C506" t="s">
        <v>82</v>
      </c>
      <c r="D506" s="4" t="s">
        <v>300</v>
      </c>
      <c r="E506" s="4" t="s">
        <v>300</v>
      </c>
      <c r="F506" s="4" t="s">
        <v>618</v>
      </c>
      <c r="G506" t="s">
        <v>1550</v>
      </c>
      <c r="H506" t="s">
        <v>417</v>
      </c>
      <c r="I506" s="3">
        <f>RUSH__2[[#This Row],[TD]]/RUSH__2[[#This Row],[Rec]]</f>
        <v>0</v>
      </c>
      <c r="J506" s="3">
        <f>D506/(VLOOKUP(B506,'2025 Team'!$B$2:$G$33,2,FALSE))</f>
        <v>1.7123287671232876E-3</v>
      </c>
      <c r="K506" t="s">
        <v>1519</v>
      </c>
      <c r="L506" t="s">
        <v>314</v>
      </c>
    </row>
    <row r="507" spans="1:12" x14ac:dyDescent="0.25">
      <c r="A507" t="s">
        <v>914</v>
      </c>
      <c r="B507" t="s">
        <v>38</v>
      </c>
      <c r="C507" t="s">
        <v>153</v>
      </c>
      <c r="D507" s="4" t="s">
        <v>300</v>
      </c>
      <c r="E507" s="4" t="s">
        <v>300</v>
      </c>
      <c r="F507" s="4" t="s">
        <v>300</v>
      </c>
      <c r="G507" t="s">
        <v>614</v>
      </c>
      <c r="H507" t="s">
        <v>417</v>
      </c>
      <c r="I507" s="3">
        <f>RUSH__2[[#This Row],[TD]]/RUSH__2[[#This Row],[Rec]]</f>
        <v>0</v>
      </c>
      <c r="J507" s="3">
        <f>D507/(VLOOKUP(B507,'2025 Team'!$B$2:$G$33,2,FALSE))</f>
        <v>1.7123287671232876E-3</v>
      </c>
      <c r="K507" t="s">
        <v>1519</v>
      </c>
      <c r="L507" t="s">
        <v>417</v>
      </c>
    </row>
    <row r="508" spans="1:12" x14ac:dyDescent="0.25">
      <c r="A508" t="s">
        <v>544</v>
      </c>
      <c r="B508" t="s">
        <v>52</v>
      </c>
      <c r="C508" t="s">
        <v>159</v>
      </c>
      <c r="D508" s="4" t="s">
        <v>300</v>
      </c>
      <c r="E508" s="4" t="s">
        <v>300</v>
      </c>
      <c r="F508" s="4" t="s">
        <v>247</v>
      </c>
      <c r="G508" t="s">
        <v>389</v>
      </c>
      <c r="H508" t="s">
        <v>417</v>
      </c>
      <c r="I508" s="3">
        <f>RUSH__2[[#This Row],[TD]]/RUSH__2[[#This Row],[Rec]]</f>
        <v>0</v>
      </c>
      <c r="J508" s="3">
        <f>D508/(VLOOKUP(B508,'2025 Team'!$B$2:$G$33,2,FALSE))</f>
        <v>1.6920473773265651E-3</v>
      </c>
      <c r="K508" t="s">
        <v>1519</v>
      </c>
      <c r="L508" t="s">
        <v>417</v>
      </c>
    </row>
    <row r="509" spans="1:12" x14ac:dyDescent="0.25">
      <c r="A509" t="s">
        <v>816</v>
      </c>
      <c r="B509" t="s">
        <v>52</v>
      </c>
      <c r="C509" t="s">
        <v>153</v>
      </c>
      <c r="D509" s="4" t="s">
        <v>300</v>
      </c>
      <c r="E509" s="4" t="s">
        <v>300</v>
      </c>
      <c r="F509" s="4" t="s">
        <v>344</v>
      </c>
      <c r="G509" t="s">
        <v>696</v>
      </c>
      <c r="H509" t="s">
        <v>417</v>
      </c>
      <c r="I509" s="3">
        <f>RUSH__2[[#This Row],[TD]]/RUSH__2[[#This Row],[Rec]]</f>
        <v>0</v>
      </c>
      <c r="J509" s="3">
        <f>D509/(VLOOKUP(B509,'2025 Team'!$B$2:$G$33,2,FALSE))</f>
        <v>1.6920473773265651E-3</v>
      </c>
      <c r="K509" t="s">
        <v>1519</v>
      </c>
      <c r="L509" t="s">
        <v>417</v>
      </c>
    </row>
    <row r="510" spans="1:12" x14ac:dyDescent="0.25">
      <c r="A510" t="s">
        <v>81</v>
      </c>
      <c r="B510" t="s">
        <v>26</v>
      </c>
      <c r="C510" t="s">
        <v>82</v>
      </c>
      <c r="D510" s="4" t="s">
        <v>300</v>
      </c>
      <c r="E510" s="4" t="s">
        <v>417</v>
      </c>
      <c r="F510" s="4" t="s">
        <v>417</v>
      </c>
      <c r="G510" t="s">
        <v>788</v>
      </c>
      <c r="H510" t="s">
        <v>417</v>
      </c>
      <c r="I510" s="3" t="e">
        <f>RUSH__2[[#This Row],[TD]]/RUSH__2[[#This Row],[Rec]]</f>
        <v>#DIV/0!</v>
      </c>
      <c r="J510" s="3">
        <f>D510/(VLOOKUP(B510,'2025 Team'!$B$2:$G$33,2,FALSE))</f>
        <v>1.6313213703099511E-3</v>
      </c>
      <c r="K510" t="s">
        <v>504</v>
      </c>
      <c r="L510" t="s">
        <v>229</v>
      </c>
    </row>
    <row r="511" spans="1:12" x14ac:dyDescent="0.25">
      <c r="A511" t="s">
        <v>865</v>
      </c>
      <c r="B511" t="s">
        <v>26</v>
      </c>
      <c r="C511" t="s">
        <v>805</v>
      </c>
      <c r="D511" s="4" t="s">
        <v>300</v>
      </c>
      <c r="E511" s="4" t="s">
        <v>417</v>
      </c>
      <c r="F511" s="4" t="s">
        <v>417</v>
      </c>
      <c r="G511" t="s">
        <v>788</v>
      </c>
      <c r="H511" t="s">
        <v>417</v>
      </c>
      <c r="I511" s="3" t="e">
        <f>RUSH__2[[#This Row],[TD]]/RUSH__2[[#This Row],[Rec]]</f>
        <v>#DIV/0!</v>
      </c>
      <c r="J511" s="3">
        <f>D511/(VLOOKUP(B511,'2025 Team'!$B$2:$G$33,2,FALSE))</f>
        <v>1.6313213703099511E-3</v>
      </c>
      <c r="K511" t="s">
        <v>504</v>
      </c>
      <c r="L511" t="s">
        <v>417</v>
      </c>
    </row>
    <row r="512" spans="1:12" x14ac:dyDescent="0.25">
      <c r="A512" t="s">
        <v>479</v>
      </c>
      <c r="B512" t="s">
        <v>24</v>
      </c>
      <c r="C512" t="s">
        <v>159</v>
      </c>
      <c r="D512" s="4" t="s">
        <v>300</v>
      </c>
      <c r="E512" s="4" t="s">
        <v>300</v>
      </c>
      <c r="F512" s="4" t="s">
        <v>220</v>
      </c>
      <c r="G512" t="s">
        <v>258</v>
      </c>
      <c r="H512" t="s">
        <v>417</v>
      </c>
      <c r="I512" s="3">
        <f>RUSH__2[[#This Row],[TD]]/RUSH__2[[#This Row],[Rec]]</f>
        <v>0</v>
      </c>
      <c r="J512" s="3">
        <f>D512/(VLOOKUP(B512,'2025 Team'!$B$2:$G$33,2,FALSE))</f>
        <v>1.6025641025641025E-3</v>
      </c>
      <c r="K512" t="s">
        <v>1519</v>
      </c>
      <c r="L512" t="s">
        <v>300</v>
      </c>
    </row>
    <row r="513" spans="1:12" x14ac:dyDescent="0.25">
      <c r="A513" t="s">
        <v>848</v>
      </c>
      <c r="B513" t="s">
        <v>20</v>
      </c>
      <c r="C513" t="s">
        <v>163</v>
      </c>
      <c r="D513" s="4" t="s">
        <v>300</v>
      </c>
      <c r="E513" s="4" t="s">
        <v>417</v>
      </c>
      <c r="F513" s="4" t="s">
        <v>417</v>
      </c>
      <c r="G513" t="s">
        <v>788</v>
      </c>
      <c r="H513" t="s">
        <v>417</v>
      </c>
      <c r="I513" s="3" t="e">
        <f>RUSH__2[[#This Row],[TD]]/RUSH__2[[#This Row],[Rec]]</f>
        <v>#DIV/0!</v>
      </c>
      <c r="J513" s="3">
        <f>D513/(VLOOKUP(B513,'2025 Team'!$B$2:$G$33,2,FALSE))</f>
        <v>1.5625000000000001E-3</v>
      </c>
      <c r="K513" t="s">
        <v>504</v>
      </c>
      <c r="L513" t="s">
        <v>417</v>
      </c>
    </row>
    <row r="514" spans="1:12" x14ac:dyDescent="0.25">
      <c r="A514" t="s">
        <v>842</v>
      </c>
      <c r="B514" t="s">
        <v>20</v>
      </c>
      <c r="C514" t="s">
        <v>843</v>
      </c>
      <c r="D514" s="4" t="s">
        <v>300</v>
      </c>
      <c r="E514" s="4" t="s">
        <v>300</v>
      </c>
      <c r="F514" s="4" t="s">
        <v>528</v>
      </c>
      <c r="G514" t="s">
        <v>1479</v>
      </c>
      <c r="H514" t="s">
        <v>417</v>
      </c>
      <c r="I514" s="3">
        <f>RUSH__2[[#This Row],[TD]]/RUSH__2[[#This Row],[Rec]]</f>
        <v>0</v>
      </c>
      <c r="J514" s="3">
        <f>D514/(VLOOKUP(B514,'2025 Team'!$B$2:$G$33,2,FALSE))</f>
        <v>1.5625000000000001E-3</v>
      </c>
      <c r="K514" t="s">
        <v>1519</v>
      </c>
      <c r="L514" t="s">
        <v>417</v>
      </c>
    </row>
    <row r="515" spans="1:12" x14ac:dyDescent="0.25">
      <c r="A515" t="s">
        <v>728</v>
      </c>
      <c r="B515" t="s">
        <v>20</v>
      </c>
      <c r="C515" t="s">
        <v>163</v>
      </c>
      <c r="D515" s="4" t="s">
        <v>300</v>
      </c>
      <c r="E515" s="4" t="s">
        <v>300</v>
      </c>
      <c r="F515" s="4" t="s">
        <v>220</v>
      </c>
      <c r="G515" t="s">
        <v>258</v>
      </c>
      <c r="H515" t="s">
        <v>417</v>
      </c>
      <c r="I515" s="3">
        <f>RUSH__2[[#This Row],[TD]]/RUSH__2[[#This Row],[Rec]]</f>
        <v>0</v>
      </c>
      <c r="J515" s="3">
        <f>D515/(VLOOKUP(B515,'2025 Team'!$B$2:$G$33,2,FALSE))</f>
        <v>1.5625000000000001E-3</v>
      </c>
      <c r="K515" t="s">
        <v>1519</v>
      </c>
      <c r="L515" t="s">
        <v>417</v>
      </c>
    </row>
    <row r="516" spans="1:12" x14ac:dyDescent="0.25">
      <c r="A516" t="s">
        <v>798</v>
      </c>
      <c r="B516" t="s">
        <v>8</v>
      </c>
      <c r="C516" t="s">
        <v>163</v>
      </c>
      <c r="D516" s="4" t="s">
        <v>300</v>
      </c>
      <c r="E516" s="4" t="s">
        <v>417</v>
      </c>
      <c r="F516" s="4" t="s">
        <v>417</v>
      </c>
      <c r="G516" t="s">
        <v>788</v>
      </c>
      <c r="H516" t="s">
        <v>417</v>
      </c>
      <c r="I516" s="3" t="e">
        <f>RUSH__2[[#This Row],[TD]]/RUSH__2[[#This Row],[Rec]]</f>
        <v>#DIV/0!</v>
      </c>
      <c r="J516" s="3">
        <f>D516/(VLOOKUP(B516,'2025 Team'!$B$2:$G$33,2,FALSE))</f>
        <v>1.5408320493066256E-3</v>
      </c>
      <c r="K516" t="s">
        <v>504</v>
      </c>
      <c r="L516" t="s">
        <v>417</v>
      </c>
    </row>
    <row r="517" spans="1:12" x14ac:dyDescent="0.25">
      <c r="A517" t="s">
        <v>797</v>
      </c>
      <c r="B517" t="s">
        <v>8</v>
      </c>
      <c r="C517" t="s">
        <v>163</v>
      </c>
      <c r="D517" s="4" t="s">
        <v>300</v>
      </c>
      <c r="E517" s="4" t="s">
        <v>417</v>
      </c>
      <c r="F517" s="4" t="s">
        <v>417</v>
      </c>
      <c r="G517" t="s">
        <v>788</v>
      </c>
      <c r="H517" t="s">
        <v>417</v>
      </c>
      <c r="I517" s="3" t="e">
        <f>RUSH__2[[#This Row],[TD]]/RUSH__2[[#This Row],[Rec]]</f>
        <v>#DIV/0!</v>
      </c>
      <c r="J517" s="3">
        <f>D517/(VLOOKUP(B517,'2025 Team'!$B$2:$G$33,2,FALSE))</f>
        <v>1.5408320493066256E-3</v>
      </c>
      <c r="K517" t="s">
        <v>504</v>
      </c>
      <c r="L517" t="s">
        <v>417</v>
      </c>
    </row>
    <row r="518" spans="1:12" x14ac:dyDescent="0.25">
      <c r="A518" t="s">
        <v>772</v>
      </c>
      <c r="B518" t="s">
        <v>62</v>
      </c>
      <c r="C518" t="s">
        <v>82</v>
      </c>
      <c r="D518" s="4" t="s">
        <v>417</v>
      </c>
      <c r="E518" s="4" t="s">
        <v>417</v>
      </c>
      <c r="F518" s="4" t="s">
        <v>417</v>
      </c>
      <c r="G518" t="s">
        <v>788</v>
      </c>
      <c r="H518" t="s">
        <v>417</v>
      </c>
      <c r="I518" s="3" t="e">
        <f>RUSH__2[[#This Row],[TD]]/RUSH__2[[#This Row],[Rec]]</f>
        <v>#DIV/0!</v>
      </c>
      <c r="J518" s="3">
        <f>D518/(VLOOKUP(B518,'2025 Team'!$B$2:$G$33,2,FALSE))</f>
        <v>0</v>
      </c>
      <c r="K518" t="s">
        <v>788</v>
      </c>
      <c r="L518" t="s">
        <v>417</v>
      </c>
    </row>
    <row r="519" spans="1:12" x14ac:dyDescent="0.25">
      <c r="A519" t="s">
        <v>145</v>
      </c>
      <c r="B519" t="s">
        <v>40</v>
      </c>
      <c r="C519" t="s">
        <v>82</v>
      </c>
      <c r="D519" s="4" t="s">
        <v>417</v>
      </c>
      <c r="E519" s="4" t="s">
        <v>417</v>
      </c>
      <c r="F519" s="4" t="s">
        <v>417</v>
      </c>
      <c r="G519" t="s">
        <v>788</v>
      </c>
      <c r="H519" t="s">
        <v>417</v>
      </c>
      <c r="I519" s="3" t="e">
        <f>RUSH__2[[#This Row],[TD]]/RUSH__2[[#This Row],[Rec]]</f>
        <v>#DIV/0!</v>
      </c>
      <c r="J519" s="3">
        <f>D519/(VLOOKUP(B519,'2025 Team'!$B$2:$G$33,2,FALSE))</f>
        <v>0</v>
      </c>
      <c r="K519" t="s">
        <v>788</v>
      </c>
      <c r="L519" t="s">
        <v>417</v>
      </c>
    </row>
    <row r="520" spans="1:12" x14ac:dyDescent="0.25">
      <c r="A520" t="s">
        <v>140</v>
      </c>
      <c r="B520" t="s">
        <v>16</v>
      </c>
      <c r="C520" t="s">
        <v>82</v>
      </c>
      <c r="D520" s="4" t="s">
        <v>417</v>
      </c>
      <c r="E520" s="4" t="s">
        <v>417</v>
      </c>
      <c r="F520" s="4" t="s">
        <v>417</v>
      </c>
      <c r="G520" t="s">
        <v>788</v>
      </c>
      <c r="H520" t="s">
        <v>417</v>
      </c>
      <c r="I520" s="3" t="e">
        <f>RUSH__2[[#This Row],[TD]]/RUSH__2[[#This Row],[Rec]]</f>
        <v>#DIV/0!</v>
      </c>
      <c r="J520" s="3">
        <f>D520/(VLOOKUP(B520,'2025 Team'!$B$2:$G$33,2,FALSE))</f>
        <v>0</v>
      </c>
      <c r="K520" t="s">
        <v>788</v>
      </c>
      <c r="L520" t="s">
        <v>289</v>
      </c>
    </row>
    <row r="521" spans="1:12" x14ac:dyDescent="0.25">
      <c r="A521" t="s">
        <v>88</v>
      </c>
      <c r="B521" t="s">
        <v>66</v>
      </c>
      <c r="C521" t="s">
        <v>82</v>
      </c>
      <c r="D521" s="4" t="s">
        <v>417</v>
      </c>
      <c r="E521" s="4" t="s">
        <v>417</v>
      </c>
      <c r="F521" s="4" t="s">
        <v>417</v>
      </c>
      <c r="G521" t="s">
        <v>788</v>
      </c>
      <c r="H521" t="s">
        <v>417</v>
      </c>
      <c r="I521" s="3" t="e">
        <f>RUSH__2[[#This Row],[TD]]/RUSH__2[[#This Row],[Rec]]</f>
        <v>#DIV/0!</v>
      </c>
      <c r="J521" s="3">
        <f>D521/(VLOOKUP(B521,'2025 Team'!$B$2:$G$33,2,FALSE))</f>
        <v>0</v>
      </c>
      <c r="K521" t="s">
        <v>788</v>
      </c>
      <c r="L521" t="s">
        <v>266</v>
      </c>
    </row>
    <row r="522" spans="1:12" x14ac:dyDescent="0.25">
      <c r="A522" t="s">
        <v>745</v>
      </c>
      <c r="B522" t="s">
        <v>58</v>
      </c>
      <c r="C522" t="s">
        <v>165</v>
      </c>
      <c r="D522" s="4" t="s">
        <v>417</v>
      </c>
      <c r="E522" s="4" t="s">
        <v>417</v>
      </c>
      <c r="F522" s="4" t="s">
        <v>417</v>
      </c>
      <c r="G522" t="s">
        <v>788</v>
      </c>
      <c r="H522" t="s">
        <v>417</v>
      </c>
      <c r="I522" s="3" t="e">
        <f>RUSH__2[[#This Row],[TD]]/RUSH__2[[#This Row],[Rec]]</f>
        <v>#DIV/0!</v>
      </c>
      <c r="J522" s="3">
        <f>D522/(VLOOKUP(B522,'2025 Team'!$B$2:$G$33,2,FALSE))</f>
        <v>0</v>
      </c>
      <c r="K522" t="s">
        <v>788</v>
      </c>
      <c r="L522" t="s">
        <v>417</v>
      </c>
    </row>
    <row r="523" spans="1:12" x14ac:dyDescent="0.25">
      <c r="A523" t="s">
        <v>123</v>
      </c>
      <c r="B523" t="s">
        <v>56</v>
      </c>
      <c r="C523" t="s">
        <v>82</v>
      </c>
      <c r="D523" s="4" t="s">
        <v>417</v>
      </c>
      <c r="E523" s="4" t="s">
        <v>417</v>
      </c>
      <c r="F523" s="4" t="s">
        <v>417</v>
      </c>
      <c r="G523" t="s">
        <v>788</v>
      </c>
      <c r="H523" t="s">
        <v>417</v>
      </c>
      <c r="I523" s="3" t="e">
        <f>RUSH__2[[#This Row],[TD]]/RUSH__2[[#This Row],[Rec]]</f>
        <v>#DIV/0!</v>
      </c>
      <c r="J523" s="3">
        <f>D523/(VLOOKUP(B523,'2025 Team'!$B$2:$G$33,2,FALSE))</f>
        <v>0</v>
      </c>
      <c r="K523" t="s">
        <v>788</v>
      </c>
      <c r="L523" t="s">
        <v>314</v>
      </c>
    </row>
    <row r="524" spans="1:12" x14ac:dyDescent="0.25">
      <c r="A524" t="s">
        <v>783</v>
      </c>
      <c r="B524" t="s">
        <v>24</v>
      </c>
      <c r="C524" t="s">
        <v>174</v>
      </c>
      <c r="D524" s="4" t="s">
        <v>417</v>
      </c>
      <c r="E524" s="4" t="s">
        <v>417</v>
      </c>
      <c r="F524" s="4" t="s">
        <v>417</v>
      </c>
      <c r="G524" t="s">
        <v>788</v>
      </c>
      <c r="H524" t="s">
        <v>417</v>
      </c>
      <c r="I524" s="3" t="e">
        <f>RUSH__2[[#This Row],[TD]]/RUSH__2[[#This Row],[Rec]]</f>
        <v>#DIV/0!</v>
      </c>
      <c r="J524" s="3">
        <f>D524/(VLOOKUP(B524,'2025 Team'!$B$2:$G$33,2,FALSE))</f>
        <v>0</v>
      </c>
      <c r="K524" t="s">
        <v>788</v>
      </c>
      <c r="L524" t="s">
        <v>417</v>
      </c>
    </row>
    <row r="525" spans="1:12" x14ac:dyDescent="0.25">
      <c r="A525" t="s">
        <v>551</v>
      </c>
      <c r="B525" t="s">
        <v>32</v>
      </c>
      <c r="C525" t="s">
        <v>159</v>
      </c>
      <c r="D525" s="4" t="s">
        <v>417</v>
      </c>
      <c r="E525" s="4" t="s">
        <v>417</v>
      </c>
      <c r="F525" s="4" t="s">
        <v>417</v>
      </c>
      <c r="G525" t="s">
        <v>788</v>
      </c>
      <c r="H525" t="s">
        <v>417</v>
      </c>
      <c r="I525" s="3" t="e">
        <f>RUSH__2[[#This Row],[TD]]/RUSH__2[[#This Row],[Rec]]</f>
        <v>#DIV/0!</v>
      </c>
      <c r="J525" s="3">
        <f>D525/(VLOOKUP(B525,'2025 Team'!$B$2:$G$33,2,FALSE))</f>
        <v>0</v>
      </c>
      <c r="K525" t="s">
        <v>788</v>
      </c>
      <c r="L525" t="s">
        <v>417</v>
      </c>
    </row>
    <row r="526" spans="1:12" x14ac:dyDescent="0.25">
      <c r="A526" t="s">
        <v>108</v>
      </c>
      <c r="B526" t="s">
        <v>62</v>
      </c>
      <c r="C526" t="s">
        <v>82</v>
      </c>
      <c r="D526" s="4" t="s">
        <v>417</v>
      </c>
      <c r="E526" s="4" t="s">
        <v>417</v>
      </c>
      <c r="F526" s="4" t="s">
        <v>417</v>
      </c>
      <c r="G526" t="s">
        <v>788</v>
      </c>
      <c r="H526" t="s">
        <v>417</v>
      </c>
      <c r="I526" s="3" t="e">
        <f>RUSH__2[[#This Row],[TD]]/RUSH__2[[#This Row],[Rec]]</f>
        <v>#DIV/0!</v>
      </c>
      <c r="J526" s="3">
        <f>D526/(VLOOKUP(B526,'2025 Team'!$B$2:$G$33,2,FALSE))</f>
        <v>0</v>
      </c>
      <c r="K526" t="s">
        <v>788</v>
      </c>
      <c r="L526" t="s">
        <v>314</v>
      </c>
    </row>
    <row r="527" spans="1:12" x14ac:dyDescent="0.25">
      <c r="A527" t="s">
        <v>95</v>
      </c>
      <c r="B527" t="s">
        <v>16</v>
      </c>
      <c r="C527" t="s">
        <v>82</v>
      </c>
      <c r="D527" s="4" t="s">
        <v>417</v>
      </c>
      <c r="E527" s="4" t="s">
        <v>417</v>
      </c>
      <c r="F527" s="4" t="s">
        <v>417</v>
      </c>
      <c r="G527" t="s">
        <v>788</v>
      </c>
      <c r="H527" t="s">
        <v>417</v>
      </c>
      <c r="I527" s="3" t="e">
        <f>RUSH__2[[#This Row],[TD]]/RUSH__2[[#This Row],[Rec]]</f>
        <v>#DIV/0!</v>
      </c>
      <c r="J527" s="3">
        <f>D527/(VLOOKUP(B527,'2025 Team'!$B$2:$G$33,2,FALSE))</f>
        <v>0</v>
      </c>
      <c r="K527" t="s">
        <v>788</v>
      </c>
      <c r="L527" t="s">
        <v>207</v>
      </c>
    </row>
    <row r="528" spans="1:12" x14ac:dyDescent="0.25">
      <c r="A528" t="s">
        <v>101</v>
      </c>
      <c r="B528" t="s">
        <v>32</v>
      </c>
      <c r="C528" t="s">
        <v>82</v>
      </c>
      <c r="D528" s="4" t="s">
        <v>417</v>
      </c>
      <c r="E528" s="4" t="s">
        <v>417</v>
      </c>
      <c r="F528" s="4" t="s">
        <v>417</v>
      </c>
      <c r="G528" t="s">
        <v>788</v>
      </c>
      <c r="H528" t="s">
        <v>417</v>
      </c>
      <c r="I528" s="3" t="e">
        <f>RUSH__2[[#This Row],[TD]]/RUSH__2[[#This Row],[Rec]]</f>
        <v>#DIV/0!</v>
      </c>
      <c r="J528" s="3">
        <f>D528/(VLOOKUP(B528,'2025 Team'!$B$2:$G$33,2,FALSE))</f>
        <v>0</v>
      </c>
      <c r="K528" t="s">
        <v>788</v>
      </c>
      <c r="L528" t="s">
        <v>289</v>
      </c>
    </row>
    <row r="529" spans="1:12" x14ac:dyDescent="0.25">
      <c r="A529" t="s">
        <v>89</v>
      </c>
      <c r="B529" t="s">
        <v>68</v>
      </c>
      <c r="C529" t="s">
        <v>82</v>
      </c>
      <c r="D529" s="4" t="s">
        <v>417</v>
      </c>
      <c r="E529" s="4" t="s">
        <v>417</v>
      </c>
      <c r="F529" s="4" t="s">
        <v>417</v>
      </c>
      <c r="G529" t="s">
        <v>788</v>
      </c>
      <c r="H529" t="s">
        <v>417</v>
      </c>
      <c r="I529" s="3" t="e">
        <f>RUSH__2[[#This Row],[TD]]/RUSH__2[[#This Row],[Rec]]</f>
        <v>#DIV/0!</v>
      </c>
      <c r="J529" s="3">
        <f>D529/(VLOOKUP(B529,'2025 Team'!$B$2:$G$33,2,FALSE))</f>
        <v>0</v>
      </c>
      <c r="K529" t="s">
        <v>788</v>
      </c>
      <c r="L529" t="s">
        <v>266</v>
      </c>
    </row>
    <row r="530" spans="1:12" x14ac:dyDescent="0.25">
      <c r="A530" t="s">
        <v>120</v>
      </c>
      <c r="B530" t="s">
        <v>48</v>
      </c>
      <c r="C530" t="s">
        <v>82</v>
      </c>
      <c r="D530" s="4" t="s">
        <v>417</v>
      </c>
      <c r="E530" s="4" t="s">
        <v>417</v>
      </c>
      <c r="F530" s="4" t="s">
        <v>417</v>
      </c>
      <c r="G530" t="s">
        <v>788</v>
      </c>
      <c r="H530" t="s">
        <v>417</v>
      </c>
      <c r="I530" s="3" t="e">
        <f>RUSH__2[[#This Row],[TD]]/RUSH__2[[#This Row],[Rec]]</f>
        <v>#DIV/0!</v>
      </c>
      <c r="J530" s="3">
        <f>D530/(VLOOKUP(B530,'2025 Team'!$B$2:$G$33,2,FALSE))</f>
        <v>0</v>
      </c>
      <c r="K530" t="s">
        <v>788</v>
      </c>
      <c r="L530" t="s">
        <v>314</v>
      </c>
    </row>
    <row r="531" spans="1:12" x14ac:dyDescent="0.25">
      <c r="A531" t="s">
        <v>134</v>
      </c>
      <c r="B531" t="s">
        <v>38</v>
      </c>
      <c r="C531" t="s">
        <v>82</v>
      </c>
      <c r="D531" s="4" t="s">
        <v>417</v>
      </c>
      <c r="E531" s="4" t="s">
        <v>417</v>
      </c>
      <c r="F531" s="4" t="s">
        <v>417</v>
      </c>
      <c r="G531" t="s">
        <v>788</v>
      </c>
      <c r="H531" t="s">
        <v>417</v>
      </c>
      <c r="I531" s="3" t="e">
        <f>RUSH__2[[#This Row],[TD]]/RUSH__2[[#This Row],[Rec]]</f>
        <v>#DIV/0!</v>
      </c>
      <c r="J531" s="3">
        <f>D531/(VLOOKUP(B531,'2025 Team'!$B$2:$G$33,2,FALSE))</f>
        <v>0</v>
      </c>
      <c r="K531" t="s">
        <v>788</v>
      </c>
      <c r="L531" t="s">
        <v>229</v>
      </c>
    </row>
    <row r="532" spans="1:12" x14ac:dyDescent="0.25">
      <c r="A532" t="s">
        <v>146</v>
      </c>
      <c r="B532" t="s">
        <v>30</v>
      </c>
      <c r="C532" t="s">
        <v>82</v>
      </c>
      <c r="D532" s="4" t="s">
        <v>417</v>
      </c>
      <c r="E532" s="4" t="s">
        <v>417</v>
      </c>
      <c r="F532" s="4" t="s">
        <v>417</v>
      </c>
      <c r="G532" t="s">
        <v>788</v>
      </c>
      <c r="H532" t="s">
        <v>417</v>
      </c>
      <c r="I532" s="3" t="e">
        <f>RUSH__2[[#This Row],[TD]]/RUSH__2[[#This Row],[Rec]]</f>
        <v>#DIV/0!</v>
      </c>
      <c r="J532" s="3">
        <f>D532/(VLOOKUP(B532,'2025 Team'!$B$2:$G$33,2,FALSE))</f>
        <v>0</v>
      </c>
      <c r="K532" t="s">
        <v>788</v>
      </c>
      <c r="L532" t="s">
        <v>300</v>
      </c>
    </row>
    <row r="533" spans="1:12" x14ac:dyDescent="0.25">
      <c r="A533" t="s">
        <v>136</v>
      </c>
      <c r="B533" t="s">
        <v>12</v>
      </c>
      <c r="C533" t="s">
        <v>82</v>
      </c>
      <c r="D533" s="4" t="s">
        <v>417</v>
      </c>
      <c r="E533" s="4" t="s">
        <v>417</v>
      </c>
      <c r="F533" s="4" t="s">
        <v>417</v>
      </c>
      <c r="G533" t="s">
        <v>788</v>
      </c>
      <c r="H533" t="s">
        <v>417</v>
      </c>
      <c r="I533" s="3" t="e">
        <f>RUSH__2[[#This Row],[TD]]/RUSH__2[[#This Row],[Rec]]</f>
        <v>#DIV/0!</v>
      </c>
      <c r="J533" s="3">
        <f>D533/(VLOOKUP(B533,'2025 Team'!$B$2:$G$33,2,FALSE))</f>
        <v>0</v>
      </c>
      <c r="K533" t="s">
        <v>788</v>
      </c>
      <c r="L533" t="s">
        <v>300</v>
      </c>
    </row>
    <row r="534" spans="1:12" x14ac:dyDescent="0.25">
      <c r="A534" t="s">
        <v>688</v>
      </c>
      <c r="B534" t="s">
        <v>28</v>
      </c>
      <c r="C534" t="s">
        <v>159</v>
      </c>
      <c r="D534" s="4" t="s">
        <v>417</v>
      </c>
      <c r="E534" s="4" t="s">
        <v>417</v>
      </c>
      <c r="F534" s="4" t="s">
        <v>417</v>
      </c>
      <c r="G534" t="s">
        <v>788</v>
      </c>
      <c r="H534" t="s">
        <v>417</v>
      </c>
      <c r="I534" s="3" t="e">
        <f>RUSH__2[[#This Row],[TD]]/RUSH__2[[#This Row],[Rec]]</f>
        <v>#DIV/0!</v>
      </c>
      <c r="J534" s="3">
        <f>D534/(VLOOKUP(B534,'2025 Team'!$B$2:$G$33,2,FALSE))</f>
        <v>0</v>
      </c>
      <c r="K534" t="s">
        <v>788</v>
      </c>
      <c r="L534" t="s">
        <v>417</v>
      </c>
    </row>
    <row r="535" spans="1:12" x14ac:dyDescent="0.25">
      <c r="A535" t="s">
        <v>83</v>
      </c>
      <c r="B535" t="s">
        <v>24</v>
      </c>
      <c r="C535" t="s">
        <v>82</v>
      </c>
      <c r="D535" s="4" t="s">
        <v>417</v>
      </c>
      <c r="E535" s="4" t="s">
        <v>417</v>
      </c>
      <c r="F535" s="4" t="s">
        <v>417</v>
      </c>
      <c r="G535" t="s">
        <v>788</v>
      </c>
      <c r="H535" t="s">
        <v>417</v>
      </c>
      <c r="I535" s="3" t="e">
        <f>RUSH__2[[#This Row],[TD]]/RUSH__2[[#This Row],[Rec]]</f>
        <v>#DIV/0!</v>
      </c>
      <c r="J535" s="3">
        <f>D535/(VLOOKUP(B535,'2025 Team'!$B$2:$G$33,2,FALSE))</f>
        <v>0</v>
      </c>
      <c r="K535" t="s">
        <v>788</v>
      </c>
      <c r="L535" t="s">
        <v>247</v>
      </c>
    </row>
    <row r="536" spans="1:12" x14ac:dyDescent="0.25">
      <c r="A536" t="s">
        <v>602</v>
      </c>
      <c r="B536" t="s">
        <v>38</v>
      </c>
      <c r="C536" t="s">
        <v>159</v>
      </c>
      <c r="D536" s="4" t="s">
        <v>417</v>
      </c>
      <c r="E536" s="4" t="s">
        <v>417</v>
      </c>
      <c r="F536" s="4" t="s">
        <v>417</v>
      </c>
      <c r="G536" t="s">
        <v>788</v>
      </c>
      <c r="H536" t="s">
        <v>417</v>
      </c>
      <c r="I536" s="3" t="e">
        <f>RUSH__2[[#This Row],[TD]]/RUSH__2[[#This Row],[Rec]]</f>
        <v>#DIV/0!</v>
      </c>
      <c r="J536" s="3">
        <f>D536/(VLOOKUP(B536,'2025 Team'!$B$2:$G$33,2,FALSE))</f>
        <v>0</v>
      </c>
      <c r="K536" t="s">
        <v>788</v>
      </c>
      <c r="L536" t="s">
        <v>417</v>
      </c>
    </row>
    <row r="537" spans="1:12" x14ac:dyDescent="0.25">
      <c r="A537" t="s">
        <v>102</v>
      </c>
      <c r="B537" t="s">
        <v>34</v>
      </c>
      <c r="C537" t="s">
        <v>82</v>
      </c>
      <c r="D537" s="4" t="s">
        <v>417</v>
      </c>
      <c r="E537" s="4" t="s">
        <v>417</v>
      </c>
      <c r="F537" s="4" t="s">
        <v>417</v>
      </c>
      <c r="G537" t="s">
        <v>788</v>
      </c>
      <c r="H537" t="s">
        <v>417</v>
      </c>
      <c r="I537" s="3" t="e">
        <f>RUSH__2[[#This Row],[TD]]/RUSH__2[[#This Row],[Rec]]</f>
        <v>#DIV/0!</v>
      </c>
      <c r="J537" s="3">
        <f>D537/(VLOOKUP(B537,'2025 Team'!$B$2:$G$33,2,FALSE))</f>
        <v>0</v>
      </c>
      <c r="K537" t="s">
        <v>788</v>
      </c>
      <c r="L537" t="s">
        <v>270</v>
      </c>
    </row>
    <row r="538" spans="1:12" x14ac:dyDescent="0.25">
      <c r="A538" t="s">
        <v>122</v>
      </c>
      <c r="B538" t="s">
        <v>32</v>
      </c>
      <c r="C538" t="s">
        <v>82</v>
      </c>
      <c r="D538" s="4" t="s">
        <v>417</v>
      </c>
      <c r="E538" s="4" t="s">
        <v>417</v>
      </c>
      <c r="F538" s="4" t="s">
        <v>417</v>
      </c>
      <c r="G538" t="s">
        <v>788</v>
      </c>
      <c r="H538" t="s">
        <v>417</v>
      </c>
      <c r="I538" s="3" t="e">
        <f>RUSH__2[[#This Row],[TD]]/RUSH__2[[#This Row],[Rec]]</f>
        <v>#DIV/0!</v>
      </c>
      <c r="J538" s="3">
        <f>D538/(VLOOKUP(B538,'2025 Team'!$B$2:$G$33,2,FALSE))</f>
        <v>0</v>
      </c>
      <c r="K538" t="s">
        <v>788</v>
      </c>
      <c r="L538" t="s">
        <v>300</v>
      </c>
    </row>
    <row r="539" spans="1:12" x14ac:dyDescent="0.25">
      <c r="A539" t="s">
        <v>710</v>
      </c>
      <c r="B539" t="s">
        <v>16</v>
      </c>
      <c r="C539" t="s">
        <v>159</v>
      </c>
      <c r="D539" s="4" t="s">
        <v>417</v>
      </c>
      <c r="E539" s="4" t="s">
        <v>417</v>
      </c>
      <c r="F539" s="4" t="s">
        <v>417</v>
      </c>
      <c r="G539" t="s">
        <v>788</v>
      </c>
      <c r="H539" t="s">
        <v>417</v>
      </c>
      <c r="I539" s="3" t="e">
        <f>RUSH__2[[#This Row],[TD]]/RUSH__2[[#This Row],[Rec]]</f>
        <v>#DIV/0!</v>
      </c>
      <c r="J539" s="3">
        <f>D539/(VLOOKUP(B539,'2025 Team'!$B$2:$G$33,2,FALSE))</f>
        <v>0</v>
      </c>
      <c r="K539" t="s">
        <v>788</v>
      </c>
      <c r="L539" t="s">
        <v>417</v>
      </c>
    </row>
    <row r="540" spans="1:12" x14ac:dyDescent="0.25">
      <c r="A540" t="s">
        <v>563</v>
      </c>
      <c r="B540" t="s">
        <v>8</v>
      </c>
      <c r="C540" t="s">
        <v>159</v>
      </c>
      <c r="D540" s="4" t="s">
        <v>417</v>
      </c>
      <c r="E540" s="4" t="s">
        <v>417</v>
      </c>
      <c r="F540" s="4" t="s">
        <v>417</v>
      </c>
      <c r="G540" t="s">
        <v>788</v>
      </c>
      <c r="H540" t="s">
        <v>417</v>
      </c>
      <c r="I540" s="3" t="e">
        <f>RUSH__2[[#This Row],[TD]]/RUSH__2[[#This Row],[Rec]]</f>
        <v>#DIV/0!</v>
      </c>
      <c r="J540" s="3">
        <f>D540/(VLOOKUP(B540,'2025 Team'!$B$2:$G$33,2,FALSE))</f>
        <v>0</v>
      </c>
      <c r="K540" t="s">
        <v>788</v>
      </c>
      <c r="L540" t="s">
        <v>417</v>
      </c>
    </row>
    <row r="541" spans="1:12" x14ac:dyDescent="0.25">
      <c r="A541" t="s">
        <v>563</v>
      </c>
      <c r="B541" t="s">
        <v>50</v>
      </c>
      <c r="C541" t="s">
        <v>159</v>
      </c>
      <c r="D541" s="4" t="s">
        <v>417</v>
      </c>
      <c r="E541" s="4" t="s">
        <v>417</v>
      </c>
      <c r="F541" s="4" t="s">
        <v>417</v>
      </c>
      <c r="G541" t="s">
        <v>788</v>
      </c>
      <c r="H541" t="s">
        <v>417</v>
      </c>
      <c r="I541" s="3" t="e">
        <f>RUSH__2[[#This Row],[TD]]/RUSH__2[[#This Row],[Rec]]</f>
        <v>#DIV/0!</v>
      </c>
      <c r="J541" s="3">
        <f>D541/(VLOOKUP(B541,'2025 Team'!$B$2:$G$33,2,FALSE))</f>
        <v>0</v>
      </c>
      <c r="K541" t="s">
        <v>788</v>
      </c>
      <c r="L541" t="s">
        <v>417</v>
      </c>
    </row>
    <row r="542" spans="1:12" x14ac:dyDescent="0.25">
      <c r="A542" t="s">
        <v>119</v>
      </c>
      <c r="B542" t="s">
        <v>22</v>
      </c>
      <c r="C542" t="s">
        <v>82</v>
      </c>
      <c r="D542" s="4" t="s">
        <v>417</v>
      </c>
      <c r="E542" s="4" t="s">
        <v>417</v>
      </c>
      <c r="F542" s="4" t="s">
        <v>417</v>
      </c>
      <c r="G542" t="s">
        <v>788</v>
      </c>
      <c r="H542" t="s">
        <v>417</v>
      </c>
      <c r="I542" s="3" t="e">
        <f>RUSH__2[[#This Row],[TD]]/RUSH__2[[#This Row],[Rec]]</f>
        <v>#DIV/0!</v>
      </c>
      <c r="J542" s="3">
        <f>D542/(VLOOKUP(B542,'2025 Team'!$B$2:$G$33,2,FALSE))</f>
        <v>0</v>
      </c>
      <c r="K542" t="s">
        <v>788</v>
      </c>
      <c r="L542" t="s">
        <v>417</v>
      </c>
    </row>
    <row r="543" spans="1:12" x14ac:dyDescent="0.25">
      <c r="A543" t="s">
        <v>156</v>
      </c>
      <c r="B543" t="s">
        <v>64</v>
      </c>
      <c r="C543" t="s">
        <v>82</v>
      </c>
      <c r="D543" s="4" t="s">
        <v>417</v>
      </c>
      <c r="E543" s="4" t="s">
        <v>417</v>
      </c>
      <c r="F543" s="4" t="s">
        <v>417</v>
      </c>
      <c r="G543" t="s">
        <v>788</v>
      </c>
      <c r="H543" t="s">
        <v>417</v>
      </c>
      <c r="I543" s="3" t="e">
        <f>RUSH__2[[#This Row],[TD]]/RUSH__2[[#This Row],[Rec]]</f>
        <v>#DIV/0!</v>
      </c>
      <c r="J543" s="3">
        <f>D543/(VLOOKUP(B543,'2025 Team'!$B$2:$G$33,2,FALSE))</f>
        <v>0</v>
      </c>
      <c r="K543" t="s">
        <v>788</v>
      </c>
      <c r="L543" t="s">
        <v>289</v>
      </c>
    </row>
    <row r="544" spans="1:12" x14ac:dyDescent="0.25">
      <c r="A544" t="s">
        <v>705</v>
      </c>
      <c r="B544" t="s">
        <v>10</v>
      </c>
      <c r="C544" t="s">
        <v>153</v>
      </c>
      <c r="D544" s="4" t="s">
        <v>417</v>
      </c>
      <c r="E544" s="4" t="s">
        <v>417</v>
      </c>
      <c r="F544" s="4" t="s">
        <v>417</v>
      </c>
      <c r="G544" t="s">
        <v>788</v>
      </c>
      <c r="H544" t="s">
        <v>417</v>
      </c>
      <c r="I544" s="3" t="e">
        <f>RUSH__2[[#This Row],[TD]]/RUSH__2[[#This Row],[Rec]]</f>
        <v>#DIV/0!</v>
      </c>
      <c r="J544" s="3">
        <f>D544/(VLOOKUP(B544,'2025 Team'!$B$2:$G$33,2,FALSE))</f>
        <v>0</v>
      </c>
      <c r="K544" t="s">
        <v>788</v>
      </c>
      <c r="L544" t="s">
        <v>417</v>
      </c>
    </row>
    <row r="545" spans="1:12" x14ac:dyDescent="0.25">
      <c r="A545" t="s">
        <v>149</v>
      </c>
      <c r="B545" t="s">
        <v>38</v>
      </c>
      <c r="C545" t="s">
        <v>82</v>
      </c>
      <c r="D545" s="4" t="s">
        <v>417</v>
      </c>
      <c r="E545" s="4" t="s">
        <v>417</v>
      </c>
      <c r="F545" s="4" t="s">
        <v>417</v>
      </c>
      <c r="G545" t="s">
        <v>788</v>
      </c>
      <c r="H545" t="s">
        <v>417</v>
      </c>
      <c r="I545" s="3" t="e">
        <f>RUSH__2[[#This Row],[TD]]/RUSH__2[[#This Row],[Rec]]</f>
        <v>#DIV/0!</v>
      </c>
      <c r="J545" s="3">
        <f>D545/(VLOOKUP(B545,'2025 Team'!$B$2:$G$33,2,FALSE))</f>
        <v>0</v>
      </c>
      <c r="K545" t="s">
        <v>788</v>
      </c>
      <c r="L545" t="s">
        <v>417</v>
      </c>
    </row>
    <row r="546" spans="1:12" x14ac:dyDescent="0.25">
      <c r="A546" t="s">
        <v>99</v>
      </c>
      <c r="B546" t="s">
        <v>40</v>
      </c>
      <c r="C546" t="s">
        <v>82</v>
      </c>
      <c r="D546" s="4" t="s">
        <v>417</v>
      </c>
      <c r="E546" s="4" t="s">
        <v>417</v>
      </c>
      <c r="F546" s="4" t="s">
        <v>417</v>
      </c>
      <c r="G546" t="s">
        <v>788</v>
      </c>
      <c r="H546" t="s">
        <v>417</v>
      </c>
      <c r="I546" s="3" t="e">
        <f>RUSH__2[[#This Row],[TD]]/RUSH__2[[#This Row],[Rec]]</f>
        <v>#DIV/0!</v>
      </c>
      <c r="J546" s="3">
        <f>D546/(VLOOKUP(B546,'2025 Team'!$B$2:$G$33,2,FALSE))</f>
        <v>0</v>
      </c>
      <c r="K546" t="s">
        <v>788</v>
      </c>
      <c r="L546" t="s">
        <v>229</v>
      </c>
    </row>
    <row r="547" spans="1:12" x14ac:dyDescent="0.25">
      <c r="A547" t="s">
        <v>775</v>
      </c>
      <c r="B547" t="s">
        <v>28</v>
      </c>
      <c r="C547" t="s">
        <v>186</v>
      </c>
      <c r="D547" s="4" t="s">
        <v>417</v>
      </c>
      <c r="E547" s="4" t="s">
        <v>417</v>
      </c>
      <c r="F547" s="4" t="s">
        <v>417</v>
      </c>
      <c r="G547" t="s">
        <v>788</v>
      </c>
      <c r="H547" t="s">
        <v>417</v>
      </c>
      <c r="I547" s="3" t="e">
        <f>RUSH__2[[#This Row],[TD]]/RUSH__2[[#This Row],[Rec]]</f>
        <v>#DIV/0!</v>
      </c>
      <c r="J547" s="3">
        <f>D547/(VLOOKUP(B547,'2025 Team'!$B$2:$G$33,2,FALSE))</f>
        <v>0</v>
      </c>
      <c r="K547" t="s">
        <v>788</v>
      </c>
      <c r="L547" t="s">
        <v>417</v>
      </c>
    </row>
    <row r="548" spans="1:12" x14ac:dyDescent="0.25">
      <c r="A548" t="s">
        <v>754</v>
      </c>
      <c r="B548" t="s">
        <v>40</v>
      </c>
      <c r="C548" t="s">
        <v>755</v>
      </c>
      <c r="D548" s="4" t="s">
        <v>417</v>
      </c>
      <c r="E548" s="4" t="s">
        <v>417</v>
      </c>
      <c r="F548" s="4" t="s">
        <v>417</v>
      </c>
      <c r="G548" t="s">
        <v>788</v>
      </c>
      <c r="H548" t="s">
        <v>417</v>
      </c>
      <c r="I548" s="3" t="e">
        <f>RUSH__2[[#This Row],[TD]]/RUSH__2[[#This Row],[Rec]]</f>
        <v>#DIV/0!</v>
      </c>
      <c r="J548" s="3">
        <f>D548/(VLOOKUP(B548,'2025 Team'!$B$2:$G$33,2,FALSE))</f>
        <v>0</v>
      </c>
      <c r="K548" t="s">
        <v>788</v>
      </c>
      <c r="L548" t="s">
        <v>417</v>
      </c>
    </row>
    <row r="549" spans="1:12" x14ac:dyDescent="0.25">
      <c r="A549" t="s">
        <v>114</v>
      </c>
      <c r="B549" t="s">
        <v>48</v>
      </c>
      <c r="C549" t="s">
        <v>82</v>
      </c>
      <c r="D549" s="4" t="s">
        <v>417</v>
      </c>
      <c r="E549" s="4" t="s">
        <v>417</v>
      </c>
      <c r="F549" s="4" t="s">
        <v>417</v>
      </c>
      <c r="G549" t="s">
        <v>788</v>
      </c>
      <c r="H549" t="s">
        <v>417</v>
      </c>
      <c r="I549" s="3" t="e">
        <f>RUSH__2[[#This Row],[TD]]/RUSH__2[[#This Row],[Rec]]</f>
        <v>#DIV/0!</v>
      </c>
      <c r="J549" s="3">
        <f>D549/(VLOOKUP(B549,'2025 Team'!$B$2:$G$33,2,FALSE))</f>
        <v>0</v>
      </c>
      <c r="K549" t="s">
        <v>788</v>
      </c>
      <c r="L549" t="s">
        <v>247</v>
      </c>
    </row>
    <row r="550" spans="1:12" x14ac:dyDescent="0.25">
      <c r="A550" t="s">
        <v>641</v>
      </c>
      <c r="B550" t="s">
        <v>64</v>
      </c>
      <c r="C550" t="s">
        <v>159</v>
      </c>
      <c r="D550" s="4" t="s">
        <v>417</v>
      </c>
      <c r="E550" s="4" t="s">
        <v>417</v>
      </c>
      <c r="F550" s="4" t="s">
        <v>417</v>
      </c>
      <c r="G550" t="s">
        <v>788</v>
      </c>
      <c r="H550" t="s">
        <v>417</v>
      </c>
      <c r="I550" s="3" t="e">
        <f>RUSH__2[[#This Row],[TD]]/RUSH__2[[#This Row],[Rec]]</f>
        <v>#DIV/0!</v>
      </c>
      <c r="J550" s="3">
        <f>D550/(VLOOKUP(B550,'2025 Team'!$B$2:$G$33,2,FALSE))</f>
        <v>0</v>
      </c>
      <c r="K550" t="s">
        <v>788</v>
      </c>
      <c r="L550" t="s">
        <v>417</v>
      </c>
    </row>
    <row r="551" spans="1:12" x14ac:dyDescent="0.25">
      <c r="A551" t="s">
        <v>724</v>
      </c>
      <c r="B551" t="s">
        <v>28</v>
      </c>
      <c r="C551" t="s">
        <v>159</v>
      </c>
      <c r="D551" s="4" t="s">
        <v>417</v>
      </c>
      <c r="E551" s="4" t="s">
        <v>417</v>
      </c>
      <c r="F551" s="4" t="s">
        <v>417</v>
      </c>
      <c r="G551" t="s">
        <v>788</v>
      </c>
      <c r="H551" t="s">
        <v>417</v>
      </c>
      <c r="I551" s="3" t="e">
        <f>RUSH__2[[#This Row],[TD]]/RUSH__2[[#This Row],[Rec]]</f>
        <v>#DIV/0!</v>
      </c>
      <c r="J551" s="3">
        <f>D551/(VLOOKUP(B551,'2025 Team'!$B$2:$G$33,2,FALSE))</f>
        <v>0</v>
      </c>
      <c r="K551" t="s">
        <v>788</v>
      </c>
      <c r="L551" t="s">
        <v>417</v>
      </c>
    </row>
    <row r="552" spans="1:12" x14ac:dyDescent="0.25">
      <c r="A552" t="s">
        <v>94</v>
      </c>
      <c r="B552" t="s">
        <v>8</v>
      </c>
      <c r="C552" t="s">
        <v>82</v>
      </c>
      <c r="D552" s="4" t="s">
        <v>417</v>
      </c>
      <c r="E552" s="4" t="s">
        <v>417</v>
      </c>
      <c r="F552" s="4" t="s">
        <v>417</v>
      </c>
      <c r="G552" t="s">
        <v>788</v>
      </c>
      <c r="H552" t="s">
        <v>417</v>
      </c>
      <c r="I552" s="3" t="e">
        <f>RUSH__2[[#This Row],[TD]]/RUSH__2[[#This Row],[Rec]]</f>
        <v>#DIV/0!</v>
      </c>
      <c r="J552" s="3">
        <f>D552/(VLOOKUP(B552,'2025 Team'!$B$2:$G$33,2,FALSE))</f>
        <v>0</v>
      </c>
      <c r="K552" t="s">
        <v>788</v>
      </c>
      <c r="L552" t="s">
        <v>220</v>
      </c>
    </row>
    <row r="553" spans="1:12" x14ac:dyDescent="0.25">
      <c r="A553" t="s">
        <v>125</v>
      </c>
      <c r="B553" t="s">
        <v>20</v>
      </c>
      <c r="C553" t="s">
        <v>82</v>
      </c>
      <c r="D553" s="4" t="s">
        <v>417</v>
      </c>
      <c r="E553" s="4" t="s">
        <v>417</v>
      </c>
      <c r="F553" s="4" t="s">
        <v>417</v>
      </c>
      <c r="G553" t="s">
        <v>788</v>
      </c>
      <c r="H553" t="s">
        <v>417</v>
      </c>
      <c r="I553" s="3" t="e">
        <f>RUSH__2[[#This Row],[TD]]/RUSH__2[[#This Row],[Rec]]</f>
        <v>#DIV/0!</v>
      </c>
      <c r="J553" s="3">
        <f>D553/(VLOOKUP(B553,'2025 Team'!$B$2:$G$33,2,FALSE))</f>
        <v>0</v>
      </c>
      <c r="K553" t="s">
        <v>788</v>
      </c>
      <c r="L553" t="s">
        <v>300</v>
      </c>
    </row>
    <row r="554" spans="1:12" x14ac:dyDescent="0.25">
      <c r="A554" t="s">
        <v>98</v>
      </c>
      <c r="B554" t="s">
        <v>58</v>
      </c>
      <c r="C554" t="s">
        <v>82</v>
      </c>
      <c r="D554" s="4" t="s">
        <v>417</v>
      </c>
      <c r="E554" s="4" t="s">
        <v>417</v>
      </c>
      <c r="F554" s="4" t="s">
        <v>417</v>
      </c>
      <c r="G554" t="s">
        <v>788</v>
      </c>
      <c r="H554" t="s">
        <v>417</v>
      </c>
      <c r="I554" s="3" t="e">
        <f>RUSH__2[[#This Row],[TD]]/RUSH__2[[#This Row],[Rec]]</f>
        <v>#DIV/0!</v>
      </c>
      <c r="J554" s="3">
        <f>D554/(VLOOKUP(B554,'2025 Team'!$B$2:$G$33,2,FALSE))</f>
        <v>0</v>
      </c>
      <c r="K554" t="s">
        <v>788</v>
      </c>
      <c r="L554" t="s">
        <v>225</v>
      </c>
    </row>
    <row r="555" spans="1:12" x14ac:dyDescent="0.25">
      <c r="A555" t="s">
        <v>673</v>
      </c>
      <c r="B555" t="s">
        <v>64</v>
      </c>
      <c r="C555" t="s">
        <v>82</v>
      </c>
      <c r="D555" s="4" t="s">
        <v>417</v>
      </c>
      <c r="E555" s="4" t="s">
        <v>417</v>
      </c>
      <c r="F555" s="4" t="s">
        <v>417</v>
      </c>
      <c r="G555" t="s">
        <v>788</v>
      </c>
      <c r="H555" t="s">
        <v>417</v>
      </c>
      <c r="I555" s="3" t="e">
        <f>RUSH__2[[#This Row],[TD]]/RUSH__2[[#This Row],[Rec]]</f>
        <v>#DIV/0!</v>
      </c>
      <c r="J555" s="3">
        <f>D555/(VLOOKUP(B555,'2025 Team'!$B$2:$G$33,2,FALSE))</f>
        <v>0</v>
      </c>
      <c r="K555" t="s">
        <v>788</v>
      </c>
      <c r="L555" t="s">
        <v>300</v>
      </c>
    </row>
    <row r="556" spans="1:12" x14ac:dyDescent="0.25">
      <c r="A556" t="s">
        <v>756</v>
      </c>
      <c r="B556" t="s">
        <v>54</v>
      </c>
      <c r="C556" t="s">
        <v>165</v>
      </c>
      <c r="D556" s="4" t="s">
        <v>417</v>
      </c>
      <c r="E556" s="4" t="s">
        <v>417</v>
      </c>
      <c r="F556" s="4" t="s">
        <v>417</v>
      </c>
      <c r="G556" t="s">
        <v>788</v>
      </c>
      <c r="H556" t="s">
        <v>417</v>
      </c>
      <c r="I556" s="3" t="e">
        <f>RUSH__2[[#This Row],[TD]]/RUSH__2[[#This Row],[Rec]]</f>
        <v>#DIV/0!</v>
      </c>
      <c r="J556" s="3">
        <f>D556/(VLOOKUP(B556,'2025 Team'!$B$2:$G$33,2,FALSE))</f>
        <v>0</v>
      </c>
      <c r="K556" t="s">
        <v>788</v>
      </c>
      <c r="L556" t="s">
        <v>417</v>
      </c>
    </row>
    <row r="557" spans="1:12" x14ac:dyDescent="0.25">
      <c r="A557" t="s">
        <v>85</v>
      </c>
      <c r="B557" t="s">
        <v>28</v>
      </c>
      <c r="C557" t="s">
        <v>82</v>
      </c>
      <c r="D557" s="4" t="s">
        <v>417</v>
      </c>
      <c r="E557" s="4" t="s">
        <v>417</v>
      </c>
      <c r="F557" s="4" t="s">
        <v>417</v>
      </c>
      <c r="G557" t="s">
        <v>788</v>
      </c>
      <c r="H557" t="s">
        <v>417</v>
      </c>
      <c r="I557" s="3" t="e">
        <f>RUSH__2[[#This Row],[TD]]/RUSH__2[[#This Row],[Rec]]</f>
        <v>#DIV/0!</v>
      </c>
      <c r="J557" s="3">
        <f>D557/(VLOOKUP(B557,'2025 Team'!$B$2:$G$33,2,FALSE))</f>
        <v>0</v>
      </c>
      <c r="K557" t="s">
        <v>788</v>
      </c>
      <c r="L557" t="s">
        <v>247</v>
      </c>
    </row>
    <row r="558" spans="1:12" x14ac:dyDescent="0.25">
      <c r="A558" t="s">
        <v>782</v>
      </c>
      <c r="B558" t="s">
        <v>26</v>
      </c>
      <c r="C558" t="s">
        <v>82</v>
      </c>
      <c r="D558" s="4" t="s">
        <v>417</v>
      </c>
      <c r="E558" s="4" t="s">
        <v>417</v>
      </c>
      <c r="F558" s="4" t="s">
        <v>417</v>
      </c>
      <c r="G558" t="s">
        <v>788</v>
      </c>
      <c r="H558" t="s">
        <v>417</v>
      </c>
      <c r="I558" s="3" t="e">
        <f>RUSH__2[[#This Row],[TD]]/RUSH__2[[#This Row],[Rec]]</f>
        <v>#DIV/0!</v>
      </c>
      <c r="J558" s="3">
        <f>D558/(VLOOKUP(B558,'2025 Team'!$B$2:$G$33,2,FALSE))</f>
        <v>0</v>
      </c>
      <c r="K558" t="s">
        <v>788</v>
      </c>
      <c r="L558" t="s">
        <v>417</v>
      </c>
    </row>
    <row r="559" spans="1:12" x14ac:dyDescent="0.25">
      <c r="A559" t="s">
        <v>104</v>
      </c>
      <c r="B559" t="s">
        <v>54</v>
      </c>
      <c r="C559" t="s">
        <v>82</v>
      </c>
      <c r="D559" s="4" t="s">
        <v>417</v>
      </c>
      <c r="E559" s="4" t="s">
        <v>417</v>
      </c>
      <c r="F559" s="4" t="s">
        <v>417</v>
      </c>
      <c r="G559" t="s">
        <v>788</v>
      </c>
      <c r="H559" t="s">
        <v>417</v>
      </c>
      <c r="I559" s="3" t="e">
        <f>RUSH__2[[#This Row],[TD]]/RUSH__2[[#This Row],[Rec]]</f>
        <v>#DIV/0!</v>
      </c>
      <c r="J559" s="3">
        <f>D559/(VLOOKUP(B559,'2025 Team'!$B$2:$G$33,2,FALSE))</f>
        <v>0</v>
      </c>
      <c r="K559" t="s">
        <v>788</v>
      </c>
      <c r="L559" t="s">
        <v>220</v>
      </c>
    </row>
    <row r="560" spans="1:12" x14ac:dyDescent="0.25">
      <c r="A560" t="s">
        <v>118</v>
      </c>
      <c r="B560" t="s">
        <v>70</v>
      </c>
      <c r="C560" t="s">
        <v>82</v>
      </c>
      <c r="D560" s="4" t="s">
        <v>417</v>
      </c>
      <c r="E560" s="4" t="s">
        <v>417</v>
      </c>
      <c r="F560" s="4" t="s">
        <v>417</v>
      </c>
      <c r="G560" t="s">
        <v>788</v>
      </c>
      <c r="H560" t="s">
        <v>417</v>
      </c>
      <c r="I560" s="3" t="e">
        <f>RUSH__2[[#This Row],[TD]]/RUSH__2[[#This Row],[Rec]]</f>
        <v>#DIV/0!</v>
      </c>
      <c r="J560" s="3">
        <f>D560/(VLOOKUP(B560,'2025 Team'!$B$2:$G$33,2,FALSE))</f>
        <v>0</v>
      </c>
      <c r="K560" t="s">
        <v>788</v>
      </c>
      <c r="L560" t="s">
        <v>314</v>
      </c>
    </row>
    <row r="561" spans="1:12" x14ac:dyDescent="0.25">
      <c r="A561" t="s">
        <v>617</v>
      </c>
      <c r="B561" t="s">
        <v>44</v>
      </c>
      <c r="C561" t="s">
        <v>82</v>
      </c>
      <c r="D561" s="4" t="s">
        <v>417</v>
      </c>
      <c r="E561" s="4" t="s">
        <v>417</v>
      </c>
      <c r="F561" s="4" t="s">
        <v>417</v>
      </c>
      <c r="G561" t="s">
        <v>788</v>
      </c>
      <c r="H561" t="s">
        <v>417</v>
      </c>
      <c r="I561" s="3" t="e">
        <f>RUSH__2[[#This Row],[TD]]/RUSH__2[[#This Row],[Rec]]</f>
        <v>#DIV/0!</v>
      </c>
      <c r="J561" s="3">
        <f>D561/(VLOOKUP(B561,'2025 Team'!$B$2:$G$33,2,FALSE))</f>
        <v>0</v>
      </c>
      <c r="K561" t="s">
        <v>788</v>
      </c>
      <c r="L561" t="s">
        <v>417</v>
      </c>
    </row>
    <row r="562" spans="1:12" x14ac:dyDescent="0.25">
      <c r="A562" t="s">
        <v>111</v>
      </c>
      <c r="B562" t="s">
        <v>20</v>
      </c>
      <c r="C562" t="s">
        <v>82</v>
      </c>
      <c r="D562" s="4" t="s">
        <v>417</v>
      </c>
      <c r="E562" s="4" t="s">
        <v>417</v>
      </c>
      <c r="F562" s="4" t="s">
        <v>417</v>
      </c>
      <c r="G562" t="s">
        <v>788</v>
      </c>
      <c r="H562" t="s">
        <v>417</v>
      </c>
      <c r="I562" s="3" t="e">
        <f>RUSH__2[[#This Row],[TD]]/RUSH__2[[#This Row],[Rec]]</f>
        <v>#DIV/0!</v>
      </c>
      <c r="J562" s="3">
        <f>D562/(VLOOKUP(B562,'2025 Team'!$B$2:$G$33,2,FALSE))</f>
        <v>0</v>
      </c>
      <c r="K562" t="s">
        <v>788</v>
      </c>
      <c r="L562" t="s">
        <v>417</v>
      </c>
    </row>
    <row r="563" spans="1:12" x14ac:dyDescent="0.25">
      <c r="A563" t="s">
        <v>113</v>
      </c>
      <c r="B563" t="s">
        <v>20</v>
      </c>
      <c r="C563" t="s">
        <v>82</v>
      </c>
      <c r="D563" s="4" t="s">
        <v>417</v>
      </c>
      <c r="E563" s="4" t="s">
        <v>417</v>
      </c>
      <c r="F563" s="4" t="s">
        <v>417</v>
      </c>
      <c r="G563" t="s">
        <v>788</v>
      </c>
      <c r="H563" t="s">
        <v>417</v>
      </c>
      <c r="I563" s="3" t="e">
        <f>RUSH__2[[#This Row],[TD]]/RUSH__2[[#This Row],[Rec]]</f>
        <v>#DIV/0!</v>
      </c>
      <c r="J563" s="3">
        <f>D563/(VLOOKUP(B563,'2025 Team'!$B$2:$G$33,2,FALSE))</f>
        <v>0</v>
      </c>
      <c r="K563" t="s">
        <v>788</v>
      </c>
      <c r="L563" t="s">
        <v>300</v>
      </c>
    </row>
    <row r="564" spans="1:12" x14ac:dyDescent="0.25">
      <c r="A564" t="s">
        <v>113</v>
      </c>
      <c r="B564" t="s">
        <v>22</v>
      </c>
      <c r="C564" t="s">
        <v>82</v>
      </c>
      <c r="D564" s="4" t="s">
        <v>417</v>
      </c>
      <c r="E564" s="4" t="s">
        <v>417</v>
      </c>
      <c r="F564" s="4" t="s">
        <v>417</v>
      </c>
      <c r="G564" t="s">
        <v>788</v>
      </c>
      <c r="H564" t="s">
        <v>417</v>
      </c>
      <c r="I564" s="3" t="e">
        <f>RUSH__2[[#This Row],[TD]]/RUSH__2[[#This Row],[Rec]]</f>
        <v>#DIV/0!</v>
      </c>
      <c r="J564" s="3">
        <f>D564/(VLOOKUP(B564,'2025 Team'!$B$2:$G$33,2,FALSE))</f>
        <v>0</v>
      </c>
      <c r="K564" t="s">
        <v>788</v>
      </c>
      <c r="L564" t="s">
        <v>289</v>
      </c>
    </row>
    <row r="565" spans="1:12" x14ac:dyDescent="0.25">
      <c r="A565" t="s">
        <v>144</v>
      </c>
      <c r="B565" t="s">
        <v>24</v>
      </c>
      <c r="C565" t="s">
        <v>82</v>
      </c>
      <c r="D565" s="4" t="s">
        <v>417</v>
      </c>
      <c r="E565" s="4" t="s">
        <v>417</v>
      </c>
      <c r="F565" s="4" t="s">
        <v>417</v>
      </c>
      <c r="G565" t="s">
        <v>788</v>
      </c>
      <c r="H565" t="s">
        <v>417</v>
      </c>
      <c r="I565" s="3" t="e">
        <f>RUSH__2[[#This Row],[TD]]/RUSH__2[[#This Row],[Rec]]</f>
        <v>#DIV/0!</v>
      </c>
      <c r="J565" s="3">
        <f>D565/(VLOOKUP(B565,'2025 Team'!$B$2:$G$33,2,FALSE))</f>
        <v>0</v>
      </c>
      <c r="K565" t="s">
        <v>788</v>
      </c>
      <c r="L565" t="s">
        <v>300</v>
      </c>
    </row>
    <row r="566" spans="1:12" x14ac:dyDescent="0.25">
      <c r="A566" t="s">
        <v>100</v>
      </c>
      <c r="B566" t="s">
        <v>30</v>
      </c>
      <c r="C566" t="s">
        <v>82</v>
      </c>
      <c r="D566" s="4" t="s">
        <v>417</v>
      </c>
      <c r="E566" s="4" t="s">
        <v>417</v>
      </c>
      <c r="F566" s="4" t="s">
        <v>417</v>
      </c>
      <c r="G566" t="s">
        <v>788</v>
      </c>
      <c r="H566" t="s">
        <v>417</v>
      </c>
      <c r="I566" s="3" t="e">
        <f>RUSH__2[[#This Row],[TD]]/RUSH__2[[#This Row],[Rec]]</f>
        <v>#DIV/0!</v>
      </c>
      <c r="J566" s="3">
        <f>D566/(VLOOKUP(B566,'2025 Team'!$B$2:$G$33,2,FALSE))</f>
        <v>0</v>
      </c>
      <c r="K566" t="s">
        <v>788</v>
      </c>
      <c r="L566" t="s">
        <v>207</v>
      </c>
    </row>
    <row r="567" spans="1:12" x14ac:dyDescent="0.25">
      <c r="A567" t="s">
        <v>97</v>
      </c>
      <c r="B567" t="s">
        <v>14</v>
      </c>
      <c r="C567" t="s">
        <v>82</v>
      </c>
      <c r="D567" s="4" t="s">
        <v>417</v>
      </c>
      <c r="E567" s="4" t="s">
        <v>417</v>
      </c>
      <c r="F567" s="4" t="s">
        <v>417</v>
      </c>
      <c r="G567" t="s">
        <v>788</v>
      </c>
      <c r="H567" t="s">
        <v>417</v>
      </c>
      <c r="I567" s="3" t="e">
        <f>RUSH__2[[#This Row],[TD]]/RUSH__2[[#This Row],[Rec]]</f>
        <v>#DIV/0!</v>
      </c>
      <c r="J567" s="3">
        <f>D567/(VLOOKUP(B567,'2025 Team'!$B$2:$G$33,2,FALSE))</f>
        <v>0</v>
      </c>
      <c r="K567" t="s">
        <v>788</v>
      </c>
      <c r="L567" t="s">
        <v>207</v>
      </c>
    </row>
    <row r="568" spans="1:12" x14ac:dyDescent="0.25">
      <c r="A568" t="s">
        <v>135</v>
      </c>
      <c r="B568" t="s">
        <v>70</v>
      </c>
      <c r="C568" t="s">
        <v>82</v>
      </c>
      <c r="D568" s="4" t="s">
        <v>417</v>
      </c>
      <c r="E568" s="4" t="s">
        <v>417</v>
      </c>
      <c r="F568" s="4" t="s">
        <v>417</v>
      </c>
      <c r="G568" t="s">
        <v>788</v>
      </c>
      <c r="H568" t="s">
        <v>417</v>
      </c>
      <c r="I568" s="3" t="e">
        <f>RUSH__2[[#This Row],[TD]]/RUSH__2[[#This Row],[Rec]]</f>
        <v>#DIV/0!</v>
      </c>
      <c r="J568" s="3">
        <f>D568/(VLOOKUP(B568,'2025 Team'!$B$2:$G$33,2,FALSE))</f>
        <v>0</v>
      </c>
      <c r="K568" t="s">
        <v>788</v>
      </c>
      <c r="L568" t="s">
        <v>289</v>
      </c>
    </row>
    <row r="569" spans="1:12" x14ac:dyDescent="0.25">
      <c r="A569" t="s">
        <v>666</v>
      </c>
      <c r="B569" t="s">
        <v>66</v>
      </c>
      <c r="C569" t="s">
        <v>159</v>
      </c>
      <c r="D569" s="4" t="s">
        <v>417</v>
      </c>
      <c r="E569" s="4" t="s">
        <v>417</v>
      </c>
      <c r="F569" s="4" t="s">
        <v>417</v>
      </c>
      <c r="G569" t="s">
        <v>788</v>
      </c>
      <c r="H569" t="s">
        <v>417</v>
      </c>
      <c r="I569" s="3" t="e">
        <f>RUSH__2[[#This Row],[TD]]/RUSH__2[[#This Row],[Rec]]</f>
        <v>#DIV/0!</v>
      </c>
      <c r="J569" s="3">
        <f>D569/(VLOOKUP(B569,'2025 Team'!$B$2:$G$33,2,FALSE))</f>
        <v>0</v>
      </c>
      <c r="K569" t="s">
        <v>788</v>
      </c>
      <c r="L569" t="s">
        <v>417</v>
      </c>
    </row>
    <row r="570" spans="1:12" x14ac:dyDescent="0.25">
      <c r="A570" t="s">
        <v>151</v>
      </c>
      <c r="B570" t="s">
        <v>50</v>
      </c>
      <c r="C570" t="s">
        <v>82</v>
      </c>
      <c r="D570" s="4" t="s">
        <v>417</v>
      </c>
      <c r="E570" s="4" t="s">
        <v>417</v>
      </c>
      <c r="F570" s="4" t="s">
        <v>417</v>
      </c>
      <c r="G570" t="s">
        <v>788</v>
      </c>
      <c r="H570" t="s">
        <v>417</v>
      </c>
      <c r="I570" s="3" t="e">
        <f>RUSH__2[[#This Row],[TD]]/RUSH__2[[#This Row],[Rec]]</f>
        <v>#DIV/0!</v>
      </c>
      <c r="J570" s="3">
        <f>D570/(VLOOKUP(B570,'2025 Team'!$B$2:$G$33,2,FALSE))</f>
        <v>0</v>
      </c>
      <c r="K570" t="s">
        <v>788</v>
      </c>
      <c r="L570" t="s">
        <v>417</v>
      </c>
    </row>
    <row r="571" spans="1:12" x14ac:dyDescent="0.25">
      <c r="A571" t="s">
        <v>90</v>
      </c>
      <c r="B571" t="s">
        <v>42</v>
      </c>
      <c r="C571" t="s">
        <v>82</v>
      </c>
      <c r="D571" s="4" t="s">
        <v>417</v>
      </c>
      <c r="E571" s="4" t="s">
        <v>417</v>
      </c>
      <c r="F571" s="4" t="s">
        <v>417</v>
      </c>
      <c r="G571" t="s">
        <v>788</v>
      </c>
      <c r="H571" t="s">
        <v>417</v>
      </c>
      <c r="I571" s="3" t="e">
        <f>RUSH__2[[#This Row],[TD]]/RUSH__2[[#This Row],[Rec]]</f>
        <v>#DIV/0!</v>
      </c>
      <c r="J571" s="3">
        <f>D571/(VLOOKUP(B571,'2025 Team'!$B$2:$G$33,2,FALSE))</f>
        <v>0</v>
      </c>
      <c r="K571" t="s">
        <v>788</v>
      </c>
      <c r="L571" t="s">
        <v>207</v>
      </c>
    </row>
    <row r="572" spans="1:12" x14ac:dyDescent="0.25">
      <c r="A572" t="s">
        <v>686</v>
      </c>
      <c r="B572" t="s">
        <v>68</v>
      </c>
      <c r="C572" t="s">
        <v>159</v>
      </c>
      <c r="D572" s="4" t="s">
        <v>417</v>
      </c>
      <c r="E572" s="4" t="s">
        <v>417</v>
      </c>
      <c r="F572" s="4" t="s">
        <v>417</v>
      </c>
      <c r="G572" t="s">
        <v>788</v>
      </c>
      <c r="H572" t="s">
        <v>417</v>
      </c>
      <c r="I572" s="3" t="e">
        <f>RUSH__2[[#This Row],[TD]]/RUSH__2[[#This Row],[Rec]]</f>
        <v>#DIV/0!</v>
      </c>
      <c r="J572" s="3">
        <f>D572/(VLOOKUP(B572,'2025 Team'!$B$2:$G$33,2,FALSE))</f>
        <v>0</v>
      </c>
      <c r="K572" t="s">
        <v>788</v>
      </c>
      <c r="L572" t="s">
        <v>417</v>
      </c>
    </row>
    <row r="573" spans="1:12" x14ac:dyDescent="0.25">
      <c r="A573" t="s">
        <v>727</v>
      </c>
      <c r="B573" t="s">
        <v>20</v>
      </c>
      <c r="C573" t="s">
        <v>159</v>
      </c>
      <c r="D573" s="4" t="s">
        <v>417</v>
      </c>
      <c r="E573" s="4" t="s">
        <v>417</v>
      </c>
      <c r="F573" s="4" t="s">
        <v>417</v>
      </c>
      <c r="G573" t="s">
        <v>788</v>
      </c>
      <c r="H573" t="s">
        <v>417</v>
      </c>
      <c r="I573" s="3" t="e">
        <f>RUSH__2[[#This Row],[TD]]/RUSH__2[[#This Row],[Rec]]</f>
        <v>#DIV/0!</v>
      </c>
      <c r="J573" s="3">
        <f>D573/(VLOOKUP(B573,'2025 Team'!$B$2:$G$33,2,FALSE))</f>
        <v>0</v>
      </c>
      <c r="K573" t="s">
        <v>788</v>
      </c>
      <c r="L573" t="s">
        <v>417</v>
      </c>
    </row>
    <row r="574" spans="1:12" x14ac:dyDescent="0.25">
      <c r="A574" t="s">
        <v>138</v>
      </c>
      <c r="B574" t="s">
        <v>40</v>
      </c>
      <c r="C574" t="s">
        <v>82</v>
      </c>
      <c r="D574" s="4" t="s">
        <v>417</v>
      </c>
      <c r="E574" s="4" t="s">
        <v>417</v>
      </c>
      <c r="F574" s="4" t="s">
        <v>417</v>
      </c>
      <c r="G574" t="s">
        <v>788</v>
      </c>
      <c r="H574" t="s">
        <v>417</v>
      </c>
      <c r="I574" s="3" t="e">
        <f>RUSH__2[[#This Row],[TD]]/RUSH__2[[#This Row],[Rec]]</f>
        <v>#DIV/0!</v>
      </c>
      <c r="J574" s="3">
        <f>D574/(VLOOKUP(B574,'2025 Team'!$B$2:$G$33,2,FALSE))</f>
        <v>0</v>
      </c>
      <c r="K574" t="s">
        <v>788</v>
      </c>
      <c r="L574" t="s">
        <v>300</v>
      </c>
    </row>
    <row r="575" spans="1:12" x14ac:dyDescent="0.25">
      <c r="A575" t="s">
        <v>110</v>
      </c>
      <c r="B575" t="s">
        <v>10</v>
      </c>
      <c r="C575" t="s">
        <v>82</v>
      </c>
      <c r="D575" s="4" t="s">
        <v>417</v>
      </c>
      <c r="E575" s="4" t="s">
        <v>417</v>
      </c>
      <c r="F575" s="4" t="s">
        <v>417</v>
      </c>
      <c r="G575" t="s">
        <v>788</v>
      </c>
      <c r="H575" t="s">
        <v>417</v>
      </c>
      <c r="I575" s="3" t="e">
        <f>RUSH__2[[#This Row],[TD]]/RUSH__2[[#This Row],[Rec]]</f>
        <v>#DIV/0!</v>
      </c>
      <c r="J575" s="3">
        <f>D575/(VLOOKUP(B575,'2025 Team'!$B$2:$G$33,2,FALSE))</f>
        <v>0</v>
      </c>
      <c r="K575" t="s">
        <v>788</v>
      </c>
      <c r="L575" t="s">
        <v>314</v>
      </c>
    </row>
    <row r="576" spans="1:12" x14ac:dyDescent="0.25">
      <c r="A576" t="s">
        <v>160</v>
      </c>
      <c r="B576" t="s">
        <v>28</v>
      </c>
      <c r="C576" t="s">
        <v>82</v>
      </c>
      <c r="D576" s="4" t="s">
        <v>417</v>
      </c>
      <c r="E576" s="4" t="s">
        <v>417</v>
      </c>
      <c r="F576" s="4" t="s">
        <v>417</v>
      </c>
      <c r="G576" t="s">
        <v>788</v>
      </c>
      <c r="H576" t="s">
        <v>417</v>
      </c>
      <c r="I576" s="3" t="e">
        <f>RUSH__2[[#This Row],[TD]]/RUSH__2[[#This Row],[Rec]]</f>
        <v>#DIV/0!</v>
      </c>
      <c r="J576" s="3">
        <f>D576/(VLOOKUP(B576,'2025 Team'!$B$2:$G$33,2,FALSE))</f>
        <v>0</v>
      </c>
      <c r="K576" t="s">
        <v>788</v>
      </c>
      <c r="L576" t="s">
        <v>417</v>
      </c>
    </row>
    <row r="577" spans="1:12" x14ac:dyDescent="0.25">
      <c r="A577" t="s">
        <v>121</v>
      </c>
      <c r="B577" t="s">
        <v>8</v>
      </c>
      <c r="C577" t="s">
        <v>82</v>
      </c>
      <c r="D577" s="4" t="s">
        <v>417</v>
      </c>
      <c r="E577" s="4" t="s">
        <v>417</v>
      </c>
      <c r="F577" s="4" t="s">
        <v>417</v>
      </c>
      <c r="G577" t="s">
        <v>788</v>
      </c>
      <c r="H577" t="s">
        <v>417</v>
      </c>
      <c r="I577" s="3" t="e">
        <f>RUSH__2[[#This Row],[TD]]/RUSH__2[[#This Row],[Rec]]</f>
        <v>#DIV/0!</v>
      </c>
      <c r="J577" s="3">
        <f>D577/(VLOOKUP(B577,'2025 Team'!$B$2:$G$33,2,FALSE))</f>
        <v>0</v>
      </c>
      <c r="K577" t="s">
        <v>788</v>
      </c>
      <c r="L577" t="s">
        <v>300</v>
      </c>
    </row>
    <row r="578" spans="1:12" x14ac:dyDescent="0.25">
      <c r="A578" t="s">
        <v>106</v>
      </c>
      <c r="B578" t="s">
        <v>12</v>
      </c>
      <c r="C578" t="s">
        <v>82</v>
      </c>
      <c r="D578" s="4" t="s">
        <v>417</v>
      </c>
      <c r="E578" s="4" t="s">
        <v>417</v>
      </c>
      <c r="F578" s="4" t="s">
        <v>417</v>
      </c>
      <c r="G578" t="s">
        <v>788</v>
      </c>
      <c r="H578" t="s">
        <v>417</v>
      </c>
      <c r="I578" s="3" t="e">
        <f>RUSH__2[[#This Row],[TD]]/RUSH__2[[#This Row],[Rec]]</f>
        <v>#DIV/0!</v>
      </c>
      <c r="J578" s="3">
        <f>D578/(VLOOKUP(B578,'2025 Team'!$B$2:$G$33,2,FALSE))</f>
        <v>0</v>
      </c>
      <c r="K578" t="s">
        <v>788</v>
      </c>
      <c r="L578" t="s">
        <v>207</v>
      </c>
    </row>
    <row r="579" spans="1:12" x14ac:dyDescent="0.25">
      <c r="A579" t="s">
        <v>107</v>
      </c>
      <c r="B579" t="s">
        <v>62</v>
      </c>
      <c r="C579" t="s">
        <v>82</v>
      </c>
      <c r="D579" s="4" t="s">
        <v>417</v>
      </c>
      <c r="E579" s="4" t="s">
        <v>417</v>
      </c>
      <c r="F579" s="4" t="s">
        <v>417</v>
      </c>
      <c r="G579" t="s">
        <v>788</v>
      </c>
      <c r="H579" t="s">
        <v>417</v>
      </c>
      <c r="I579" s="3" t="e">
        <f>RUSH__2[[#This Row],[TD]]/RUSH__2[[#This Row],[Rec]]</f>
        <v>#DIV/0!</v>
      </c>
      <c r="J579" s="3">
        <f>D579/(VLOOKUP(B579,'2025 Team'!$B$2:$G$33,2,FALSE))</f>
        <v>0</v>
      </c>
      <c r="K579" t="s">
        <v>788</v>
      </c>
      <c r="L579" t="s">
        <v>229</v>
      </c>
    </row>
    <row r="580" spans="1:12" x14ac:dyDescent="0.25">
      <c r="A580" t="s">
        <v>774</v>
      </c>
      <c r="B580" t="s">
        <v>28</v>
      </c>
      <c r="C580" t="s">
        <v>163</v>
      </c>
      <c r="D580" s="4" t="s">
        <v>417</v>
      </c>
      <c r="E580" s="4" t="s">
        <v>417</v>
      </c>
      <c r="F580" s="4" t="s">
        <v>417</v>
      </c>
      <c r="G580" t="s">
        <v>788</v>
      </c>
      <c r="H580" t="s">
        <v>417</v>
      </c>
      <c r="I580" s="3" t="e">
        <f>RUSH__2[[#This Row],[TD]]/RUSH__2[[#This Row],[Rec]]</f>
        <v>#DIV/0!</v>
      </c>
      <c r="J580" s="3">
        <f>D580/(VLOOKUP(B580,'2025 Team'!$B$2:$G$33,2,FALSE))</f>
        <v>0</v>
      </c>
      <c r="K580" t="s">
        <v>788</v>
      </c>
      <c r="L580" t="s">
        <v>417</v>
      </c>
    </row>
    <row r="581" spans="1:12" x14ac:dyDescent="0.25">
      <c r="A581" t="s">
        <v>142</v>
      </c>
      <c r="B581" t="s">
        <v>30</v>
      </c>
      <c r="C581" t="s">
        <v>82</v>
      </c>
      <c r="D581" s="4" t="s">
        <v>417</v>
      </c>
      <c r="E581" s="4" t="s">
        <v>417</v>
      </c>
      <c r="F581" s="4" t="s">
        <v>417</v>
      </c>
      <c r="G581" t="s">
        <v>788</v>
      </c>
      <c r="H581" t="s">
        <v>417</v>
      </c>
      <c r="I581" s="3" t="e">
        <f>RUSH__2[[#This Row],[TD]]/RUSH__2[[#This Row],[Rec]]</f>
        <v>#DIV/0!</v>
      </c>
      <c r="J581" s="3">
        <f>D581/(VLOOKUP(B581,'2025 Team'!$B$2:$G$33,2,FALSE))</f>
        <v>0</v>
      </c>
      <c r="K581" t="s">
        <v>788</v>
      </c>
      <c r="L581" t="s">
        <v>289</v>
      </c>
    </row>
    <row r="582" spans="1:12" x14ac:dyDescent="0.25">
      <c r="A582" t="s">
        <v>115</v>
      </c>
      <c r="B582" t="s">
        <v>70</v>
      </c>
      <c r="C582" t="s">
        <v>82</v>
      </c>
      <c r="D582" s="4" t="s">
        <v>417</v>
      </c>
      <c r="E582" s="4" t="s">
        <v>417</v>
      </c>
      <c r="F582" s="4" t="s">
        <v>417</v>
      </c>
      <c r="G582" t="s">
        <v>788</v>
      </c>
      <c r="H582" t="s">
        <v>417</v>
      </c>
      <c r="I582" s="3" t="e">
        <f>RUSH__2[[#This Row],[TD]]/RUSH__2[[#This Row],[Rec]]</f>
        <v>#DIV/0!</v>
      </c>
      <c r="J582" s="3">
        <f>D582/(VLOOKUP(B582,'2025 Team'!$B$2:$G$33,2,FALSE))</f>
        <v>0</v>
      </c>
      <c r="K582" t="s">
        <v>788</v>
      </c>
      <c r="L582" t="s">
        <v>247</v>
      </c>
    </row>
    <row r="583" spans="1:12" x14ac:dyDescent="0.25">
      <c r="A583" t="s">
        <v>137</v>
      </c>
      <c r="B583" t="s">
        <v>60</v>
      </c>
      <c r="C583" t="s">
        <v>82</v>
      </c>
      <c r="D583" s="4" t="s">
        <v>417</v>
      </c>
      <c r="E583" s="4" t="s">
        <v>417</v>
      </c>
      <c r="F583" s="4" t="s">
        <v>417</v>
      </c>
      <c r="G583" t="s">
        <v>788</v>
      </c>
      <c r="H583" t="s">
        <v>417</v>
      </c>
      <c r="I583" s="3" t="e">
        <f>RUSH__2[[#This Row],[TD]]/RUSH__2[[#This Row],[Rec]]</f>
        <v>#DIV/0!</v>
      </c>
      <c r="J583" s="3">
        <f>D583/(VLOOKUP(B583,'2025 Team'!$B$2:$G$33,2,FALSE))</f>
        <v>0</v>
      </c>
      <c r="K583" t="s">
        <v>788</v>
      </c>
      <c r="L583" t="s">
        <v>300</v>
      </c>
    </row>
    <row r="584" spans="1:12" x14ac:dyDescent="0.25">
      <c r="A584" t="s">
        <v>84</v>
      </c>
      <c r="B584" t="s">
        <v>44</v>
      </c>
      <c r="C584" t="s">
        <v>82</v>
      </c>
      <c r="D584" s="4" t="s">
        <v>417</v>
      </c>
      <c r="E584" s="4" t="s">
        <v>417</v>
      </c>
      <c r="F584" s="4" t="s">
        <v>417</v>
      </c>
      <c r="G584" t="s">
        <v>788</v>
      </c>
      <c r="H584" t="s">
        <v>417</v>
      </c>
      <c r="I584" s="3" t="e">
        <f>RUSH__2[[#This Row],[TD]]/RUSH__2[[#This Row],[Rec]]</f>
        <v>#DIV/0!</v>
      </c>
      <c r="J584" s="3">
        <f>D584/(VLOOKUP(B584,'2025 Team'!$B$2:$G$33,2,FALSE))</f>
        <v>0</v>
      </c>
      <c r="K584" t="s">
        <v>788</v>
      </c>
      <c r="L584" t="s">
        <v>207</v>
      </c>
    </row>
    <row r="585" spans="1:12" x14ac:dyDescent="0.25">
      <c r="A585" t="s">
        <v>129</v>
      </c>
      <c r="B585" t="s">
        <v>48</v>
      </c>
      <c r="C585" t="s">
        <v>82</v>
      </c>
      <c r="D585" s="4" t="s">
        <v>417</v>
      </c>
      <c r="E585" s="4" t="s">
        <v>417</v>
      </c>
      <c r="F585" s="4" t="s">
        <v>417</v>
      </c>
      <c r="G585" t="s">
        <v>788</v>
      </c>
      <c r="H585" t="s">
        <v>417</v>
      </c>
      <c r="I585" s="3" t="e">
        <f>RUSH__2[[#This Row],[TD]]/RUSH__2[[#This Row],[Rec]]</f>
        <v>#DIV/0!</v>
      </c>
      <c r="J585" s="3">
        <f>D585/(VLOOKUP(B585,'2025 Team'!$B$2:$G$33,2,FALSE))</f>
        <v>0</v>
      </c>
      <c r="K585" t="s">
        <v>788</v>
      </c>
      <c r="L585" t="s">
        <v>289</v>
      </c>
    </row>
    <row r="586" spans="1:12" x14ac:dyDescent="0.25">
      <c r="A586" t="s">
        <v>109</v>
      </c>
      <c r="B586" t="s">
        <v>10</v>
      </c>
      <c r="C586" t="s">
        <v>82</v>
      </c>
      <c r="D586" s="4" t="s">
        <v>417</v>
      </c>
      <c r="E586" s="4" t="s">
        <v>417</v>
      </c>
      <c r="F586" s="4" t="s">
        <v>417</v>
      </c>
      <c r="G586" t="s">
        <v>788</v>
      </c>
      <c r="H586" t="s">
        <v>417</v>
      </c>
      <c r="I586" s="3" t="e">
        <f>RUSH__2[[#This Row],[TD]]/RUSH__2[[#This Row],[Rec]]</f>
        <v>#DIV/0!</v>
      </c>
      <c r="J586" s="3">
        <f>D586/(VLOOKUP(B586,'2025 Team'!$B$2:$G$33,2,FALSE))</f>
        <v>0</v>
      </c>
      <c r="K586" t="s">
        <v>788</v>
      </c>
      <c r="L586" t="s">
        <v>229</v>
      </c>
    </row>
    <row r="587" spans="1:12" x14ac:dyDescent="0.25">
      <c r="A587" t="s">
        <v>141</v>
      </c>
      <c r="B587" t="s">
        <v>14</v>
      </c>
      <c r="C587" t="s">
        <v>82</v>
      </c>
      <c r="D587" s="4" t="s">
        <v>417</v>
      </c>
      <c r="E587" s="4" t="s">
        <v>417</v>
      </c>
      <c r="F587" s="4" t="s">
        <v>417</v>
      </c>
      <c r="G587" t="s">
        <v>788</v>
      </c>
      <c r="H587" t="s">
        <v>417</v>
      </c>
      <c r="I587" s="3" t="e">
        <f>RUSH__2[[#This Row],[TD]]/RUSH__2[[#This Row],[Rec]]</f>
        <v>#DIV/0!</v>
      </c>
      <c r="J587" s="3">
        <f>D587/(VLOOKUP(B587,'2025 Team'!$B$2:$G$33,2,FALSE))</f>
        <v>0</v>
      </c>
      <c r="K587" t="s">
        <v>788</v>
      </c>
      <c r="L587" t="s">
        <v>417</v>
      </c>
    </row>
    <row r="588" spans="1:12" x14ac:dyDescent="0.25">
      <c r="A588" t="s">
        <v>672</v>
      </c>
      <c r="B588" t="s">
        <v>64</v>
      </c>
      <c r="C588" t="s">
        <v>159</v>
      </c>
      <c r="D588" s="4" t="s">
        <v>417</v>
      </c>
      <c r="E588" s="4" t="s">
        <v>417</v>
      </c>
      <c r="F588" s="4" t="s">
        <v>417</v>
      </c>
      <c r="G588" t="s">
        <v>788</v>
      </c>
      <c r="H588" t="s">
        <v>417</v>
      </c>
      <c r="I588" s="3" t="e">
        <f>RUSH__2[[#This Row],[TD]]/RUSH__2[[#This Row],[Rec]]</f>
        <v>#DIV/0!</v>
      </c>
      <c r="J588" s="3">
        <f>D588/(VLOOKUP(B588,'2025 Team'!$B$2:$G$33,2,FALSE))</f>
        <v>0</v>
      </c>
      <c r="K588" t="s">
        <v>788</v>
      </c>
      <c r="L588" t="s">
        <v>417</v>
      </c>
    </row>
    <row r="589" spans="1:12" x14ac:dyDescent="0.25">
      <c r="A589" t="s">
        <v>607</v>
      </c>
      <c r="B589" t="s">
        <v>10</v>
      </c>
      <c r="C589" t="s">
        <v>159</v>
      </c>
      <c r="D589" s="4" t="s">
        <v>417</v>
      </c>
      <c r="E589" s="4" t="s">
        <v>417</v>
      </c>
      <c r="F589" s="4" t="s">
        <v>417</v>
      </c>
      <c r="G589" t="s">
        <v>788</v>
      </c>
      <c r="H589" t="s">
        <v>417</v>
      </c>
      <c r="I589" s="3" t="e">
        <f>RUSH__2[[#This Row],[TD]]/RUSH__2[[#This Row],[Rec]]</f>
        <v>#DIV/0!</v>
      </c>
      <c r="J589" s="3">
        <f>D589/(VLOOKUP(B589,'2025 Team'!$B$2:$G$33,2,FALSE))</f>
        <v>0</v>
      </c>
      <c r="K589" t="s">
        <v>788</v>
      </c>
      <c r="L589" t="s">
        <v>300</v>
      </c>
    </row>
    <row r="590" spans="1:12" x14ac:dyDescent="0.25">
      <c r="A590" t="s">
        <v>155</v>
      </c>
      <c r="B590" t="s">
        <v>36</v>
      </c>
      <c r="C590" t="s">
        <v>82</v>
      </c>
      <c r="D590" s="4" t="s">
        <v>417</v>
      </c>
      <c r="E590" s="4" t="s">
        <v>417</v>
      </c>
      <c r="F590" s="4" t="s">
        <v>417</v>
      </c>
      <c r="G590" t="s">
        <v>788</v>
      </c>
      <c r="H590" t="s">
        <v>417</v>
      </c>
      <c r="I590" s="3" t="e">
        <f>RUSH__2[[#This Row],[TD]]/RUSH__2[[#This Row],[Rec]]</f>
        <v>#DIV/0!</v>
      </c>
      <c r="J590" s="3">
        <f>D590/(VLOOKUP(B590,'2025 Team'!$B$2:$G$33,2,FALSE))</f>
        <v>0</v>
      </c>
      <c r="K590" t="s">
        <v>788</v>
      </c>
      <c r="L590" t="s">
        <v>417</v>
      </c>
    </row>
    <row r="591" spans="1:12" x14ac:dyDescent="0.25">
      <c r="A591" t="s">
        <v>713</v>
      </c>
      <c r="B591" t="s">
        <v>42</v>
      </c>
      <c r="C591" t="s">
        <v>159</v>
      </c>
      <c r="D591" s="4" t="s">
        <v>417</v>
      </c>
      <c r="E591" s="4" t="s">
        <v>417</v>
      </c>
      <c r="F591" s="4" t="s">
        <v>417</v>
      </c>
      <c r="G591" t="s">
        <v>788</v>
      </c>
      <c r="H591" t="s">
        <v>417</v>
      </c>
      <c r="I591" s="3" t="e">
        <f>RUSH__2[[#This Row],[TD]]/RUSH__2[[#This Row],[Rec]]</f>
        <v>#DIV/0!</v>
      </c>
      <c r="J591" s="3">
        <f>D591/(VLOOKUP(B591,'2025 Team'!$B$2:$G$33,2,FALSE))</f>
        <v>0</v>
      </c>
      <c r="K591" t="s">
        <v>788</v>
      </c>
      <c r="L591" t="s">
        <v>417</v>
      </c>
    </row>
    <row r="592" spans="1:12" x14ac:dyDescent="0.25">
      <c r="A592" t="s">
        <v>684</v>
      </c>
      <c r="B592" t="s">
        <v>66</v>
      </c>
      <c r="C592" t="s">
        <v>159</v>
      </c>
      <c r="D592" s="4" t="s">
        <v>417</v>
      </c>
      <c r="E592" s="4" t="s">
        <v>417</v>
      </c>
      <c r="F592" s="4" t="s">
        <v>417</v>
      </c>
      <c r="G592" t="s">
        <v>788</v>
      </c>
      <c r="H592" t="s">
        <v>417</v>
      </c>
      <c r="I592" s="3" t="e">
        <f>RUSH__2[[#This Row],[TD]]/RUSH__2[[#This Row],[Rec]]</f>
        <v>#DIV/0!</v>
      </c>
      <c r="J592" s="3">
        <f>D592/(VLOOKUP(B592,'2025 Team'!$B$2:$G$33,2,FALSE))</f>
        <v>0</v>
      </c>
      <c r="K592" t="s">
        <v>788</v>
      </c>
      <c r="L592" t="s">
        <v>417</v>
      </c>
    </row>
    <row r="593" spans="1:12" x14ac:dyDescent="0.25">
      <c r="A593" t="s">
        <v>127</v>
      </c>
      <c r="B593" t="s">
        <v>34</v>
      </c>
      <c r="C593" t="s">
        <v>82</v>
      </c>
      <c r="D593" s="4" t="s">
        <v>417</v>
      </c>
      <c r="E593" s="4" t="s">
        <v>417</v>
      </c>
      <c r="F593" s="4" t="s">
        <v>417</v>
      </c>
      <c r="G593" t="s">
        <v>788</v>
      </c>
      <c r="H593" t="s">
        <v>417</v>
      </c>
      <c r="I593" s="3" t="e">
        <f>RUSH__2[[#This Row],[TD]]/RUSH__2[[#This Row],[Rec]]</f>
        <v>#DIV/0!</v>
      </c>
      <c r="J593" s="3">
        <f>D593/(VLOOKUP(B593,'2025 Team'!$B$2:$G$33,2,FALSE))</f>
        <v>0</v>
      </c>
      <c r="K593" t="s">
        <v>788</v>
      </c>
      <c r="L593" t="s">
        <v>289</v>
      </c>
    </row>
    <row r="594" spans="1:12" x14ac:dyDescent="0.25">
      <c r="A594" t="s">
        <v>131</v>
      </c>
      <c r="B594" t="s">
        <v>34</v>
      </c>
      <c r="C594" t="s">
        <v>82</v>
      </c>
      <c r="D594" s="4" t="s">
        <v>417</v>
      </c>
      <c r="E594" s="4" t="s">
        <v>417</v>
      </c>
      <c r="F594" s="4" t="s">
        <v>687</v>
      </c>
      <c r="G594" t="s">
        <v>788</v>
      </c>
      <c r="H594" t="s">
        <v>417</v>
      </c>
      <c r="I594" s="3" t="e">
        <f>RUSH__2[[#This Row],[TD]]/RUSH__2[[#This Row],[Rec]]</f>
        <v>#DIV/0!</v>
      </c>
      <c r="J594" s="3">
        <f>D594/(VLOOKUP(B594,'2025 Team'!$B$2:$G$33,2,FALSE))</f>
        <v>0</v>
      </c>
      <c r="K594" t="s">
        <v>788</v>
      </c>
      <c r="L594" t="s">
        <v>289</v>
      </c>
    </row>
    <row r="595" spans="1:12" x14ac:dyDescent="0.25">
      <c r="A595" t="s">
        <v>761</v>
      </c>
      <c r="B595" t="s">
        <v>34</v>
      </c>
      <c r="C595" t="s">
        <v>755</v>
      </c>
      <c r="D595" s="4" t="s">
        <v>417</v>
      </c>
      <c r="E595" s="4" t="s">
        <v>417</v>
      </c>
      <c r="F595" s="4" t="s">
        <v>417</v>
      </c>
      <c r="G595" t="s">
        <v>788</v>
      </c>
      <c r="H595" t="s">
        <v>417</v>
      </c>
      <c r="I595" s="3" t="e">
        <f>RUSH__2[[#This Row],[TD]]/RUSH__2[[#This Row],[Rec]]</f>
        <v>#DIV/0!</v>
      </c>
      <c r="J595" s="3">
        <f>D595/(VLOOKUP(B595,'2025 Team'!$B$2:$G$33,2,FALSE))</f>
        <v>0</v>
      </c>
      <c r="K595" t="s">
        <v>788</v>
      </c>
      <c r="L595" t="s">
        <v>417</v>
      </c>
    </row>
    <row r="596" spans="1:12" x14ac:dyDescent="0.25">
      <c r="A596" t="s">
        <v>620</v>
      </c>
      <c r="B596" t="s">
        <v>44</v>
      </c>
      <c r="C596" t="s">
        <v>159</v>
      </c>
      <c r="D596" s="4" t="s">
        <v>417</v>
      </c>
      <c r="E596" s="4" t="s">
        <v>417</v>
      </c>
      <c r="F596" s="4" t="s">
        <v>417</v>
      </c>
      <c r="G596" t="s">
        <v>788</v>
      </c>
      <c r="H596" t="s">
        <v>417</v>
      </c>
      <c r="I596" s="3" t="e">
        <f>RUSH__2[[#This Row],[TD]]/RUSH__2[[#This Row],[Rec]]</f>
        <v>#DIV/0!</v>
      </c>
      <c r="J596" s="3">
        <f>D596/(VLOOKUP(B596,'2025 Team'!$B$2:$G$33,2,FALSE))</f>
        <v>0</v>
      </c>
      <c r="K596" t="s">
        <v>788</v>
      </c>
      <c r="L596" t="s">
        <v>417</v>
      </c>
    </row>
    <row r="597" spans="1:12" x14ac:dyDescent="0.25">
      <c r="A597" t="s">
        <v>716</v>
      </c>
      <c r="B597" t="s">
        <v>18</v>
      </c>
      <c r="C597" t="s">
        <v>159</v>
      </c>
      <c r="D597" s="4" t="s">
        <v>417</v>
      </c>
      <c r="E597" s="4" t="s">
        <v>417</v>
      </c>
      <c r="F597" s="4" t="s">
        <v>417</v>
      </c>
      <c r="G597" t="s">
        <v>788</v>
      </c>
      <c r="H597" t="s">
        <v>417</v>
      </c>
      <c r="I597" s="3" t="e">
        <f>RUSH__2[[#This Row],[TD]]/RUSH__2[[#This Row],[Rec]]</f>
        <v>#DIV/0!</v>
      </c>
      <c r="J597" s="3">
        <f>D597/(VLOOKUP(B597,'2025 Team'!$B$2:$G$33,2,FALSE))</f>
        <v>0</v>
      </c>
      <c r="K597" t="s">
        <v>788</v>
      </c>
      <c r="L597" t="s">
        <v>417</v>
      </c>
    </row>
    <row r="598" spans="1:12" x14ac:dyDescent="0.25">
      <c r="A598" t="s">
        <v>126</v>
      </c>
      <c r="B598" t="s">
        <v>54</v>
      </c>
      <c r="C598" t="s">
        <v>82</v>
      </c>
      <c r="D598" s="4" t="s">
        <v>417</v>
      </c>
      <c r="E598" s="4" t="s">
        <v>417</v>
      </c>
      <c r="F598" s="4" t="s">
        <v>417</v>
      </c>
      <c r="G598" t="s">
        <v>788</v>
      </c>
      <c r="H598" t="s">
        <v>417</v>
      </c>
      <c r="I598" s="3" t="e">
        <f>RUSH__2[[#This Row],[TD]]/RUSH__2[[#This Row],[Rec]]</f>
        <v>#DIV/0!</v>
      </c>
      <c r="J598" s="3">
        <f>D598/(VLOOKUP(B598,'2025 Team'!$B$2:$G$33,2,FALSE))</f>
        <v>0</v>
      </c>
      <c r="K598" t="s">
        <v>788</v>
      </c>
      <c r="L598" t="s">
        <v>314</v>
      </c>
    </row>
    <row r="599" spans="1:12" x14ac:dyDescent="0.25">
      <c r="A599" t="s">
        <v>96</v>
      </c>
      <c r="B599" t="s">
        <v>64</v>
      </c>
      <c r="C599" t="s">
        <v>82</v>
      </c>
      <c r="D599" s="4" t="s">
        <v>417</v>
      </c>
      <c r="E599" s="4" t="s">
        <v>417</v>
      </c>
      <c r="F599" s="4" t="s">
        <v>417</v>
      </c>
      <c r="G599" t="s">
        <v>788</v>
      </c>
      <c r="H599" t="s">
        <v>417</v>
      </c>
      <c r="I599" s="3" t="e">
        <f>RUSH__2[[#This Row],[TD]]/RUSH__2[[#This Row],[Rec]]</f>
        <v>#DIV/0!</v>
      </c>
      <c r="J599" s="3">
        <f>D599/(VLOOKUP(B599,'2025 Team'!$B$2:$G$33,2,FALSE))</f>
        <v>0</v>
      </c>
      <c r="K599" t="s">
        <v>788</v>
      </c>
      <c r="L599" t="s">
        <v>266</v>
      </c>
    </row>
    <row r="600" spans="1:12" x14ac:dyDescent="0.25">
      <c r="A600" t="s">
        <v>148</v>
      </c>
      <c r="B600" t="s">
        <v>38</v>
      </c>
      <c r="C600" t="s">
        <v>82</v>
      </c>
      <c r="D600" s="4" t="s">
        <v>417</v>
      </c>
      <c r="E600" s="4" t="s">
        <v>417</v>
      </c>
      <c r="F600" s="4" t="s">
        <v>417</v>
      </c>
      <c r="G600" t="s">
        <v>788</v>
      </c>
      <c r="H600" t="s">
        <v>417</v>
      </c>
      <c r="I600" s="3" t="e">
        <f>RUSH__2[[#This Row],[TD]]/RUSH__2[[#This Row],[Rec]]</f>
        <v>#DIV/0!</v>
      </c>
      <c r="J600" s="3">
        <f>D600/(VLOOKUP(B600,'2025 Team'!$B$2:$G$33,2,FALSE))</f>
        <v>0</v>
      </c>
      <c r="K600" t="s">
        <v>788</v>
      </c>
      <c r="L600" t="s">
        <v>417</v>
      </c>
    </row>
    <row r="601" spans="1:12" x14ac:dyDescent="0.25">
      <c r="A601" t="s">
        <v>116</v>
      </c>
      <c r="B601" t="s">
        <v>22</v>
      </c>
      <c r="C601" t="s">
        <v>82</v>
      </c>
      <c r="D601" s="4" t="s">
        <v>417</v>
      </c>
      <c r="E601" s="4" t="s">
        <v>417</v>
      </c>
      <c r="F601" s="4" t="s">
        <v>417</v>
      </c>
      <c r="G601" t="s">
        <v>788</v>
      </c>
      <c r="H601" t="s">
        <v>417</v>
      </c>
      <c r="I601" s="3" t="e">
        <f>RUSH__2[[#This Row],[TD]]/RUSH__2[[#This Row],[Rec]]</f>
        <v>#DIV/0!</v>
      </c>
      <c r="J601" s="3">
        <f>D601/(VLOOKUP(B601,'2025 Team'!$B$2:$G$33,2,FALSE))</f>
        <v>0</v>
      </c>
      <c r="K601" t="s">
        <v>788</v>
      </c>
      <c r="L601" t="s">
        <v>289</v>
      </c>
    </row>
    <row r="602" spans="1:12" x14ac:dyDescent="0.25">
      <c r="A602" t="s">
        <v>776</v>
      </c>
      <c r="B602" t="s">
        <v>28</v>
      </c>
      <c r="C602" t="s">
        <v>159</v>
      </c>
      <c r="D602" s="4" t="s">
        <v>417</v>
      </c>
      <c r="E602" s="4" t="s">
        <v>417</v>
      </c>
      <c r="F602" s="4" t="s">
        <v>417</v>
      </c>
      <c r="G602" t="s">
        <v>788</v>
      </c>
      <c r="H602" t="s">
        <v>417</v>
      </c>
      <c r="I602" s="3" t="e">
        <f>RUSH__2[[#This Row],[TD]]/RUSH__2[[#This Row],[Rec]]</f>
        <v>#DIV/0!</v>
      </c>
      <c r="J602" s="3">
        <f>D602/(VLOOKUP(B602,'2025 Team'!$B$2:$G$33,2,FALSE))</f>
        <v>0</v>
      </c>
      <c r="K602" t="s">
        <v>788</v>
      </c>
      <c r="L602" t="s">
        <v>417</v>
      </c>
    </row>
    <row r="603" spans="1:12" x14ac:dyDescent="0.25">
      <c r="A603" t="s">
        <v>418</v>
      </c>
      <c r="B603" t="s">
        <v>36</v>
      </c>
      <c r="C603" t="s">
        <v>159</v>
      </c>
      <c r="D603" s="4" t="s">
        <v>417</v>
      </c>
      <c r="E603" s="4" t="s">
        <v>417</v>
      </c>
      <c r="F603" s="4" t="s">
        <v>417</v>
      </c>
      <c r="G603" t="s">
        <v>788</v>
      </c>
      <c r="H603" t="s">
        <v>417</v>
      </c>
      <c r="I603" s="3" t="e">
        <f>RUSH__2[[#This Row],[TD]]/RUSH__2[[#This Row],[Rec]]</f>
        <v>#DIV/0!</v>
      </c>
      <c r="J603" s="3">
        <f>D603/(VLOOKUP(B603,'2025 Team'!$B$2:$G$33,2,FALSE))</f>
        <v>0</v>
      </c>
      <c r="K603" t="s">
        <v>788</v>
      </c>
      <c r="L603" t="s">
        <v>417</v>
      </c>
    </row>
    <row r="604" spans="1:12" x14ac:dyDescent="0.25">
      <c r="A604" t="s">
        <v>139</v>
      </c>
      <c r="B604" t="s">
        <v>58</v>
      </c>
      <c r="C604" t="s">
        <v>82</v>
      </c>
      <c r="D604" s="4" t="s">
        <v>417</v>
      </c>
      <c r="E604" s="4" t="s">
        <v>417</v>
      </c>
      <c r="F604" s="4" t="s">
        <v>417</v>
      </c>
      <c r="G604" t="s">
        <v>788</v>
      </c>
      <c r="H604" t="s">
        <v>417</v>
      </c>
      <c r="I604" s="3" t="e">
        <f>RUSH__2[[#This Row],[TD]]/RUSH__2[[#This Row],[Rec]]</f>
        <v>#DIV/0!</v>
      </c>
      <c r="J604" s="3">
        <f>D604/(VLOOKUP(B604,'2025 Team'!$B$2:$G$33,2,FALSE))</f>
        <v>0</v>
      </c>
      <c r="K604" t="s">
        <v>788</v>
      </c>
      <c r="L604" t="s">
        <v>417</v>
      </c>
    </row>
    <row r="605" spans="1:12" x14ac:dyDescent="0.25">
      <c r="A605" t="s">
        <v>147</v>
      </c>
      <c r="B605" t="s">
        <v>66</v>
      </c>
      <c r="C605" t="s">
        <v>82</v>
      </c>
      <c r="D605" s="4" t="s">
        <v>417</v>
      </c>
      <c r="E605" s="4" t="s">
        <v>417</v>
      </c>
      <c r="F605" s="4" t="s">
        <v>417</v>
      </c>
      <c r="G605" t="s">
        <v>788</v>
      </c>
      <c r="H605" t="s">
        <v>417</v>
      </c>
      <c r="I605" s="3" t="e">
        <f>RUSH__2[[#This Row],[TD]]/RUSH__2[[#This Row],[Rec]]</f>
        <v>#DIV/0!</v>
      </c>
      <c r="J605" s="3">
        <f>D605/(VLOOKUP(B605,'2025 Team'!$B$2:$G$33,2,FALSE))</f>
        <v>0</v>
      </c>
      <c r="K605" t="s">
        <v>788</v>
      </c>
      <c r="L605" t="s">
        <v>417</v>
      </c>
    </row>
    <row r="606" spans="1:12" x14ac:dyDescent="0.25">
      <c r="A606" t="s">
        <v>767</v>
      </c>
      <c r="B606" t="s">
        <v>18</v>
      </c>
      <c r="C606" t="s">
        <v>159</v>
      </c>
      <c r="D606" s="4" t="s">
        <v>417</v>
      </c>
      <c r="E606" s="4" t="s">
        <v>417</v>
      </c>
      <c r="F606" s="4" t="s">
        <v>417</v>
      </c>
      <c r="G606" t="s">
        <v>788</v>
      </c>
      <c r="H606" t="s">
        <v>417</v>
      </c>
      <c r="I606" s="3" t="e">
        <f>RUSH__2[[#This Row],[TD]]/RUSH__2[[#This Row],[Rec]]</f>
        <v>#DIV/0!</v>
      </c>
      <c r="J606" s="3">
        <f>D606/(VLOOKUP(B606,'2025 Team'!$B$2:$G$33,2,FALSE))</f>
        <v>0</v>
      </c>
      <c r="K606" t="s">
        <v>788</v>
      </c>
      <c r="L606" t="s">
        <v>417</v>
      </c>
    </row>
    <row r="607" spans="1:12" x14ac:dyDescent="0.25">
      <c r="A607" t="s">
        <v>87</v>
      </c>
      <c r="B607" t="s">
        <v>36</v>
      </c>
      <c r="C607" t="s">
        <v>82</v>
      </c>
      <c r="D607" s="4" t="s">
        <v>417</v>
      </c>
      <c r="E607" s="4" t="s">
        <v>417</v>
      </c>
      <c r="F607" s="4" t="s">
        <v>417</v>
      </c>
      <c r="G607" t="s">
        <v>788</v>
      </c>
      <c r="H607" t="s">
        <v>417</v>
      </c>
      <c r="I607" s="3" t="e">
        <f>RUSH__2[[#This Row],[TD]]/RUSH__2[[#This Row],[Rec]]</f>
        <v>#DIV/0!</v>
      </c>
      <c r="J607" s="3">
        <f>D607/(VLOOKUP(B607,'2025 Team'!$B$2:$G$33,2,FALSE))</f>
        <v>0</v>
      </c>
      <c r="K607" t="s">
        <v>788</v>
      </c>
      <c r="L607" t="s">
        <v>220</v>
      </c>
    </row>
    <row r="608" spans="1:12" x14ac:dyDescent="0.25">
      <c r="A608" t="s">
        <v>133</v>
      </c>
      <c r="B608" t="s">
        <v>42</v>
      </c>
      <c r="C608" t="s">
        <v>82</v>
      </c>
      <c r="D608" s="4" t="s">
        <v>417</v>
      </c>
      <c r="E608" s="4" t="s">
        <v>417</v>
      </c>
      <c r="F608" s="4" t="s">
        <v>417</v>
      </c>
      <c r="G608" t="s">
        <v>788</v>
      </c>
      <c r="H608" t="s">
        <v>417</v>
      </c>
      <c r="I608" s="3" t="e">
        <f>RUSH__2[[#This Row],[TD]]/RUSH__2[[#This Row],[Rec]]</f>
        <v>#DIV/0!</v>
      </c>
      <c r="J608" s="3">
        <f>D608/(VLOOKUP(B608,'2025 Team'!$B$2:$G$33,2,FALSE))</f>
        <v>0</v>
      </c>
      <c r="K608" t="s">
        <v>788</v>
      </c>
      <c r="L608" t="s">
        <v>300</v>
      </c>
    </row>
    <row r="609" spans="1:12" x14ac:dyDescent="0.25">
      <c r="A609" t="s">
        <v>103</v>
      </c>
      <c r="B609" t="s">
        <v>46</v>
      </c>
      <c r="C609" t="s">
        <v>82</v>
      </c>
      <c r="D609" s="4" t="s">
        <v>417</v>
      </c>
      <c r="E609" s="4" t="s">
        <v>417</v>
      </c>
      <c r="F609" s="4" t="s">
        <v>417</v>
      </c>
      <c r="G609" t="s">
        <v>788</v>
      </c>
      <c r="H609" t="s">
        <v>417</v>
      </c>
      <c r="I609" s="3" t="e">
        <f>RUSH__2[[#This Row],[TD]]/RUSH__2[[#This Row],[Rec]]</f>
        <v>#DIV/0!</v>
      </c>
      <c r="J609" s="3">
        <f>D609/(VLOOKUP(B609,'2025 Team'!$B$2:$G$33,2,FALSE))</f>
        <v>0</v>
      </c>
      <c r="K609" t="s">
        <v>788</v>
      </c>
      <c r="L609" t="s">
        <v>225</v>
      </c>
    </row>
    <row r="610" spans="1:12" x14ac:dyDescent="0.25">
      <c r="A610" t="s">
        <v>130</v>
      </c>
      <c r="B610" t="s">
        <v>12</v>
      </c>
      <c r="C610" t="s">
        <v>82</v>
      </c>
      <c r="D610" s="4" t="s">
        <v>417</v>
      </c>
      <c r="E610" s="4" t="s">
        <v>417</v>
      </c>
      <c r="F610" s="4" t="s">
        <v>417</v>
      </c>
      <c r="G610" t="s">
        <v>788</v>
      </c>
      <c r="H610" t="s">
        <v>417</v>
      </c>
      <c r="I610" s="3" t="e">
        <f>RUSH__2[[#This Row],[TD]]/RUSH__2[[#This Row],[Rec]]</f>
        <v>#DIV/0!</v>
      </c>
      <c r="J610" s="3">
        <f>D610/(VLOOKUP(B610,'2025 Team'!$B$2:$G$33,2,FALSE))</f>
        <v>0</v>
      </c>
      <c r="K610" t="s">
        <v>788</v>
      </c>
      <c r="L610" t="s">
        <v>417</v>
      </c>
    </row>
    <row r="611" spans="1:12" x14ac:dyDescent="0.25">
      <c r="A611" t="s">
        <v>105</v>
      </c>
      <c r="B611" t="s">
        <v>52</v>
      </c>
      <c r="C611" t="s">
        <v>82</v>
      </c>
      <c r="D611" s="4" t="s">
        <v>417</v>
      </c>
      <c r="E611" s="4" t="s">
        <v>417</v>
      </c>
      <c r="F611" s="4" t="s">
        <v>417</v>
      </c>
      <c r="G611" t="s">
        <v>788</v>
      </c>
      <c r="H611" t="s">
        <v>417</v>
      </c>
      <c r="I611" s="3" t="e">
        <f>RUSH__2[[#This Row],[TD]]/RUSH__2[[#This Row],[Rec]]</f>
        <v>#DIV/0!</v>
      </c>
      <c r="J611" s="3">
        <f>D611/(VLOOKUP(B611,'2025 Team'!$B$2:$G$33,2,FALSE))</f>
        <v>0</v>
      </c>
      <c r="K611" t="s">
        <v>788</v>
      </c>
      <c r="L611" t="s">
        <v>314</v>
      </c>
    </row>
    <row r="612" spans="1:12" x14ac:dyDescent="0.25">
      <c r="A612" t="s">
        <v>124</v>
      </c>
      <c r="B612" t="s">
        <v>56</v>
      </c>
      <c r="C612" t="s">
        <v>82</v>
      </c>
      <c r="D612" s="4" t="s">
        <v>417</v>
      </c>
      <c r="E612" s="4" t="s">
        <v>417</v>
      </c>
      <c r="F612" s="4" t="s">
        <v>417</v>
      </c>
      <c r="G612" t="s">
        <v>788</v>
      </c>
      <c r="H612" t="s">
        <v>417</v>
      </c>
      <c r="I612" s="3" t="e">
        <f>RUSH__2[[#This Row],[TD]]/RUSH__2[[#This Row],[Rec]]</f>
        <v>#DIV/0!</v>
      </c>
      <c r="J612" s="3">
        <f>D612/(VLOOKUP(B612,'2025 Team'!$B$2:$G$33,2,FALSE))</f>
        <v>0</v>
      </c>
      <c r="K612" t="s">
        <v>788</v>
      </c>
      <c r="L612" t="s">
        <v>300</v>
      </c>
    </row>
    <row r="613" spans="1:12" x14ac:dyDescent="0.25">
      <c r="A613" t="s">
        <v>154</v>
      </c>
      <c r="B613" t="s">
        <v>18</v>
      </c>
      <c r="C613" t="s">
        <v>82</v>
      </c>
      <c r="D613" s="4" t="s">
        <v>417</v>
      </c>
      <c r="E613" s="4" t="s">
        <v>417</v>
      </c>
      <c r="F613" s="4" t="s">
        <v>417</v>
      </c>
      <c r="G613" t="s">
        <v>788</v>
      </c>
      <c r="H613" t="s">
        <v>417</v>
      </c>
      <c r="I613" s="3" t="e">
        <f>RUSH__2[[#This Row],[TD]]/RUSH__2[[#This Row],[Rec]]</f>
        <v>#DIV/0!</v>
      </c>
      <c r="J613" s="3">
        <f>D613/(VLOOKUP(B613,'2025 Team'!$B$2:$G$33,2,FALSE))</f>
        <v>0</v>
      </c>
      <c r="K613" t="s">
        <v>788</v>
      </c>
      <c r="L613" t="s">
        <v>300</v>
      </c>
    </row>
    <row r="614" spans="1:12" x14ac:dyDescent="0.25">
      <c r="A614" t="s">
        <v>760</v>
      </c>
      <c r="B614" t="s">
        <v>34</v>
      </c>
      <c r="C614" t="s">
        <v>159</v>
      </c>
      <c r="D614" s="4" t="s">
        <v>417</v>
      </c>
      <c r="E614" s="4" t="s">
        <v>417</v>
      </c>
      <c r="F614" s="4" t="s">
        <v>417</v>
      </c>
      <c r="G614" t="s">
        <v>788</v>
      </c>
      <c r="H614" t="s">
        <v>417</v>
      </c>
      <c r="I614" s="3" t="e">
        <f>RUSH__2[[#This Row],[TD]]/RUSH__2[[#This Row],[Rec]]</f>
        <v>#DIV/0!</v>
      </c>
      <c r="J614" s="3">
        <f>D614/(VLOOKUP(B614,'2025 Team'!$B$2:$G$33,2,FALSE))</f>
        <v>0</v>
      </c>
      <c r="K614" t="s">
        <v>788</v>
      </c>
      <c r="L614" t="s">
        <v>417</v>
      </c>
    </row>
    <row r="615" spans="1:12" x14ac:dyDescent="0.25">
      <c r="A615" t="s">
        <v>658</v>
      </c>
      <c r="B615" t="s">
        <v>64</v>
      </c>
      <c r="C615" t="s">
        <v>159</v>
      </c>
      <c r="D615" s="4" t="s">
        <v>417</v>
      </c>
      <c r="E615" s="4" t="s">
        <v>417</v>
      </c>
      <c r="F615" s="4" t="s">
        <v>417</v>
      </c>
      <c r="G615" t="s">
        <v>788</v>
      </c>
      <c r="H615" t="s">
        <v>417</v>
      </c>
      <c r="I615" s="3" t="e">
        <f>RUSH__2[[#This Row],[TD]]/RUSH__2[[#This Row],[Rec]]</f>
        <v>#DIV/0!</v>
      </c>
      <c r="J615" s="3">
        <f>D615/(VLOOKUP(B615,'2025 Team'!$B$2:$G$33,2,FALSE))</f>
        <v>0</v>
      </c>
      <c r="K615" t="s">
        <v>788</v>
      </c>
      <c r="L615" t="s">
        <v>417</v>
      </c>
    </row>
    <row r="616" spans="1:12" x14ac:dyDescent="0.25">
      <c r="A616" t="s">
        <v>150</v>
      </c>
      <c r="B616" t="s">
        <v>46</v>
      </c>
      <c r="C616" t="s">
        <v>82</v>
      </c>
      <c r="D616" s="4" t="s">
        <v>417</v>
      </c>
      <c r="E616" s="4" t="s">
        <v>417</v>
      </c>
      <c r="F616" s="4" t="s">
        <v>417</v>
      </c>
      <c r="G616" t="s">
        <v>788</v>
      </c>
      <c r="H616" t="s">
        <v>417</v>
      </c>
      <c r="I616" s="3" t="e">
        <f>RUSH__2[[#This Row],[TD]]/RUSH__2[[#This Row],[Rec]]</f>
        <v>#DIV/0!</v>
      </c>
      <c r="J616" s="3">
        <f>D616/(VLOOKUP(B616,'2025 Team'!$B$2:$G$33,2,FALSE))</f>
        <v>0</v>
      </c>
      <c r="K616" t="s">
        <v>788</v>
      </c>
      <c r="L616" t="s">
        <v>417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10"/>
  <sheetViews>
    <sheetView workbookViewId="0"/>
  </sheetViews>
  <sheetFormatPr defaultRowHeight="15" x14ac:dyDescent="0.25"/>
  <cols>
    <col min="1" max="1" width="24.28515625" customWidth="1"/>
    <col min="2" max="3" width="11.140625" customWidth="1"/>
    <col min="4" max="5" width="11.140625" style="4" customWidth="1"/>
    <col min="6" max="6" width="12.140625" style="4" customWidth="1"/>
    <col min="7" max="8" width="12.140625" customWidth="1"/>
    <col min="9" max="10" width="12.140625" style="3" customWidth="1"/>
    <col min="11" max="12" width="12.140625" customWidth="1"/>
  </cols>
  <sheetData>
    <row r="1" spans="1:12" x14ac:dyDescent="0.25">
      <c r="A1" t="s">
        <v>71</v>
      </c>
      <c r="B1" t="s">
        <v>0</v>
      </c>
      <c r="C1" s="1" t="s">
        <v>72</v>
      </c>
      <c r="D1" s="4" t="s">
        <v>1051</v>
      </c>
      <c r="E1" s="4" t="s">
        <v>1052</v>
      </c>
      <c r="F1" s="4" t="s">
        <v>76</v>
      </c>
      <c r="G1" t="s">
        <v>1053</v>
      </c>
      <c r="H1" t="s">
        <v>188</v>
      </c>
      <c r="I1" s="3" t="s">
        <v>189</v>
      </c>
      <c r="J1" s="3" t="s">
        <v>1054</v>
      </c>
      <c r="K1" t="s">
        <v>1055</v>
      </c>
      <c r="L1" t="s">
        <v>1056</v>
      </c>
    </row>
    <row r="2" spans="1:12" x14ac:dyDescent="0.25">
      <c r="A2" t="s">
        <v>693</v>
      </c>
      <c r="B2" t="s">
        <v>20</v>
      </c>
      <c r="C2" s="1" t="s">
        <v>163</v>
      </c>
      <c r="D2" s="4" t="s">
        <v>278</v>
      </c>
      <c r="E2" s="4" t="s">
        <v>578</v>
      </c>
      <c r="F2" s="4" t="s">
        <v>2217</v>
      </c>
      <c r="G2" t="s">
        <v>1913</v>
      </c>
      <c r="H2" t="s">
        <v>535</v>
      </c>
      <c r="I2" s="3">
        <f t="shared" ref="I2:I63" si="0">H2/E2</f>
        <v>0.13385826771653545</v>
      </c>
      <c r="J2" s="3">
        <f>D2/(VLOOKUP(B2,'2024 Team'!$B$2:$G$33,2,FALSE))</f>
        <v>0.26840490797546013</v>
      </c>
      <c r="K2" t="s">
        <v>1871</v>
      </c>
      <c r="L2" t="s">
        <v>417</v>
      </c>
    </row>
    <row r="3" spans="1:12" x14ac:dyDescent="0.25">
      <c r="A3" t="s">
        <v>689</v>
      </c>
      <c r="B3" t="s">
        <v>28</v>
      </c>
      <c r="C3" s="1" t="s">
        <v>163</v>
      </c>
      <c r="D3" s="4" t="s">
        <v>1063</v>
      </c>
      <c r="E3" s="4" t="s">
        <v>1500</v>
      </c>
      <c r="F3" s="4" t="s">
        <v>2218</v>
      </c>
      <c r="G3" t="s">
        <v>779</v>
      </c>
      <c r="H3" t="s">
        <v>198</v>
      </c>
      <c r="I3" s="3">
        <f t="shared" si="0"/>
        <v>0.10434782608695652</v>
      </c>
      <c r="J3" s="3">
        <f>D3/(VLOOKUP(B3,'2024 Team'!$B$2:$G$33,2,FALSE))</f>
        <v>0.2558983666061706</v>
      </c>
      <c r="K3" t="s">
        <v>1374</v>
      </c>
      <c r="L3" t="s">
        <v>300</v>
      </c>
    </row>
    <row r="4" spans="1:12" x14ac:dyDescent="0.25">
      <c r="A4" t="s">
        <v>704</v>
      </c>
      <c r="B4" t="s">
        <v>40</v>
      </c>
      <c r="C4" s="1" t="s">
        <v>153</v>
      </c>
      <c r="D4" s="4" t="s">
        <v>331</v>
      </c>
      <c r="E4" s="4" t="s">
        <v>337</v>
      </c>
      <c r="F4" s="4" t="s">
        <v>2219</v>
      </c>
      <c r="G4" t="s">
        <v>1331</v>
      </c>
      <c r="H4" t="s">
        <v>220</v>
      </c>
      <c r="I4" s="3">
        <f t="shared" si="0"/>
        <v>4.4642857142857144E-2</v>
      </c>
      <c r="J4" s="3">
        <f>D4/(VLOOKUP(B4,'2024 Team'!$B$2:$G$33,2,FALSE))</f>
        <v>0.24094488188976379</v>
      </c>
      <c r="K4" t="s">
        <v>1196</v>
      </c>
      <c r="L4" t="s">
        <v>417</v>
      </c>
    </row>
    <row r="5" spans="1:12" x14ac:dyDescent="0.25">
      <c r="A5" t="s">
        <v>795</v>
      </c>
      <c r="B5" t="s">
        <v>8</v>
      </c>
      <c r="C5" s="1" t="s">
        <v>153</v>
      </c>
      <c r="D5" s="4" t="s">
        <v>486</v>
      </c>
      <c r="E5" s="4" t="s">
        <v>1134</v>
      </c>
      <c r="F5" s="4" t="s">
        <v>2220</v>
      </c>
      <c r="G5" t="s">
        <v>1533</v>
      </c>
      <c r="H5" t="s">
        <v>289</v>
      </c>
      <c r="I5" s="3">
        <f t="shared" si="0"/>
        <v>1.8018018018018018E-2</v>
      </c>
      <c r="J5" s="3">
        <f>D5/(VLOOKUP(B5,'2024 Team'!$B$2:$G$33,2,FALSE))</f>
        <v>0.27071823204419887</v>
      </c>
      <c r="K5" t="s">
        <v>1182</v>
      </c>
      <c r="L5" t="s">
        <v>417</v>
      </c>
    </row>
    <row r="6" spans="1:12" x14ac:dyDescent="0.25">
      <c r="A6" t="s">
        <v>975</v>
      </c>
      <c r="B6" t="s">
        <v>54</v>
      </c>
      <c r="C6" s="1" t="s">
        <v>163</v>
      </c>
      <c r="D6" s="4" t="s">
        <v>1685</v>
      </c>
      <c r="E6" s="4" t="s">
        <v>455</v>
      </c>
      <c r="F6" s="4" t="s">
        <v>2221</v>
      </c>
      <c r="G6" t="s">
        <v>779</v>
      </c>
      <c r="H6" t="s">
        <v>207</v>
      </c>
      <c r="I6" s="3">
        <f t="shared" si="0"/>
        <v>6.4220183486238536E-2</v>
      </c>
      <c r="J6" s="3">
        <f>D6/(VLOOKUP(B6,'2024 Team'!$B$2:$G$33,2,FALSE))</f>
        <v>0.28764805414551609</v>
      </c>
      <c r="K6" t="s">
        <v>1084</v>
      </c>
      <c r="L6" t="s">
        <v>300</v>
      </c>
    </row>
    <row r="7" spans="1:12" x14ac:dyDescent="0.25">
      <c r="A7" t="s">
        <v>700</v>
      </c>
      <c r="B7" t="s">
        <v>48</v>
      </c>
      <c r="C7" s="1" t="s">
        <v>163</v>
      </c>
      <c r="D7" s="4" t="s">
        <v>2028</v>
      </c>
      <c r="E7" s="4" t="s">
        <v>363</v>
      </c>
      <c r="F7" s="4" t="s">
        <v>2222</v>
      </c>
      <c r="G7" t="s">
        <v>1096</v>
      </c>
      <c r="H7" t="s">
        <v>211</v>
      </c>
      <c r="I7" s="3">
        <f t="shared" si="0"/>
        <v>9.7087378640776698E-2</v>
      </c>
      <c r="J7" s="3">
        <f>D7/(VLOOKUP(B7,'2024 Team'!$B$2:$G$33,2,FALSE))</f>
        <v>0.28102189781021897</v>
      </c>
      <c r="K7" t="s">
        <v>1878</v>
      </c>
      <c r="L7" t="s">
        <v>300</v>
      </c>
    </row>
    <row r="8" spans="1:12" x14ac:dyDescent="0.25">
      <c r="A8" t="s">
        <v>785</v>
      </c>
      <c r="B8" t="s">
        <v>24</v>
      </c>
      <c r="C8" s="1" t="s">
        <v>163</v>
      </c>
      <c r="D8" s="4" t="s">
        <v>1509</v>
      </c>
      <c r="E8" s="4" t="s">
        <v>369</v>
      </c>
      <c r="F8" s="4" t="s">
        <v>2219</v>
      </c>
      <c r="G8" t="s">
        <v>1355</v>
      </c>
      <c r="H8" t="s">
        <v>247</v>
      </c>
      <c r="I8" s="3">
        <f t="shared" si="0"/>
        <v>5.9405940594059403E-2</v>
      </c>
      <c r="J8" s="3">
        <f>D8/(VLOOKUP(B8,'2024 Team'!$B$2:$G$33,2,FALSE))</f>
        <v>0.23861852433281006</v>
      </c>
      <c r="K8" t="s">
        <v>1113</v>
      </c>
      <c r="L8" t="s">
        <v>300</v>
      </c>
    </row>
    <row r="9" spans="1:12" x14ac:dyDescent="0.25">
      <c r="A9" t="s">
        <v>986</v>
      </c>
      <c r="B9" t="s">
        <v>56</v>
      </c>
      <c r="C9" s="1" t="s">
        <v>163</v>
      </c>
      <c r="D9" s="4" t="s">
        <v>2028</v>
      </c>
      <c r="E9" s="4" t="s">
        <v>369</v>
      </c>
      <c r="F9" s="4" t="s">
        <v>2223</v>
      </c>
      <c r="G9" t="s">
        <v>1184</v>
      </c>
      <c r="H9" t="s">
        <v>207</v>
      </c>
      <c r="I9" s="3">
        <f t="shared" si="0"/>
        <v>6.9306930693069313E-2</v>
      </c>
      <c r="J9" s="3">
        <f>D9/(VLOOKUP(B9,'2024 Team'!$B$2:$G$33,2,FALSE))</f>
        <v>0.25370675453047775</v>
      </c>
      <c r="K9" t="s">
        <v>1881</v>
      </c>
      <c r="L9" t="s">
        <v>289</v>
      </c>
    </row>
    <row r="10" spans="1:12" x14ac:dyDescent="0.25">
      <c r="A10" t="s">
        <v>803</v>
      </c>
      <c r="B10" t="s">
        <v>10</v>
      </c>
      <c r="C10" s="1" t="s">
        <v>163</v>
      </c>
      <c r="D10" s="4" t="s">
        <v>315</v>
      </c>
      <c r="E10" s="4" t="s">
        <v>1081</v>
      </c>
      <c r="F10" s="4" t="s">
        <v>2224</v>
      </c>
      <c r="G10" t="s">
        <v>1268</v>
      </c>
      <c r="H10" t="s">
        <v>270</v>
      </c>
      <c r="I10" s="3">
        <f t="shared" si="0"/>
        <v>0.09</v>
      </c>
      <c r="J10" s="3">
        <f>D10/(VLOOKUP(B10,'2024 Team'!$B$2:$G$33,2,FALSE))</f>
        <v>0.28264758497316639</v>
      </c>
      <c r="K10" t="s">
        <v>1264</v>
      </c>
      <c r="L10" t="s">
        <v>417</v>
      </c>
    </row>
    <row r="11" spans="1:12" x14ac:dyDescent="0.25">
      <c r="A11" t="s">
        <v>623</v>
      </c>
      <c r="B11" t="s">
        <v>64</v>
      </c>
      <c r="C11" s="1" t="s">
        <v>163</v>
      </c>
      <c r="D11" s="4" t="s">
        <v>1105</v>
      </c>
      <c r="E11" s="4" t="s">
        <v>1081</v>
      </c>
      <c r="F11" s="4" t="s">
        <v>2225</v>
      </c>
      <c r="G11" t="s">
        <v>680</v>
      </c>
      <c r="H11" t="s">
        <v>247</v>
      </c>
      <c r="I11" s="3">
        <f t="shared" si="0"/>
        <v>0.06</v>
      </c>
      <c r="J11" s="3">
        <f>D11/(VLOOKUP(B11,'2024 Team'!$B$2:$G$33,2,FALSE))</f>
        <v>0.23102866779089376</v>
      </c>
      <c r="K11" t="s">
        <v>1059</v>
      </c>
      <c r="L11" t="s">
        <v>300</v>
      </c>
    </row>
    <row r="12" spans="1:12" x14ac:dyDescent="0.25">
      <c r="A12" t="s">
        <v>167</v>
      </c>
      <c r="B12" t="s">
        <v>18</v>
      </c>
      <c r="C12" t="s">
        <v>163</v>
      </c>
      <c r="D12" s="4" t="s">
        <v>1077</v>
      </c>
      <c r="E12" s="4" t="s">
        <v>1223</v>
      </c>
      <c r="F12" s="4" t="s">
        <v>2226</v>
      </c>
      <c r="G12" t="s">
        <v>1195</v>
      </c>
      <c r="H12" t="s">
        <v>247</v>
      </c>
      <c r="I12" s="3">
        <f t="shared" si="0"/>
        <v>6.1224489795918366E-2</v>
      </c>
      <c r="J12" s="3">
        <f>D12/(VLOOKUP(B12,'2024 Team'!$B$2:$G$33,2,FALSE))</f>
        <v>0.24734982332155478</v>
      </c>
      <c r="K12" t="s">
        <v>1324</v>
      </c>
      <c r="L12" t="s">
        <v>300</v>
      </c>
    </row>
    <row r="13" spans="1:12" x14ac:dyDescent="0.25">
      <c r="A13" t="s">
        <v>777</v>
      </c>
      <c r="B13" t="s">
        <v>38</v>
      </c>
      <c r="C13" t="s">
        <v>153</v>
      </c>
      <c r="D13" s="4" t="s">
        <v>2138</v>
      </c>
      <c r="E13" s="4" t="s">
        <v>1512</v>
      </c>
      <c r="F13" s="4" t="s">
        <v>2227</v>
      </c>
      <c r="G13" t="s">
        <v>717</v>
      </c>
      <c r="H13" t="s">
        <v>314</v>
      </c>
      <c r="I13" s="3">
        <f t="shared" si="0"/>
        <v>3.0927835051546393E-2</v>
      </c>
      <c r="J13" s="3">
        <f>D13/(VLOOKUP(B13,'2024 Team'!$B$2:$G$33,2,FALSE))</f>
        <v>0.22166666666666668</v>
      </c>
      <c r="K13" t="s">
        <v>1072</v>
      </c>
      <c r="L13" t="s">
        <v>289</v>
      </c>
    </row>
    <row r="14" spans="1:12" x14ac:dyDescent="0.25">
      <c r="A14" t="s">
        <v>681</v>
      </c>
      <c r="B14" t="s">
        <v>54</v>
      </c>
      <c r="C14" s="1" t="s">
        <v>163</v>
      </c>
      <c r="D14" s="4" t="s">
        <v>1077</v>
      </c>
      <c r="E14" s="4" t="s">
        <v>523</v>
      </c>
      <c r="F14" s="4" t="s">
        <v>2228</v>
      </c>
      <c r="G14" t="s">
        <v>726</v>
      </c>
      <c r="H14" t="s">
        <v>314</v>
      </c>
      <c r="I14" s="3">
        <f t="shared" si="0"/>
        <v>3.2258064516129031E-2</v>
      </c>
      <c r="J14" s="3">
        <f>D14/(VLOOKUP(B14,'2024 Team'!$B$2:$G$33,2,FALSE))</f>
        <v>0.23688663282571912</v>
      </c>
      <c r="K14" t="s">
        <v>1113</v>
      </c>
      <c r="L14" t="s">
        <v>417</v>
      </c>
    </row>
    <row r="15" spans="1:12" x14ac:dyDescent="0.25">
      <c r="A15" t="s">
        <v>762</v>
      </c>
      <c r="B15" t="s">
        <v>22</v>
      </c>
      <c r="C15" s="1" t="s">
        <v>163</v>
      </c>
      <c r="D15" s="4" t="s">
        <v>334</v>
      </c>
      <c r="E15" s="4" t="s">
        <v>1209</v>
      </c>
      <c r="F15" s="4" t="s">
        <v>2229</v>
      </c>
      <c r="G15" t="s">
        <v>1140</v>
      </c>
      <c r="H15" t="s">
        <v>229</v>
      </c>
      <c r="I15" s="3">
        <f t="shared" si="0"/>
        <v>4.4444444444444446E-2</v>
      </c>
      <c r="J15" s="3">
        <f>D15/(VLOOKUP(B15,'2024 Team'!$B$2:$G$33,2,FALSE))</f>
        <v>0.21936459909228442</v>
      </c>
      <c r="K15" t="s">
        <v>1951</v>
      </c>
      <c r="L15" t="s">
        <v>417</v>
      </c>
    </row>
    <row r="16" spans="1:12" x14ac:dyDescent="0.25">
      <c r="A16" t="s">
        <v>610</v>
      </c>
      <c r="B16" t="s">
        <v>46</v>
      </c>
      <c r="C16" s="1" t="s">
        <v>153</v>
      </c>
      <c r="D16" s="4" t="s">
        <v>1134</v>
      </c>
      <c r="E16" s="4" t="s">
        <v>1109</v>
      </c>
      <c r="F16" s="4" t="s">
        <v>2230</v>
      </c>
      <c r="G16" t="s">
        <v>662</v>
      </c>
      <c r="H16" t="s">
        <v>225</v>
      </c>
      <c r="I16" s="3">
        <f t="shared" si="0"/>
        <v>9.0909090909090912E-2</v>
      </c>
      <c r="J16" s="3">
        <f>D16/(VLOOKUP(B16,'2024 Team'!$B$2:$G$33,2,FALSE))</f>
        <v>0.18781725888324874</v>
      </c>
      <c r="K16" t="s">
        <v>1444</v>
      </c>
      <c r="L16" t="s">
        <v>289</v>
      </c>
    </row>
    <row r="17" spans="1:12" x14ac:dyDescent="0.25">
      <c r="A17" t="s">
        <v>654</v>
      </c>
      <c r="B17" t="s">
        <v>40</v>
      </c>
      <c r="C17" s="1" t="s">
        <v>163</v>
      </c>
      <c r="D17" s="4" t="s">
        <v>481</v>
      </c>
      <c r="E17" s="4" t="s">
        <v>598</v>
      </c>
      <c r="F17" s="4" t="s">
        <v>242</v>
      </c>
      <c r="G17" t="s">
        <v>1355</v>
      </c>
      <c r="H17" t="s">
        <v>229</v>
      </c>
      <c r="I17" s="3">
        <f t="shared" si="0"/>
        <v>4.5977011494252873E-2</v>
      </c>
      <c r="J17" s="3">
        <f>D17/(VLOOKUP(B17,'2024 Team'!$B$2:$G$33,2,FALSE))</f>
        <v>0.20314960629921261</v>
      </c>
      <c r="K17" t="s">
        <v>1346</v>
      </c>
      <c r="L17" t="s">
        <v>417</v>
      </c>
    </row>
    <row r="18" spans="1:12" x14ac:dyDescent="0.25">
      <c r="A18" t="s">
        <v>685</v>
      </c>
      <c r="B18" t="s">
        <v>36</v>
      </c>
      <c r="C18" s="1" t="s">
        <v>163</v>
      </c>
      <c r="D18" s="4" t="s">
        <v>2138</v>
      </c>
      <c r="E18" s="4" t="s">
        <v>598</v>
      </c>
      <c r="F18" s="4" t="s">
        <v>2231</v>
      </c>
      <c r="G18" t="s">
        <v>683</v>
      </c>
      <c r="H18" t="s">
        <v>211</v>
      </c>
      <c r="I18" s="3">
        <f t="shared" si="0"/>
        <v>0.11494252873563218</v>
      </c>
      <c r="J18" s="3">
        <f>D18/(VLOOKUP(B18,'2024 Team'!$B$2:$G$33,2,FALSE))</f>
        <v>0.24358974358974358</v>
      </c>
      <c r="K18" t="s">
        <v>2232</v>
      </c>
      <c r="L18" t="s">
        <v>417</v>
      </c>
    </row>
    <row r="19" spans="1:12" x14ac:dyDescent="0.25">
      <c r="A19" t="s">
        <v>924</v>
      </c>
      <c r="B19" t="s">
        <v>40</v>
      </c>
      <c r="C19" t="s">
        <v>163</v>
      </c>
      <c r="D19" s="4" t="s">
        <v>490</v>
      </c>
      <c r="E19" s="4" t="s">
        <v>202</v>
      </c>
      <c r="F19" s="4" t="s">
        <v>451</v>
      </c>
      <c r="G19" t="s">
        <v>1083</v>
      </c>
      <c r="H19" t="s">
        <v>300</v>
      </c>
      <c r="I19" s="3">
        <f t="shared" si="0"/>
        <v>5.5555555555555552E-2</v>
      </c>
      <c r="J19" s="3">
        <f>D19/(VLOOKUP(B19,'2024 Team'!$B$2:$G$33,2,FALSE))</f>
        <v>4.2519685039370078E-2</v>
      </c>
      <c r="K19" t="s">
        <v>1297</v>
      </c>
      <c r="L19" t="s">
        <v>417</v>
      </c>
    </row>
    <row r="20" spans="1:12" x14ac:dyDescent="0.25">
      <c r="A20" t="s">
        <v>924</v>
      </c>
      <c r="B20" t="s">
        <v>56</v>
      </c>
      <c r="C20" t="s">
        <v>163</v>
      </c>
      <c r="D20" s="4" t="s">
        <v>360</v>
      </c>
      <c r="E20" s="4" t="s">
        <v>376</v>
      </c>
      <c r="F20" s="4" t="s">
        <v>2233</v>
      </c>
      <c r="G20" t="s">
        <v>1268</v>
      </c>
      <c r="H20" t="s">
        <v>207</v>
      </c>
      <c r="I20" s="3">
        <f t="shared" si="0"/>
        <v>0.1044776119402985</v>
      </c>
      <c r="J20" s="3">
        <f>D20/(VLOOKUP(B20,'2024 Team'!$B$2:$G$33,2,FALSE))</f>
        <v>0.18780889621087316</v>
      </c>
      <c r="K20" t="s">
        <v>1229</v>
      </c>
      <c r="L20" t="s">
        <v>417</v>
      </c>
    </row>
    <row r="21" spans="1:12" x14ac:dyDescent="0.25">
      <c r="A21" t="s">
        <v>922</v>
      </c>
      <c r="B21" t="s">
        <v>42</v>
      </c>
      <c r="C21" t="s">
        <v>163</v>
      </c>
      <c r="D21" s="4" t="s">
        <v>337</v>
      </c>
      <c r="E21" s="4" t="s">
        <v>390</v>
      </c>
      <c r="F21" s="4" t="s">
        <v>2234</v>
      </c>
      <c r="G21" t="s">
        <v>696</v>
      </c>
      <c r="H21" t="s">
        <v>207</v>
      </c>
      <c r="I21" s="3">
        <f t="shared" si="0"/>
        <v>8.5365853658536592E-2</v>
      </c>
      <c r="J21" s="3">
        <f>D21/(VLOOKUP(B21,'2024 Team'!$B$2:$G$33,2,FALSE))</f>
        <v>0.2196078431372549</v>
      </c>
      <c r="K21" t="s">
        <v>1196</v>
      </c>
      <c r="L21" t="s">
        <v>289</v>
      </c>
    </row>
    <row r="22" spans="1:12" x14ac:dyDescent="0.25">
      <c r="A22" t="s">
        <v>1048</v>
      </c>
      <c r="B22" t="s">
        <v>70</v>
      </c>
      <c r="C22" s="1" t="s">
        <v>163</v>
      </c>
      <c r="D22" s="4" t="s">
        <v>546</v>
      </c>
      <c r="E22" s="4" t="s">
        <v>390</v>
      </c>
      <c r="F22" s="4" t="s">
        <v>2235</v>
      </c>
      <c r="G22" t="s">
        <v>1913</v>
      </c>
      <c r="H22" t="s">
        <v>234</v>
      </c>
      <c r="I22" s="3">
        <f t="shared" si="0"/>
        <v>0.15853658536585366</v>
      </c>
      <c r="J22" s="3">
        <f>D22/(VLOOKUP(B22,'2024 Team'!$B$2:$G$33,2,FALSE))</f>
        <v>0.22285714285714286</v>
      </c>
      <c r="K22" t="s">
        <v>1942</v>
      </c>
      <c r="L22" t="s">
        <v>300</v>
      </c>
    </row>
    <row r="23" spans="1:12" x14ac:dyDescent="0.25">
      <c r="A23" t="s">
        <v>944</v>
      </c>
      <c r="B23" t="s">
        <v>46</v>
      </c>
      <c r="C23" s="1" t="s">
        <v>163</v>
      </c>
      <c r="D23" s="4" t="s">
        <v>515</v>
      </c>
      <c r="E23" s="4" t="s">
        <v>698</v>
      </c>
      <c r="F23" s="4" t="s">
        <v>2097</v>
      </c>
      <c r="G23" t="s">
        <v>1355</v>
      </c>
      <c r="H23" t="s">
        <v>247</v>
      </c>
      <c r="I23" s="3">
        <f t="shared" si="0"/>
        <v>7.407407407407407E-2</v>
      </c>
      <c r="J23" s="3">
        <f>D23/(VLOOKUP(B23,'2024 Team'!$B$2:$G$33,2,FALSE))</f>
        <v>0.20812182741116753</v>
      </c>
      <c r="K23" t="s">
        <v>1208</v>
      </c>
      <c r="L23" t="s">
        <v>417</v>
      </c>
    </row>
    <row r="24" spans="1:12" x14ac:dyDescent="0.25">
      <c r="A24" t="s">
        <v>184</v>
      </c>
      <c r="B24" t="s">
        <v>26</v>
      </c>
      <c r="C24" s="1" t="s">
        <v>163</v>
      </c>
      <c r="D24" s="4" t="s">
        <v>1445</v>
      </c>
      <c r="E24" s="4" t="s">
        <v>698</v>
      </c>
      <c r="F24" s="4" t="s">
        <v>2236</v>
      </c>
      <c r="G24" t="s">
        <v>1075</v>
      </c>
      <c r="H24" t="s">
        <v>225</v>
      </c>
      <c r="I24" s="3">
        <f t="shared" si="0"/>
        <v>9.8765432098765427E-2</v>
      </c>
      <c r="J24" s="3">
        <f>D24/(VLOOKUP(B24,'2024 Team'!$B$2:$G$33,2,FALSE))</f>
        <v>0.23684210526315788</v>
      </c>
      <c r="K24" t="s">
        <v>1290</v>
      </c>
      <c r="L24" t="s">
        <v>300</v>
      </c>
    </row>
    <row r="25" spans="1:12" x14ac:dyDescent="0.25">
      <c r="A25" t="s">
        <v>604</v>
      </c>
      <c r="B25" t="s">
        <v>44</v>
      </c>
      <c r="C25" s="1" t="s">
        <v>163</v>
      </c>
      <c r="D25" s="4" t="s">
        <v>491</v>
      </c>
      <c r="E25" s="4" t="s">
        <v>562</v>
      </c>
      <c r="F25" s="4" t="s">
        <v>1592</v>
      </c>
      <c r="G25" t="s">
        <v>1065</v>
      </c>
      <c r="H25" t="s">
        <v>314</v>
      </c>
      <c r="I25" s="3">
        <f t="shared" si="0"/>
        <v>3.7974683544303799E-2</v>
      </c>
      <c r="J25" s="3">
        <f>D25/(VLOOKUP(B25,'2024 Team'!$B$2:$G$33,2,FALSE))</f>
        <v>0.18962432915921287</v>
      </c>
      <c r="K25" t="s">
        <v>1997</v>
      </c>
      <c r="L25" t="s">
        <v>417</v>
      </c>
    </row>
    <row r="26" spans="1:12" x14ac:dyDescent="0.25">
      <c r="A26" t="s">
        <v>222</v>
      </c>
      <c r="B26" t="s">
        <v>46</v>
      </c>
      <c r="C26" s="1" t="s">
        <v>159</v>
      </c>
      <c r="D26" s="4" t="s">
        <v>598</v>
      </c>
      <c r="E26" s="4" t="s">
        <v>552</v>
      </c>
      <c r="F26" s="4" t="s">
        <v>1948</v>
      </c>
      <c r="G26" t="s">
        <v>1325</v>
      </c>
      <c r="H26" t="s">
        <v>247</v>
      </c>
      <c r="I26" s="3">
        <f t="shared" si="0"/>
        <v>7.6923076923076927E-2</v>
      </c>
      <c r="J26" s="3">
        <f>D26/(VLOOKUP(B26,'2024 Team'!$B$2:$G$33,2,FALSE))</f>
        <v>0.14720812182741116</v>
      </c>
      <c r="K26" t="s">
        <v>2237</v>
      </c>
      <c r="L26" t="s">
        <v>300</v>
      </c>
    </row>
    <row r="27" spans="1:12" x14ac:dyDescent="0.25">
      <c r="A27" t="s">
        <v>770</v>
      </c>
      <c r="B27" t="s">
        <v>62</v>
      </c>
      <c r="C27" t="s">
        <v>153</v>
      </c>
      <c r="D27" s="4" t="s">
        <v>526</v>
      </c>
      <c r="E27" s="4" t="s">
        <v>552</v>
      </c>
      <c r="F27" s="4" t="s">
        <v>2238</v>
      </c>
      <c r="G27" t="s">
        <v>1119</v>
      </c>
      <c r="H27" t="s">
        <v>225</v>
      </c>
      <c r="I27" s="3">
        <f t="shared" si="0"/>
        <v>0.10256410256410256</v>
      </c>
      <c r="J27" s="3">
        <f>D27/(VLOOKUP(B27,'2024 Team'!$B$2:$G$33,2,FALSE))</f>
        <v>0.17636022514071295</v>
      </c>
      <c r="K27" t="s">
        <v>2239</v>
      </c>
      <c r="L27" t="s">
        <v>417</v>
      </c>
    </row>
    <row r="28" spans="1:12" x14ac:dyDescent="0.25">
      <c r="A28" t="s">
        <v>1017</v>
      </c>
      <c r="B28" t="s">
        <v>62</v>
      </c>
      <c r="C28" t="s">
        <v>163</v>
      </c>
      <c r="D28" s="4" t="s">
        <v>1098</v>
      </c>
      <c r="E28" s="4" t="s">
        <v>402</v>
      </c>
      <c r="F28" s="4" t="s">
        <v>219</v>
      </c>
      <c r="G28" t="s">
        <v>1268</v>
      </c>
      <c r="H28" t="s">
        <v>247</v>
      </c>
      <c r="I28" s="3">
        <f t="shared" si="0"/>
        <v>7.792207792207792E-2</v>
      </c>
      <c r="J28" s="3">
        <f>D28/(VLOOKUP(B28,'2024 Team'!$B$2:$G$33,2,FALSE))</f>
        <v>0.21200750469043153</v>
      </c>
      <c r="K28" t="s">
        <v>1101</v>
      </c>
      <c r="L28" t="s">
        <v>300</v>
      </c>
    </row>
    <row r="29" spans="1:12" x14ac:dyDescent="0.25">
      <c r="A29" t="s">
        <v>744</v>
      </c>
      <c r="B29" t="s">
        <v>14</v>
      </c>
      <c r="C29" t="s">
        <v>163</v>
      </c>
      <c r="D29" s="4" t="s">
        <v>1081</v>
      </c>
      <c r="E29" s="4" t="s">
        <v>533</v>
      </c>
      <c r="F29" s="4" t="s">
        <v>1644</v>
      </c>
      <c r="G29" t="s">
        <v>1130</v>
      </c>
      <c r="H29" t="s">
        <v>229</v>
      </c>
      <c r="I29" s="3">
        <f t="shared" si="0"/>
        <v>5.2631578947368418E-2</v>
      </c>
      <c r="J29" s="3">
        <f>D29/(VLOOKUP(B29,'2024 Team'!$B$2:$G$33,2,FALSE))</f>
        <v>0.19230769230769232</v>
      </c>
      <c r="K29" t="s">
        <v>1465</v>
      </c>
      <c r="L29" t="s">
        <v>300</v>
      </c>
    </row>
    <row r="30" spans="1:12" x14ac:dyDescent="0.25">
      <c r="A30" t="s">
        <v>1024</v>
      </c>
      <c r="B30" t="s">
        <v>66</v>
      </c>
      <c r="C30" t="s">
        <v>163</v>
      </c>
      <c r="D30" s="4" t="s">
        <v>538</v>
      </c>
      <c r="E30" s="4" t="s">
        <v>1138</v>
      </c>
      <c r="F30" s="4" t="s">
        <v>2240</v>
      </c>
      <c r="G30" t="s">
        <v>1228</v>
      </c>
      <c r="H30" t="s">
        <v>266</v>
      </c>
      <c r="I30" s="3">
        <f t="shared" si="0"/>
        <v>0.14864864864864866</v>
      </c>
      <c r="J30" s="3">
        <f>D30/(VLOOKUP(B30,'2024 Team'!$B$2:$G$33,2,FALSE))</f>
        <v>0.19264448336252188</v>
      </c>
      <c r="K30" t="s">
        <v>1149</v>
      </c>
      <c r="L30" t="s">
        <v>417</v>
      </c>
    </row>
    <row r="31" spans="1:12" x14ac:dyDescent="0.25">
      <c r="A31" t="s">
        <v>572</v>
      </c>
      <c r="B31" t="s">
        <v>12</v>
      </c>
      <c r="C31" s="1" t="s">
        <v>163</v>
      </c>
      <c r="D31" s="4" t="s">
        <v>1492</v>
      </c>
      <c r="E31" s="4" t="s">
        <v>1138</v>
      </c>
      <c r="F31" s="4" t="s">
        <v>2241</v>
      </c>
      <c r="G31" t="s">
        <v>1225</v>
      </c>
      <c r="H31" t="s">
        <v>229</v>
      </c>
      <c r="I31" s="3">
        <f t="shared" si="0"/>
        <v>5.4054054054054057E-2</v>
      </c>
      <c r="J31" s="3">
        <f>D31/(VLOOKUP(B31,'2024 Team'!$B$2:$G$33,2,FALSE))</f>
        <v>0.24318658280922431</v>
      </c>
      <c r="K31" t="s">
        <v>1893</v>
      </c>
      <c r="L31" t="s">
        <v>417</v>
      </c>
    </row>
    <row r="32" spans="1:12" x14ac:dyDescent="0.25">
      <c r="A32" t="s">
        <v>846</v>
      </c>
      <c r="B32" t="s">
        <v>20</v>
      </c>
      <c r="C32" s="1" t="s">
        <v>163</v>
      </c>
      <c r="D32" s="4" t="s">
        <v>455</v>
      </c>
      <c r="E32" s="4" t="s">
        <v>511</v>
      </c>
      <c r="F32" s="4" t="s">
        <v>285</v>
      </c>
      <c r="G32" t="s">
        <v>1065</v>
      </c>
      <c r="H32" t="s">
        <v>211</v>
      </c>
      <c r="I32" s="3">
        <f t="shared" si="0"/>
        <v>0.13698630136986301</v>
      </c>
      <c r="J32" s="3">
        <f>D32/(VLOOKUP(B32,'2024 Team'!$B$2:$G$33,2,FALSE))</f>
        <v>0.16717791411042945</v>
      </c>
      <c r="K32" t="s">
        <v>1926</v>
      </c>
      <c r="L32" t="s">
        <v>300</v>
      </c>
    </row>
    <row r="33" spans="1:12" x14ac:dyDescent="0.25">
      <c r="A33" t="s">
        <v>706</v>
      </c>
      <c r="B33" t="s">
        <v>34</v>
      </c>
      <c r="C33" t="s">
        <v>163</v>
      </c>
      <c r="D33" s="4" t="s">
        <v>1146</v>
      </c>
      <c r="E33" s="4" t="s">
        <v>411</v>
      </c>
      <c r="F33" s="4" t="s">
        <v>2242</v>
      </c>
      <c r="G33" t="s">
        <v>1164</v>
      </c>
      <c r="H33" t="s">
        <v>220</v>
      </c>
      <c r="I33" s="3">
        <f t="shared" si="0"/>
        <v>6.9444444444444448E-2</v>
      </c>
      <c r="J33" s="3">
        <f>D33/(VLOOKUP(B33,'2024 Team'!$B$2:$G$33,2,FALSE))</f>
        <v>0.20857699805068225</v>
      </c>
      <c r="K33" t="s">
        <v>1149</v>
      </c>
      <c r="L33" t="s">
        <v>417</v>
      </c>
    </row>
    <row r="34" spans="1:12" x14ac:dyDescent="0.25">
      <c r="A34" t="s">
        <v>916</v>
      </c>
      <c r="B34" t="s">
        <v>18</v>
      </c>
      <c r="C34" s="1" t="s">
        <v>163</v>
      </c>
      <c r="D34" s="4" t="s">
        <v>1088</v>
      </c>
      <c r="E34" s="4" t="s">
        <v>383</v>
      </c>
      <c r="F34" s="4" t="s">
        <v>2243</v>
      </c>
      <c r="G34" t="s">
        <v>1190</v>
      </c>
      <c r="H34" t="s">
        <v>207</v>
      </c>
      <c r="I34" s="3">
        <f t="shared" si="0"/>
        <v>0.1</v>
      </c>
      <c r="J34" s="3">
        <f>D34/(VLOOKUP(B34,'2024 Team'!$B$2:$G$33,2,FALSE))</f>
        <v>0.21378091872791519</v>
      </c>
      <c r="K34" t="s">
        <v>2043</v>
      </c>
      <c r="L34" t="s">
        <v>300</v>
      </c>
    </row>
    <row r="35" spans="1:12" x14ac:dyDescent="0.25">
      <c r="A35" t="s">
        <v>898</v>
      </c>
      <c r="B35" t="s">
        <v>34</v>
      </c>
      <c r="C35" s="1" t="s">
        <v>163</v>
      </c>
      <c r="D35" s="4" t="s">
        <v>1134</v>
      </c>
      <c r="E35" s="4" t="s">
        <v>497</v>
      </c>
      <c r="F35" s="4" t="s">
        <v>2244</v>
      </c>
      <c r="G35" t="s">
        <v>1210</v>
      </c>
      <c r="H35" t="s">
        <v>314</v>
      </c>
      <c r="I35" s="3">
        <f t="shared" si="0"/>
        <v>4.3478260869565216E-2</v>
      </c>
      <c r="J35" s="3">
        <f>D35/(VLOOKUP(B35,'2024 Team'!$B$2:$G$33,2,FALSE))</f>
        <v>0.21637426900584794</v>
      </c>
      <c r="K35" t="s">
        <v>1390</v>
      </c>
      <c r="L35" t="s">
        <v>300</v>
      </c>
    </row>
    <row r="36" spans="1:12" x14ac:dyDescent="0.25">
      <c r="A36" t="s">
        <v>725</v>
      </c>
      <c r="B36" t="s">
        <v>32</v>
      </c>
      <c r="C36" t="s">
        <v>163</v>
      </c>
      <c r="D36" s="4" t="s">
        <v>1114</v>
      </c>
      <c r="E36" s="4" t="s">
        <v>1125</v>
      </c>
      <c r="F36" s="4" t="s">
        <v>1142</v>
      </c>
      <c r="G36" t="s">
        <v>1292</v>
      </c>
      <c r="H36" t="s">
        <v>207</v>
      </c>
      <c r="I36" s="3">
        <f t="shared" si="0"/>
        <v>0.10294117647058823</v>
      </c>
      <c r="J36" s="3">
        <f>D36/(VLOOKUP(B36,'2024 Team'!$B$2:$G$33,2,FALSE))</f>
        <v>0.1736842105263158</v>
      </c>
      <c r="K36" t="s">
        <v>2245</v>
      </c>
      <c r="L36" t="s">
        <v>417</v>
      </c>
    </row>
    <row r="37" spans="1:12" x14ac:dyDescent="0.25">
      <c r="A37" t="s">
        <v>348</v>
      </c>
      <c r="B37" t="s">
        <v>52</v>
      </c>
      <c r="C37" t="s">
        <v>159</v>
      </c>
      <c r="D37" s="4" t="s">
        <v>559</v>
      </c>
      <c r="E37" s="4" t="s">
        <v>1125</v>
      </c>
      <c r="F37" s="4" t="s">
        <v>2246</v>
      </c>
      <c r="G37" t="s">
        <v>531</v>
      </c>
      <c r="H37" t="s">
        <v>289</v>
      </c>
      <c r="I37" s="3">
        <f t="shared" si="0"/>
        <v>2.9411764705882353E-2</v>
      </c>
      <c r="J37" s="3">
        <f>D37/(VLOOKUP(B37,'2024 Team'!$B$2:$G$33,2,FALSE))</f>
        <v>0.16152450090744103</v>
      </c>
      <c r="K37" t="s">
        <v>1895</v>
      </c>
      <c r="L37" t="s">
        <v>300</v>
      </c>
    </row>
    <row r="38" spans="1:12" x14ac:dyDescent="0.25">
      <c r="A38" t="s">
        <v>996</v>
      </c>
      <c r="B38" t="s">
        <v>58</v>
      </c>
      <c r="C38" t="s">
        <v>163</v>
      </c>
      <c r="D38" s="4" t="s">
        <v>559</v>
      </c>
      <c r="E38" s="4" t="s">
        <v>1125</v>
      </c>
      <c r="F38" s="4" t="s">
        <v>2247</v>
      </c>
      <c r="G38" t="s">
        <v>1236</v>
      </c>
      <c r="H38" t="s">
        <v>225</v>
      </c>
      <c r="I38" s="3">
        <f t="shared" si="0"/>
        <v>0.11764705882352941</v>
      </c>
      <c r="J38" s="3">
        <f>D38/(VLOOKUP(B38,'2024 Team'!$B$2:$G$33,2,FALSE))</f>
        <v>0.19866071428571427</v>
      </c>
      <c r="K38" t="s">
        <v>1895</v>
      </c>
      <c r="L38" t="s">
        <v>417</v>
      </c>
    </row>
    <row r="39" spans="1:12" x14ac:dyDescent="0.25">
      <c r="A39" t="s">
        <v>988</v>
      </c>
      <c r="B39" t="s">
        <v>58</v>
      </c>
      <c r="C39" t="s">
        <v>163</v>
      </c>
      <c r="D39" s="4" t="s">
        <v>1512</v>
      </c>
      <c r="E39" s="4" t="s">
        <v>376</v>
      </c>
      <c r="F39" s="4" t="s">
        <v>2095</v>
      </c>
      <c r="G39" t="s">
        <v>2005</v>
      </c>
      <c r="H39" t="s">
        <v>207</v>
      </c>
      <c r="I39" s="3">
        <f t="shared" si="0"/>
        <v>0.1044776119402985</v>
      </c>
      <c r="J39" s="3">
        <f>D39/(VLOOKUP(B39,'2024 Team'!$B$2:$G$33,2,FALSE))</f>
        <v>0.21651785714285715</v>
      </c>
      <c r="K39" t="s">
        <v>2248</v>
      </c>
      <c r="L39" t="s">
        <v>417</v>
      </c>
    </row>
    <row r="40" spans="1:12" x14ac:dyDescent="0.25">
      <c r="A40" t="s">
        <v>181</v>
      </c>
      <c r="B40" t="s">
        <v>44</v>
      </c>
      <c r="C40" t="s">
        <v>163</v>
      </c>
      <c r="D40" s="4" t="s">
        <v>1081</v>
      </c>
      <c r="E40" s="4" t="s">
        <v>376</v>
      </c>
      <c r="F40" s="4" t="s">
        <v>2249</v>
      </c>
      <c r="G40" t="s">
        <v>1190</v>
      </c>
      <c r="H40" t="s">
        <v>247</v>
      </c>
      <c r="I40" s="3">
        <f t="shared" si="0"/>
        <v>8.9552238805970144E-2</v>
      </c>
      <c r="J40" s="3">
        <f>D40/(VLOOKUP(B40,'2024 Team'!$B$2:$G$33,2,FALSE))</f>
        <v>0.17889087656529518</v>
      </c>
      <c r="K40" t="s">
        <v>1926</v>
      </c>
      <c r="L40" t="s">
        <v>300</v>
      </c>
    </row>
    <row r="41" spans="1:12" x14ac:dyDescent="0.25">
      <c r="A41" t="s">
        <v>624</v>
      </c>
      <c r="B41" t="s">
        <v>50</v>
      </c>
      <c r="C41" t="s">
        <v>163</v>
      </c>
      <c r="D41" s="4" t="s">
        <v>598</v>
      </c>
      <c r="E41" s="4" t="s">
        <v>1160</v>
      </c>
      <c r="F41" s="4" t="s">
        <v>1941</v>
      </c>
      <c r="G41" t="s">
        <v>1323</v>
      </c>
      <c r="H41" t="s">
        <v>314</v>
      </c>
      <c r="I41" s="3">
        <f t="shared" si="0"/>
        <v>4.5454545454545456E-2</v>
      </c>
      <c r="J41" s="3">
        <f>D41/(VLOOKUP(B41,'2024 Team'!$B$2:$G$33,2,FALSE))</f>
        <v>0.16446124763705103</v>
      </c>
      <c r="K41" t="s">
        <v>1317</v>
      </c>
      <c r="L41" t="s">
        <v>300</v>
      </c>
    </row>
    <row r="42" spans="1:12" x14ac:dyDescent="0.25">
      <c r="A42" t="s">
        <v>1044</v>
      </c>
      <c r="B42" t="s">
        <v>70</v>
      </c>
      <c r="C42" s="1" t="s">
        <v>153</v>
      </c>
      <c r="D42" s="4" t="s">
        <v>1202</v>
      </c>
      <c r="E42" s="4" t="s">
        <v>1160</v>
      </c>
      <c r="F42" s="4" t="s">
        <v>2250</v>
      </c>
      <c r="G42" t="s">
        <v>1195</v>
      </c>
      <c r="H42" t="s">
        <v>207</v>
      </c>
      <c r="I42" s="3">
        <f t="shared" si="0"/>
        <v>0.10606060606060606</v>
      </c>
      <c r="J42" s="3">
        <f>D42/(VLOOKUP(B42,'2024 Team'!$B$2:$G$33,2,FALSE))</f>
        <v>0.17333333333333334</v>
      </c>
      <c r="K42" t="s">
        <v>1382</v>
      </c>
      <c r="L42" t="s">
        <v>300</v>
      </c>
    </row>
    <row r="43" spans="1:12" x14ac:dyDescent="0.25">
      <c r="A43" t="s">
        <v>966</v>
      </c>
      <c r="B43" t="s">
        <v>50</v>
      </c>
      <c r="C43" t="s">
        <v>153</v>
      </c>
      <c r="D43" s="4" t="s">
        <v>1512</v>
      </c>
      <c r="E43" s="4" t="s">
        <v>1160</v>
      </c>
      <c r="F43" s="4" t="s">
        <v>1946</v>
      </c>
      <c r="G43" t="s">
        <v>1148</v>
      </c>
      <c r="H43" t="s">
        <v>289</v>
      </c>
      <c r="I43" s="3">
        <f t="shared" si="0"/>
        <v>3.0303030303030304E-2</v>
      </c>
      <c r="J43" s="3">
        <f>D43/(VLOOKUP(B43,'2024 Team'!$B$2:$G$33,2,FALSE))</f>
        <v>0.1833648393194707</v>
      </c>
      <c r="K43" t="s">
        <v>1062</v>
      </c>
      <c r="L43" t="s">
        <v>417</v>
      </c>
    </row>
    <row r="44" spans="1:12" x14ac:dyDescent="0.25">
      <c r="A44" t="s">
        <v>707</v>
      </c>
      <c r="B44" t="s">
        <v>64</v>
      </c>
      <c r="C44" t="s">
        <v>163</v>
      </c>
      <c r="D44" s="4" t="s">
        <v>1162</v>
      </c>
      <c r="E44" s="4" t="s">
        <v>1160</v>
      </c>
      <c r="F44" s="4" t="s">
        <v>2251</v>
      </c>
      <c r="G44" t="s">
        <v>1212</v>
      </c>
      <c r="H44" t="s">
        <v>220</v>
      </c>
      <c r="I44" s="3">
        <f t="shared" si="0"/>
        <v>7.575757575757576E-2</v>
      </c>
      <c r="J44" s="3">
        <f>D44/(VLOOKUP(B44,'2024 Team'!$B$2:$G$33,2,FALSE))</f>
        <v>0.1821247892074199</v>
      </c>
      <c r="K44" t="s">
        <v>1188</v>
      </c>
      <c r="L44" t="s">
        <v>289</v>
      </c>
    </row>
    <row r="45" spans="1:12" x14ac:dyDescent="0.25">
      <c r="A45" t="s">
        <v>1000</v>
      </c>
      <c r="B45" t="s">
        <v>60</v>
      </c>
      <c r="C45" t="s">
        <v>153</v>
      </c>
      <c r="D45" s="4" t="s">
        <v>552</v>
      </c>
      <c r="E45" s="4" t="s">
        <v>422</v>
      </c>
      <c r="F45" s="4" t="s">
        <v>2252</v>
      </c>
      <c r="G45" t="s">
        <v>662</v>
      </c>
      <c r="H45" t="s">
        <v>207</v>
      </c>
      <c r="I45" s="3">
        <f t="shared" si="0"/>
        <v>0.1076923076923077</v>
      </c>
      <c r="J45" s="3">
        <f>D45/(VLOOKUP(B45,'2024 Team'!$B$2:$G$33,2,FALSE))</f>
        <v>0.15631262525050099</v>
      </c>
      <c r="K45" t="s">
        <v>1133</v>
      </c>
      <c r="L45" t="s">
        <v>314</v>
      </c>
    </row>
    <row r="46" spans="1:12" x14ac:dyDescent="0.25">
      <c r="A46" t="s">
        <v>844</v>
      </c>
      <c r="B46" t="s">
        <v>20</v>
      </c>
      <c r="C46" t="s">
        <v>153</v>
      </c>
      <c r="D46" s="4" t="s">
        <v>381</v>
      </c>
      <c r="E46" s="4" t="s">
        <v>422</v>
      </c>
      <c r="F46" s="4" t="s">
        <v>2253</v>
      </c>
      <c r="G46" t="s">
        <v>1148</v>
      </c>
      <c r="H46" t="s">
        <v>289</v>
      </c>
      <c r="I46" s="3">
        <f t="shared" si="0"/>
        <v>3.0769230769230771E-2</v>
      </c>
      <c r="J46" s="3">
        <f>D46/(VLOOKUP(B46,'2024 Team'!$B$2:$G$33,2,FALSE))</f>
        <v>0.1273006134969325</v>
      </c>
      <c r="K46" t="s">
        <v>1305</v>
      </c>
      <c r="L46" t="s">
        <v>300</v>
      </c>
    </row>
    <row r="47" spans="1:12" x14ac:dyDescent="0.25">
      <c r="A47" t="s">
        <v>807</v>
      </c>
      <c r="B47" t="s">
        <v>10</v>
      </c>
      <c r="C47" t="s">
        <v>163</v>
      </c>
      <c r="D47" s="4" t="s">
        <v>491</v>
      </c>
      <c r="E47" s="4" t="s">
        <v>424</v>
      </c>
      <c r="F47" s="4" t="s">
        <v>2251</v>
      </c>
      <c r="G47" t="s">
        <v>1536</v>
      </c>
      <c r="H47" t="s">
        <v>220</v>
      </c>
      <c r="I47" s="3">
        <f t="shared" si="0"/>
        <v>7.8125E-2</v>
      </c>
      <c r="J47" s="3">
        <f>D47/(VLOOKUP(B47,'2024 Team'!$B$2:$G$33,2,FALSE))</f>
        <v>0.18962432915921287</v>
      </c>
      <c r="K47" t="s">
        <v>2254</v>
      </c>
      <c r="L47" t="s">
        <v>417</v>
      </c>
    </row>
    <row r="48" spans="1:12" x14ac:dyDescent="0.25">
      <c r="A48" t="s">
        <v>852</v>
      </c>
      <c r="B48" t="s">
        <v>22</v>
      </c>
      <c r="C48" s="1" t="s">
        <v>153</v>
      </c>
      <c r="D48" s="4" t="s">
        <v>1512</v>
      </c>
      <c r="E48" s="4" t="s">
        <v>424</v>
      </c>
      <c r="F48" s="4" t="s">
        <v>2255</v>
      </c>
      <c r="G48" t="s">
        <v>599</v>
      </c>
      <c r="H48" t="s">
        <v>220</v>
      </c>
      <c r="I48" s="3">
        <f t="shared" si="0"/>
        <v>7.8125E-2</v>
      </c>
      <c r="J48" s="3">
        <f>D48/(VLOOKUP(B48,'2024 Team'!$B$2:$G$33,2,FALSE))</f>
        <v>0.14674735249621784</v>
      </c>
      <c r="K48" t="s">
        <v>2256</v>
      </c>
      <c r="L48" t="s">
        <v>417</v>
      </c>
    </row>
    <row r="49" spans="1:12" x14ac:dyDescent="0.25">
      <c r="A49" t="s">
        <v>1038</v>
      </c>
      <c r="B49" t="s">
        <v>68</v>
      </c>
      <c r="C49" t="s">
        <v>163</v>
      </c>
      <c r="D49" s="4" t="s">
        <v>1121</v>
      </c>
      <c r="E49" s="4" t="s">
        <v>424</v>
      </c>
      <c r="F49" s="4" t="s">
        <v>1139</v>
      </c>
      <c r="G49" t="s">
        <v>1903</v>
      </c>
      <c r="H49" t="s">
        <v>229</v>
      </c>
      <c r="I49" s="3">
        <f t="shared" si="0"/>
        <v>6.25E-2</v>
      </c>
      <c r="J49" s="3">
        <f>D49/(VLOOKUP(B49,'2024 Team'!$B$2:$G$33,2,FALSE))</f>
        <v>0.22641509433962265</v>
      </c>
      <c r="K49" t="s">
        <v>1990</v>
      </c>
      <c r="L49" t="s">
        <v>300</v>
      </c>
    </row>
    <row r="50" spans="1:12" x14ac:dyDescent="0.25">
      <c r="A50" t="s">
        <v>697</v>
      </c>
      <c r="B50" t="s">
        <v>48</v>
      </c>
      <c r="C50" t="s">
        <v>163</v>
      </c>
      <c r="D50" s="4" t="s">
        <v>1114</v>
      </c>
      <c r="E50" s="4" t="s">
        <v>1094</v>
      </c>
      <c r="F50" s="4" t="s">
        <v>2257</v>
      </c>
      <c r="G50" t="s">
        <v>1304</v>
      </c>
      <c r="H50" t="s">
        <v>270</v>
      </c>
      <c r="I50" s="3">
        <f t="shared" si="0"/>
        <v>0.14285714285714285</v>
      </c>
      <c r="J50" s="3">
        <f>D50/(VLOOKUP(B50,'2024 Team'!$B$2:$G$33,2,FALSE))</f>
        <v>0.18065693430656934</v>
      </c>
      <c r="K50" t="s">
        <v>1295</v>
      </c>
      <c r="L50" t="s">
        <v>417</v>
      </c>
    </row>
    <row r="51" spans="1:12" x14ac:dyDescent="0.25">
      <c r="A51" t="s">
        <v>792</v>
      </c>
      <c r="B51" t="s">
        <v>8</v>
      </c>
      <c r="C51" s="1" t="s">
        <v>163</v>
      </c>
      <c r="D51" s="4" t="s">
        <v>1492</v>
      </c>
      <c r="E51" s="4" t="s">
        <v>573</v>
      </c>
      <c r="F51" s="4" t="s">
        <v>2258</v>
      </c>
      <c r="G51" t="s">
        <v>1225</v>
      </c>
      <c r="H51" t="s">
        <v>225</v>
      </c>
      <c r="I51" s="3">
        <f t="shared" si="0"/>
        <v>0.12903225806451613</v>
      </c>
      <c r="J51" s="3">
        <f>D51/(VLOOKUP(B51,'2024 Team'!$B$2:$G$33,2,FALSE))</f>
        <v>0.21362799263351751</v>
      </c>
      <c r="K51" t="s">
        <v>2259</v>
      </c>
      <c r="L51" t="s">
        <v>300</v>
      </c>
    </row>
    <row r="52" spans="1:12" x14ac:dyDescent="0.25">
      <c r="A52" t="s">
        <v>806</v>
      </c>
      <c r="B52" t="s">
        <v>10</v>
      </c>
      <c r="C52" t="s">
        <v>163</v>
      </c>
      <c r="D52" s="4" t="s">
        <v>598</v>
      </c>
      <c r="E52" s="4" t="s">
        <v>573</v>
      </c>
      <c r="F52" s="4" t="s">
        <v>2260</v>
      </c>
      <c r="G52" t="s">
        <v>1336</v>
      </c>
      <c r="H52" t="s">
        <v>300</v>
      </c>
      <c r="I52" s="3">
        <f t="shared" si="0"/>
        <v>1.6129032258064516E-2</v>
      </c>
      <c r="J52" s="3">
        <f>D52/(VLOOKUP(B52,'2024 Team'!$B$2:$G$33,2,FALSE))</f>
        <v>0.15563506261180679</v>
      </c>
      <c r="K52" t="s">
        <v>1911</v>
      </c>
      <c r="L52" t="s">
        <v>229</v>
      </c>
    </row>
    <row r="53" spans="1:12" x14ac:dyDescent="0.25">
      <c r="A53" t="s">
        <v>634</v>
      </c>
      <c r="B53" t="s">
        <v>22</v>
      </c>
      <c r="C53" t="s">
        <v>163</v>
      </c>
      <c r="D53" s="4" t="s">
        <v>1102</v>
      </c>
      <c r="E53" s="4" t="s">
        <v>529</v>
      </c>
      <c r="F53" s="4" t="s">
        <v>1279</v>
      </c>
      <c r="G53" t="s">
        <v>1192</v>
      </c>
      <c r="H53" t="s">
        <v>300</v>
      </c>
      <c r="I53" s="3">
        <f t="shared" si="0"/>
        <v>1.6393442622950821E-2</v>
      </c>
      <c r="J53" s="3">
        <f>D53/(VLOOKUP(B53,'2024 Team'!$B$2:$G$33,2,FALSE))</f>
        <v>0.15431164901664146</v>
      </c>
      <c r="K53" t="s">
        <v>1908</v>
      </c>
      <c r="L53" t="s">
        <v>417</v>
      </c>
    </row>
    <row r="54" spans="1:12" x14ac:dyDescent="0.25">
      <c r="A54" t="s">
        <v>213</v>
      </c>
      <c r="B54" t="s">
        <v>10</v>
      </c>
      <c r="C54" t="s">
        <v>159</v>
      </c>
      <c r="D54" s="4" t="s">
        <v>411</v>
      </c>
      <c r="E54" s="4" t="s">
        <v>529</v>
      </c>
      <c r="F54" s="4" t="s">
        <v>1996</v>
      </c>
      <c r="G54" t="s">
        <v>473</v>
      </c>
      <c r="H54" t="s">
        <v>300</v>
      </c>
      <c r="I54" s="3">
        <f t="shared" si="0"/>
        <v>1.6393442622950821E-2</v>
      </c>
      <c r="J54" s="3">
        <f>D54/(VLOOKUP(B54,'2024 Team'!$B$2:$G$33,2,FALSE))</f>
        <v>0.12880143112701253</v>
      </c>
      <c r="K54" t="s">
        <v>2261</v>
      </c>
      <c r="L54" t="s">
        <v>300</v>
      </c>
    </row>
    <row r="55" spans="1:12" x14ac:dyDescent="0.25">
      <c r="A55" t="s">
        <v>873</v>
      </c>
      <c r="B55" t="s">
        <v>28</v>
      </c>
      <c r="C55" t="s">
        <v>153</v>
      </c>
      <c r="D55" s="4" t="s">
        <v>381</v>
      </c>
      <c r="E55" s="4" t="s">
        <v>477</v>
      </c>
      <c r="F55" s="4" t="s">
        <v>2262</v>
      </c>
      <c r="G55" t="s">
        <v>1350</v>
      </c>
      <c r="H55" t="s">
        <v>207</v>
      </c>
      <c r="I55" s="3">
        <f t="shared" si="0"/>
        <v>0.11666666666666667</v>
      </c>
      <c r="J55" s="3">
        <f>D55/(VLOOKUP(B55,'2024 Team'!$B$2:$G$33,2,FALSE))</f>
        <v>0.15063520871143377</v>
      </c>
      <c r="K55" t="s">
        <v>1898</v>
      </c>
      <c r="L55" t="s">
        <v>417</v>
      </c>
    </row>
    <row r="56" spans="1:12" x14ac:dyDescent="0.25">
      <c r="A56" t="s">
        <v>784</v>
      </c>
      <c r="B56" t="s">
        <v>24</v>
      </c>
      <c r="C56" s="1" t="s">
        <v>153</v>
      </c>
      <c r="D56" s="4" t="s">
        <v>371</v>
      </c>
      <c r="E56" s="4" t="s">
        <v>398</v>
      </c>
      <c r="F56" s="4" t="s">
        <v>2263</v>
      </c>
      <c r="G56" t="s">
        <v>1257</v>
      </c>
      <c r="H56" t="s">
        <v>417</v>
      </c>
      <c r="I56" s="3">
        <f t="shared" si="0"/>
        <v>0</v>
      </c>
      <c r="J56" s="3">
        <f>D56/(VLOOKUP(B56,'2024 Team'!$B$2:$G$33,2,FALSE))</f>
        <v>0.13500784929356358</v>
      </c>
      <c r="K56" t="s">
        <v>1193</v>
      </c>
      <c r="L56" t="s">
        <v>229</v>
      </c>
    </row>
    <row r="57" spans="1:12" x14ac:dyDescent="0.25">
      <c r="A57" t="s">
        <v>1027</v>
      </c>
      <c r="B57" t="s">
        <v>66</v>
      </c>
      <c r="C57" t="s">
        <v>153</v>
      </c>
      <c r="D57" s="4" t="s">
        <v>598</v>
      </c>
      <c r="E57" s="4" t="s">
        <v>398</v>
      </c>
      <c r="F57" s="4" t="s">
        <v>1197</v>
      </c>
      <c r="G57" t="s">
        <v>1148</v>
      </c>
      <c r="H57" t="s">
        <v>229</v>
      </c>
      <c r="I57" s="3">
        <f t="shared" si="0"/>
        <v>6.7796610169491525E-2</v>
      </c>
      <c r="J57" s="3">
        <f>D57/(VLOOKUP(B57,'2024 Team'!$B$2:$G$33,2,FALSE))</f>
        <v>0.15236427320490367</v>
      </c>
      <c r="K57" t="s">
        <v>2264</v>
      </c>
      <c r="L57" t="s">
        <v>289</v>
      </c>
    </row>
    <row r="58" spans="1:12" x14ac:dyDescent="0.25">
      <c r="A58" t="s">
        <v>859</v>
      </c>
      <c r="B58" t="s">
        <v>60</v>
      </c>
      <c r="C58" t="s">
        <v>163</v>
      </c>
      <c r="D58" s="4" t="s">
        <v>363</v>
      </c>
      <c r="E58" s="4" t="s">
        <v>398</v>
      </c>
      <c r="F58" s="4" t="s">
        <v>2265</v>
      </c>
      <c r="G58" t="s">
        <v>1263</v>
      </c>
      <c r="H58" t="s">
        <v>314</v>
      </c>
      <c r="I58" s="3">
        <f t="shared" si="0"/>
        <v>5.0847457627118647E-2</v>
      </c>
      <c r="J58" s="3">
        <f>D58/(VLOOKUP(B58,'2024 Team'!$B$2:$G$33,2,FALSE))</f>
        <v>0.20641282565130262</v>
      </c>
      <c r="K58" t="s">
        <v>2266</v>
      </c>
      <c r="L58" t="s">
        <v>300</v>
      </c>
    </row>
    <row r="59" spans="1:12" x14ac:dyDescent="0.25">
      <c r="A59" t="s">
        <v>597</v>
      </c>
      <c r="B59" t="s">
        <v>38</v>
      </c>
      <c r="C59" t="s">
        <v>163</v>
      </c>
      <c r="D59" s="4" t="s">
        <v>1223</v>
      </c>
      <c r="E59" s="4" t="s">
        <v>398</v>
      </c>
      <c r="F59" s="4" t="s">
        <v>2267</v>
      </c>
      <c r="G59" t="s">
        <v>1130</v>
      </c>
      <c r="H59" t="s">
        <v>247</v>
      </c>
      <c r="I59" s="3">
        <f t="shared" si="0"/>
        <v>0.10169491525423729</v>
      </c>
      <c r="J59" s="3">
        <f>D59/(VLOOKUP(B59,'2024 Team'!$B$2:$G$33,2,FALSE))</f>
        <v>0.16333333333333333</v>
      </c>
      <c r="K59" t="s">
        <v>1226</v>
      </c>
      <c r="L59" t="s">
        <v>417</v>
      </c>
    </row>
    <row r="60" spans="1:12" x14ac:dyDescent="0.25">
      <c r="A60" t="s">
        <v>175</v>
      </c>
      <c r="B60" t="s">
        <v>46</v>
      </c>
      <c r="C60" t="s">
        <v>163</v>
      </c>
      <c r="D60" s="4" t="s">
        <v>381</v>
      </c>
      <c r="E60" s="4" t="s">
        <v>413</v>
      </c>
      <c r="F60" s="4" t="s">
        <v>2243</v>
      </c>
      <c r="G60" t="s">
        <v>1178</v>
      </c>
      <c r="H60" t="s">
        <v>289</v>
      </c>
      <c r="I60" s="3">
        <f t="shared" si="0"/>
        <v>3.4482758620689655E-2</v>
      </c>
      <c r="J60" s="3">
        <f>D60/(VLOOKUP(B60,'2024 Team'!$B$2:$G$33,2,FALSE))</f>
        <v>0.14043993231810489</v>
      </c>
      <c r="K60" t="s">
        <v>1875</v>
      </c>
      <c r="L60" t="s">
        <v>417</v>
      </c>
    </row>
    <row r="61" spans="1:12" x14ac:dyDescent="0.25">
      <c r="A61" t="s">
        <v>642</v>
      </c>
      <c r="B61" t="s">
        <v>28</v>
      </c>
      <c r="C61" t="s">
        <v>163</v>
      </c>
      <c r="D61" s="4" t="s">
        <v>1202</v>
      </c>
      <c r="E61" s="4" t="s">
        <v>413</v>
      </c>
      <c r="F61" s="4" t="s">
        <v>2268</v>
      </c>
      <c r="G61" t="s">
        <v>1540</v>
      </c>
      <c r="H61" t="s">
        <v>207</v>
      </c>
      <c r="I61" s="3">
        <f t="shared" si="0"/>
        <v>0.1206896551724138</v>
      </c>
      <c r="J61" s="3">
        <f>D61/(VLOOKUP(B61,'2024 Team'!$B$2:$G$33,2,FALSE))</f>
        <v>0.16515426497277677</v>
      </c>
      <c r="K61" t="s">
        <v>1174</v>
      </c>
      <c r="L61" t="s">
        <v>417</v>
      </c>
    </row>
    <row r="62" spans="1:12" x14ac:dyDescent="0.25">
      <c r="A62" t="s">
        <v>178</v>
      </c>
      <c r="B62" t="s">
        <v>56</v>
      </c>
      <c r="C62" t="s">
        <v>159</v>
      </c>
      <c r="D62" s="4" t="s">
        <v>533</v>
      </c>
      <c r="E62" s="4" t="s">
        <v>436</v>
      </c>
      <c r="F62" s="4" t="s">
        <v>1301</v>
      </c>
      <c r="G62" t="s">
        <v>717</v>
      </c>
      <c r="H62" t="s">
        <v>314</v>
      </c>
      <c r="I62" s="3">
        <f t="shared" si="0"/>
        <v>5.2631578947368418E-2</v>
      </c>
      <c r="J62" s="3">
        <f>D62/(VLOOKUP(B62,'2024 Team'!$B$2:$G$33,2,FALSE))</f>
        <v>0.12520593080724876</v>
      </c>
      <c r="K62" t="s">
        <v>1321</v>
      </c>
      <c r="L62" t="s">
        <v>247</v>
      </c>
    </row>
    <row r="63" spans="1:12" x14ac:dyDescent="0.25">
      <c r="A63" t="s">
        <v>813</v>
      </c>
      <c r="B63" t="s">
        <v>68</v>
      </c>
      <c r="C63" t="s">
        <v>163</v>
      </c>
      <c r="D63" s="4" t="s">
        <v>528</v>
      </c>
      <c r="E63" s="4" t="s">
        <v>557</v>
      </c>
      <c r="F63" s="4" t="s">
        <v>298</v>
      </c>
      <c r="G63" t="s">
        <v>1181</v>
      </c>
      <c r="H63" t="s">
        <v>300</v>
      </c>
      <c r="I63" s="3">
        <f t="shared" si="0"/>
        <v>6.6666666666666666E-2</v>
      </c>
      <c r="J63" s="3">
        <f>D63/(VLOOKUP(B63,'2024 Team'!$B$2:$G$33,2,FALSE))</f>
        <v>3.962264150943396E-2</v>
      </c>
      <c r="K63" t="s">
        <v>1363</v>
      </c>
      <c r="L63" t="s">
        <v>300</v>
      </c>
    </row>
    <row r="64" spans="1:12" x14ac:dyDescent="0.25">
      <c r="A64" t="s">
        <v>813</v>
      </c>
      <c r="B64" t="s">
        <v>38</v>
      </c>
      <c r="C64" t="s">
        <v>163</v>
      </c>
      <c r="D64" s="4" t="s">
        <v>398</v>
      </c>
      <c r="E64" s="4" t="s">
        <v>454</v>
      </c>
      <c r="F64" s="4" t="s">
        <v>347</v>
      </c>
      <c r="G64" t="s">
        <v>1331</v>
      </c>
      <c r="H64" t="s">
        <v>229</v>
      </c>
      <c r="I64" s="3">
        <f t="shared" ref="I64:I126" si="1">H64/E64</f>
        <v>9.7560975609756101E-2</v>
      </c>
      <c r="J64" s="3">
        <f>D64/(VLOOKUP(B64,'2024 Team'!$B$2:$G$33,2,FALSE))</f>
        <v>9.8333333333333328E-2</v>
      </c>
      <c r="K64" t="s">
        <v>2269</v>
      </c>
      <c r="L64" t="s">
        <v>417</v>
      </c>
    </row>
    <row r="65" spans="1:12" x14ac:dyDescent="0.25">
      <c r="A65" t="s">
        <v>571</v>
      </c>
      <c r="B65" t="s">
        <v>12</v>
      </c>
      <c r="C65" t="s">
        <v>153</v>
      </c>
      <c r="D65" s="4" t="s">
        <v>497</v>
      </c>
      <c r="E65" s="4" t="s">
        <v>433</v>
      </c>
      <c r="F65" s="4" t="s">
        <v>1920</v>
      </c>
      <c r="G65" t="s">
        <v>1169</v>
      </c>
      <c r="H65" t="s">
        <v>266</v>
      </c>
      <c r="I65" s="3">
        <f t="shared" si="1"/>
        <v>0.2</v>
      </c>
      <c r="J65" s="3">
        <f>D65/(VLOOKUP(B65,'2024 Team'!$B$2:$G$33,2,FALSE))</f>
        <v>0.14465408805031446</v>
      </c>
      <c r="K65" t="s">
        <v>1873</v>
      </c>
      <c r="L65" t="s">
        <v>417</v>
      </c>
    </row>
    <row r="66" spans="1:12" x14ac:dyDescent="0.25">
      <c r="A66" t="s">
        <v>715</v>
      </c>
      <c r="B66" t="s">
        <v>42</v>
      </c>
      <c r="C66" t="s">
        <v>163</v>
      </c>
      <c r="D66" s="4" t="s">
        <v>1202</v>
      </c>
      <c r="E66" s="4" t="s">
        <v>433</v>
      </c>
      <c r="F66" s="4" t="s">
        <v>2270</v>
      </c>
      <c r="G66" t="s">
        <v>1090</v>
      </c>
      <c r="H66" t="s">
        <v>225</v>
      </c>
      <c r="I66" s="3">
        <f t="shared" si="1"/>
        <v>0.14545454545454545</v>
      </c>
      <c r="J66" s="3">
        <f>D66/(VLOOKUP(B66,'2024 Team'!$B$2:$G$33,2,FALSE))</f>
        <v>0.17843137254901961</v>
      </c>
      <c r="K66" t="s">
        <v>2254</v>
      </c>
      <c r="L66" t="s">
        <v>417</v>
      </c>
    </row>
    <row r="67" spans="1:12" x14ac:dyDescent="0.25">
      <c r="A67" t="s">
        <v>675</v>
      </c>
      <c r="B67" t="s">
        <v>30</v>
      </c>
      <c r="C67" t="s">
        <v>163</v>
      </c>
      <c r="D67" s="4" t="s">
        <v>536</v>
      </c>
      <c r="E67" s="4" t="s">
        <v>433</v>
      </c>
      <c r="F67" s="4" t="s">
        <v>2271</v>
      </c>
      <c r="G67" t="s">
        <v>1979</v>
      </c>
      <c r="H67" t="s">
        <v>247</v>
      </c>
      <c r="I67" s="3">
        <f t="shared" si="1"/>
        <v>0.10909090909090909</v>
      </c>
      <c r="J67" s="3">
        <f>D67/(VLOOKUP(B67,'2024 Team'!$B$2:$G$33,2,FALSE))</f>
        <v>0.15657620041753653</v>
      </c>
      <c r="K67" t="s">
        <v>1396</v>
      </c>
      <c r="L67" t="s">
        <v>314</v>
      </c>
    </row>
    <row r="68" spans="1:12" x14ac:dyDescent="0.25">
      <c r="A68" t="s">
        <v>280</v>
      </c>
      <c r="B68" t="s">
        <v>20</v>
      </c>
      <c r="C68" t="s">
        <v>159</v>
      </c>
      <c r="D68" s="4" t="s">
        <v>422</v>
      </c>
      <c r="E68" s="4" t="s">
        <v>429</v>
      </c>
      <c r="F68" s="4" t="s">
        <v>1349</v>
      </c>
      <c r="G68" t="s">
        <v>608</v>
      </c>
      <c r="H68" t="s">
        <v>229</v>
      </c>
      <c r="I68" s="3">
        <f t="shared" si="1"/>
        <v>7.407407407407407E-2</v>
      </c>
      <c r="J68" s="3">
        <f>D68/(VLOOKUP(B68,'2024 Team'!$B$2:$G$33,2,FALSE))</f>
        <v>9.9693251533742325E-2</v>
      </c>
      <c r="K68" t="s">
        <v>2272</v>
      </c>
      <c r="L68" t="s">
        <v>289</v>
      </c>
    </row>
    <row r="69" spans="1:12" x14ac:dyDescent="0.25">
      <c r="A69" t="s">
        <v>838</v>
      </c>
      <c r="B69" t="s">
        <v>18</v>
      </c>
      <c r="C69" t="s">
        <v>163</v>
      </c>
      <c r="D69" s="4" t="s">
        <v>369</v>
      </c>
      <c r="E69" s="4" t="s">
        <v>429</v>
      </c>
      <c r="F69" s="4" t="s">
        <v>2273</v>
      </c>
      <c r="G69" t="s">
        <v>1228</v>
      </c>
      <c r="H69" t="s">
        <v>314</v>
      </c>
      <c r="I69" s="3">
        <f t="shared" si="1"/>
        <v>5.5555555555555552E-2</v>
      </c>
      <c r="J69" s="3">
        <f>D69/(VLOOKUP(B69,'2024 Team'!$B$2:$G$33,2,FALSE))</f>
        <v>0.17844522968197879</v>
      </c>
      <c r="K69" t="s">
        <v>2274</v>
      </c>
      <c r="L69" t="s">
        <v>289</v>
      </c>
    </row>
    <row r="70" spans="1:12" x14ac:dyDescent="0.25">
      <c r="A70" t="s">
        <v>889</v>
      </c>
      <c r="B70" t="s">
        <v>32</v>
      </c>
      <c r="C70" t="s">
        <v>153</v>
      </c>
      <c r="D70" s="4" t="s">
        <v>548</v>
      </c>
      <c r="E70" s="4" t="s">
        <v>446</v>
      </c>
      <c r="F70" s="4" t="s">
        <v>1267</v>
      </c>
      <c r="G70" t="s">
        <v>662</v>
      </c>
      <c r="H70" t="s">
        <v>289</v>
      </c>
      <c r="I70" s="3">
        <f t="shared" si="1"/>
        <v>3.7735849056603772E-2</v>
      </c>
      <c r="J70" s="3">
        <f>D70/(VLOOKUP(B70,'2024 Team'!$B$2:$G$33,2,FALSE))</f>
        <v>0.14912280701754385</v>
      </c>
      <c r="K70" t="s">
        <v>2275</v>
      </c>
      <c r="L70" t="s">
        <v>417</v>
      </c>
    </row>
    <row r="71" spans="1:12" x14ac:dyDescent="0.25">
      <c r="A71" t="s">
        <v>256</v>
      </c>
      <c r="B71" t="s">
        <v>28</v>
      </c>
      <c r="C71" t="s">
        <v>159</v>
      </c>
      <c r="D71" s="4" t="s">
        <v>1094</v>
      </c>
      <c r="E71" s="4" t="s">
        <v>441</v>
      </c>
      <c r="F71" s="4" t="s">
        <v>2276</v>
      </c>
      <c r="G71" t="s">
        <v>1195</v>
      </c>
      <c r="H71" t="s">
        <v>229</v>
      </c>
      <c r="I71" s="3">
        <f t="shared" si="1"/>
        <v>7.6923076923076927E-2</v>
      </c>
      <c r="J71" s="3">
        <f>D71/(VLOOKUP(B71,'2024 Team'!$B$2:$G$33,2,FALSE))</f>
        <v>0.11433756805807622</v>
      </c>
      <c r="K71" t="s">
        <v>1386</v>
      </c>
      <c r="L71" t="s">
        <v>300</v>
      </c>
    </row>
    <row r="72" spans="1:12" x14ac:dyDescent="0.25">
      <c r="A72" t="s">
        <v>1034</v>
      </c>
      <c r="B72" t="s">
        <v>68</v>
      </c>
      <c r="C72" t="s">
        <v>153</v>
      </c>
      <c r="D72" s="4" t="s">
        <v>383</v>
      </c>
      <c r="E72" s="4" t="s">
        <v>441</v>
      </c>
      <c r="F72" s="4" t="s">
        <v>2277</v>
      </c>
      <c r="G72" t="s">
        <v>1273</v>
      </c>
      <c r="H72" t="s">
        <v>289</v>
      </c>
      <c r="I72" s="3">
        <f t="shared" si="1"/>
        <v>3.8461538461538464E-2</v>
      </c>
      <c r="J72" s="3">
        <f>D72/(VLOOKUP(B72,'2024 Team'!$B$2:$G$33,2,FALSE))</f>
        <v>0.13207547169811321</v>
      </c>
      <c r="K72" t="s">
        <v>1442</v>
      </c>
      <c r="L72" t="s">
        <v>289</v>
      </c>
    </row>
    <row r="73" spans="1:12" x14ac:dyDescent="0.25">
      <c r="A73" t="s">
        <v>263</v>
      </c>
      <c r="B73" t="s">
        <v>26</v>
      </c>
      <c r="C73" t="s">
        <v>159</v>
      </c>
      <c r="D73" s="4" t="s">
        <v>383</v>
      </c>
      <c r="E73" s="4" t="s">
        <v>441</v>
      </c>
      <c r="F73" s="4" t="s">
        <v>1238</v>
      </c>
      <c r="G73" t="s">
        <v>608</v>
      </c>
      <c r="H73" t="s">
        <v>417</v>
      </c>
      <c r="I73" s="3">
        <f t="shared" si="1"/>
        <v>0</v>
      </c>
      <c r="J73" s="3">
        <f>D73/(VLOOKUP(B73,'2024 Team'!$B$2:$G$33,2,FALSE))</f>
        <v>0.12280701754385964</v>
      </c>
      <c r="K73" t="s">
        <v>1442</v>
      </c>
      <c r="L73" t="s">
        <v>289</v>
      </c>
    </row>
    <row r="74" spans="1:12" x14ac:dyDescent="0.25">
      <c r="A74" t="s">
        <v>766</v>
      </c>
      <c r="B74" t="s">
        <v>56</v>
      </c>
      <c r="C74" t="s">
        <v>153</v>
      </c>
      <c r="D74" s="4" t="s">
        <v>411</v>
      </c>
      <c r="E74" s="4" t="s">
        <v>582</v>
      </c>
      <c r="F74" s="4" t="s">
        <v>2278</v>
      </c>
      <c r="G74" t="s">
        <v>1192</v>
      </c>
      <c r="H74" t="s">
        <v>229</v>
      </c>
      <c r="I74" s="3">
        <f t="shared" si="1"/>
        <v>7.8431372549019607E-2</v>
      </c>
      <c r="J74" s="3">
        <f>D74/(VLOOKUP(B74,'2024 Team'!$B$2:$G$33,2,FALSE))</f>
        <v>0.1186161449752883</v>
      </c>
      <c r="K74" t="s">
        <v>1251</v>
      </c>
      <c r="L74" t="s">
        <v>417</v>
      </c>
    </row>
    <row r="75" spans="1:12" x14ac:dyDescent="0.25">
      <c r="A75" t="s">
        <v>1584</v>
      </c>
      <c r="B75" t="s">
        <v>32</v>
      </c>
      <c r="C75" t="s">
        <v>163</v>
      </c>
      <c r="D75" s="4" t="s">
        <v>698</v>
      </c>
      <c r="E75" s="4" t="s">
        <v>582</v>
      </c>
      <c r="F75" s="4" t="s">
        <v>1931</v>
      </c>
      <c r="G75" t="s">
        <v>1100</v>
      </c>
      <c r="H75" t="s">
        <v>314</v>
      </c>
      <c r="I75" s="3">
        <f t="shared" si="1"/>
        <v>5.8823529411764705E-2</v>
      </c>
      <c r="J75" s="3">
        <f>D75/(VLOOKUP(B75,'2024 Team'!$B$2:$G$33,2,FALSE))</f>
        <v>0.14210526315789473</v>
      </c>
      <c r="K75" t="s">
        <v>1891</v>
      </c>
      <c r="L75" t="s">
        <v>417</v>
      </c>
    </row>
    <row r="76" spans="1:12" x14ac:dyDescent="0.25">
      <c r="A76" t="s">
        <v>308</v>
      </c>
      <c r="B76" t="s">
        <v>48</v>
      </c>
      <c r="C76" t="s">
        <v>159</v>
      </c>
      <c r="D76" s="4" t="s">
        <v>573</v>
      </c>
      <c r="E76" s="4" t="s">
        <v>582</v>
      </c>
      <c r="F76" s="4" t="s">
        <v>1338</v>
      </c>
      <c r="G76" t="s">
        <v>531</v>
      </c>
      <c r="H76" t="s">
        <v>289</v>
      </c>
      <c r="I76" s="3">
        <f t="shared" si="1"/>
        <v>3.9215686274509803E-2</v>
      </c>
      <c r="J76" s="3">
        <f>D76/(VLOOKUP(B76,'2024 Team'!$B$2:$G$33,2,FALSE))</f>
        <v>0.11313868613138686</v>
      </c>
      <c r="K76" t="s">
        <v>2279</v>
      </c>
      <c r="L76" t="s">
        <v>220</v>
      </c>
    </row>
    <row r="77" spans="1:12" x14ac:dyDescent="0.25">
      <c r="A77" t="s">
        <v>534</v>
      </c>
      <c r="B77" t="s">
        <v>62</v>
      </c>
      <c r="C77" t="s">
        <v>163</v>
      </c>
      <c r="D77" s="4" t="s">
        <v>698</v>
      </c>
      <c r="E77" s="4" t="s">
        <v>582</v>
      </c>
      <c r="F77" s="4" t="s">
        <v>2280</v>
      </c>
      <c r="G77" t="s">
        <v>1100</v>
      </c>
      <c r="H77" t="s">
        <v>314</v>
      </c>
      <c r="I77" s="3">
        <f t="shared" si="1"/>
        <v>5.8823529411764705E-2</v>
      </c>
      <c r="J77" s="3">
        <f>D77/(VLOOKUP(B77,'2024 Team'!$B$2:$G$33,2,FALSE))</f>
        <v>0.15196998123827393</v>
      </c>
      <c r="K77" t="s">
        <v>1891</v>
      </c>
      <c r="L77" t="s">
        <v>289</v>
      </c>
    </row>
    <row r="78" spans="1:12" x14ac:dyDescent="0.25">
      <c r="A78" t="s">
        <v>341</v>
      </c>
      <c r="B78" t="s">
        <v>66</v>
      </c>
      <c r="C78" t="s">
        <v>159</v>
      </c>
      <c r="D78" s="4" t="s">
        <v>436</v>
      </c>
      <c r="E78" s="4" t="s">
        <v>582</v>
      </c>
      <c r="F78" s="4" t="s">
        <v>2281</v>
      </c>
      <c r="G78" t="s">
        <v>1489</v>
      </c>
      <c r="H78" t="s">
        <v>247</v>
      </c>
      <c r="I78" s="3">
        <f t="shared" si="1"/>
        <v>0.11764705882352941</v>
      </c>
      <c r="J78" s="3">
        <f>D78/(VLOOKUP(B78,'2024 Team'!$B$2:$G$33,2,FALSE))</f>
        <v>9.982486865148861E-2</v>
      </c>
      <c r="K78" t="s">
        <v>1506</v>
      </c>
      <c r="L78" t="s">
        <v>314</v>
      </c>
    </row>
    <row r="79" spans="1:12" x14ac:dyDescent="0.25">
      <c r="A79" t="s">
        <v>917</v>
      </c>
      <c r="B79" t="s">
        <v>42</v>
      </c>
      <c r="C79" t="s">
        <v>153</v>
      </c>
      <c r="D79" s="4" t="s">
        <v>424</v>
      </c>
      <c r="E79" s="4" t="s">
        <v>427</v>
      </c>
      <c r="F79" s="4" t="s">
        <v>2282</v>
      </c>
      <c r="G79" t="s">
        <v>1112</v>
      </c>
      <c r="H79" t="s">
        <v>289</v>
      </c>
      <c r="I79" s="3">
        <f t="shared" si="1"/>
        <v>0.04</v>
      </c>
      <c r="J79" s="3">
        <f>D79/(VLOOKUP(B79,'2024 Team'!$B$2:$G$33,2,FALSE))</f>
        <v>0.12549019607843137</v>
      </c>
      <c r="K79" t="s">
        <v>2031</v>
      </c>
      <c r="L79" t="s">
        <v>417</v>
      </c>
    </row>
    <row r="80" spans="1:12" x14ac:dyDescent="0.25">
      <c r="A80" t="s">
        <v>1025</v>
      </c>
      <c r="B80" t="s">
        <v>66</v>
      </c>
      <c r="C80" t="s">
        <v>163</v>
      </c>
      <c r="D80" s="4" t="s">
        <v>573</v>
      </c>
      <c r="E80" s="4" t="s">
        <v>427</v>
      </c>
      <c r="F80" s="4" t="s">
        <v>2283</v>
      </c>
      <c r="G80" t="s">
        <v>1181</v>
      </c>
      <c r="H80" t="s">
        <v>220</v>
      </c>
      <c r="I80" s="3">
        <f t="shared" si="1"/>
        <v>0.1</v>
      </c>
      <c r="J80" s="3">
        <f>D80/(VLOOKUP(B80,'2024 Team'!$B$2:$G$33,2,FALSE))</f>
        <v>0.10858143607705779</v>
      </c>
      <c r="K80" t="s">
        <v>1415</v>
      </c>
      <c r="L80" t="s">
        <v>300</v>
      </c>
    </row>
    <row r="81" spans="1:12" x14ac:dyDescent="0.25">
      <c r="A81" t="s">
        <v>956</v>
      </c>
      <c r="B81" t="s">
        <v>52</v>
      </c>
      <c r="C81" t="s">
        <v>153</v>
      </c>
      <c r="D81" s="4" t="s">
        <v>1160</v>
      </c>
      <c r="E81" s="4" t="s">
        <v>427</v>
      </c>
      <c r="F81" s="4" t="s">
        <v>310</v>
      </c>
      <c r="G81" t="s">
        <v>779</v>
      </c>
      <c r="H81" t="s">
        <v>314</v>
      </c>
      <c r="I81" s="3">
        <f t="shared" si="1"/>
        <v>0.06</v>
      </c>
      <c r="J81" s="3">
        <f>D81/(VLOOKUP(B81,'2024 Team'!$B$2:$G$33,2,FALSE))</f>
        <v>0.11978221415607986</v>
      </c>
      <c r="K81" t="s">
        <v>1145</v>
      </c>
      <c r="L81" t="s">
        <v>289</v>
      </c>
    </row>
    <row r="82" spans="1:12" x14ac:dyDescent="0.25">
      <c r="A82" t="s">
        <v>738</v>
      </c>
      <c r="B82" t="s">
        <v>30</v>
      </c>
      <c r="C82" t="s">
        <v>153</v>
      </c>
      <c r="D82" s="4" t="s">
        <v>383</v>
      </c>
      <c r="E82" s="4" t="s">
        <v>427</v>
      </c>
      <c r="F82" s="4" t="s">
        <v>1203</v>
      </c>
      <c r="G82" t="s">
        <v>1071</v>
      </c>
      <c r="H82" t="s">
        <v>207</v>
      </c>
      <c r="I82" s="3">
        <f t="shared" si="1"/>
        <v>0.14000000000000001</v>
      </c>
      <c r="J82" s="3">
        <f>D82/(VLOOKUP(B82,'2024 Team'!$B$2:$G$33,2,FALSE))</f>
        <v>0.14613778705636743</v>
      </c>
      <c r="K82" t="s">
        <v>1363</v>
      </c>
      <c r="L82" t="s">
        <v>300</v>
      </c>
    </row>
    <row r="83" spans="1:12" x14ac:dyDescent="0.25">
      <c r="A83" t="s">
        <v>750</v>
      </c>
      <c r="B83" t="s">
        <v>16</v>
      </c>
      <c r="C83" t="s">
        <v>163</v>
      </c>
      <c r="D83" s="4" t="s">
        <v>405</v>
      </c>
      <c r="E83" s="4" t="s">
        <v>554</v>
      </c>
      <c r="F83" s="4" t="s">
        <v>2284</v>
      </c>
      <c r="G83" t="s">
        <v>1116</v>
      </c>
      <c r="H83" t="s">
        <v>229</v>
      </c>
      <c r="I83" s="3">
        <f t="shared" si="1"/>
        <v>8.1632653061224483E-2</v>
      </c>
      <c r="J83" s="3">
        <f>D83/(VLOOKUP(B83,'2024 Team'!$B$2:$G$33,2,FALSE))</f>
        <v>0.15356489945155394</v>
      </c>
      <c r="K83" t="s">
        <v>2063</v>
      </c>
      <c r="L83" t="s">
        <v>417</v>
      </c>
    </row>
    <row r="84" spans="1:12" x14ac:dyDescent="0.25">
      <c r="A84" t="s">
        <v>935</v>
      </c>
      <c r="B84" t="s">
        <v>64</v>
      </c>
      <c r="C84" t="s">
        <v>163</v>
      </c>
      <c r="D84" s="4" t="s">
        <v>1138</v>
      </c>
      <c r="E84" s="4" t="s">
        <v>554</v>
      </c>
      <c r="F84" s="4" t="s">
        <v>1197</v>
      </c>
      <c r="G84" t="s">
        <v>1169</v>
      </c>
      <c r="H84" t="s">
        <v>289</v>
      </c>
      <c r="I84" s="3">
        <f t="shared" si="1"/>
        <v>4.0816326530612242E-2</v>
      </c>
      <c r="J84" s="3">
        <f>D84/(VLOOKUP(B84,'2024 Team'!$B$2:$G$33,2,FALSE))</f>
        <v>0.12478920741989882</v>
      </c>
      <c r="K84" t="s">
        <v>1266</v>
      </c>
      <c r="L84" t="s">
        <v>417</v>
      </c>
    </row>
    <row r="85" spans="1:12" x14ac:dyDescent="0.25">
      <c r="A85" t="s">
        <v>862</v>
      </c>
      <c r="B85" t="s">
        <v>24</v>
      </c>
      <c r="C85" t="s">
        <v>163</v>
      </c>
      <c r="D85" s="4" t="s">
        <v>562</v>
      </c>
      <c r="E85" s="4" t="s">
        <v>554</v>
      </c>
      <c r="F85" s="4" t="s">
        <v>1200</v>
      </c>
      <c r="G85" t="s">
        <v>1360</v>
      </c>
      <c r="H85" t="s">
        <v>207</v>
      </c>
      <c r="I85" s="3">
        <f t="shared" si="1"/>
        <v>0.14285714285714285</v>
      </c>
      <c r="J85" s="3">
        <f>D85/(VLOOKUP(B85,'2024 Team'!$B$2:$G$33,2,FALSE))</f>
        <v>0.12401883830455258</v>
      </c>
      <c r="K85" t="s">
        <v>1170</v>
      </c>
      <c r="L85" t="s">
        <v>417</v>
      </c>
    </row>
    <row r="86" spans="1:12" x14ac:dyDescent="0.25">
      <c r="A86" t="s">
        <v>841</v>
      </c>
      <c r="B86" t="s">
        <v>64</v>
      </c>
      <c r="C86" t="s">
        <v>153</v>
      </c>
      <c r="D86" s="4" t="s">
        <v>424</v>
      </c>
      <c r="E86" s="4" t="s">
        <v>450</v>
      </c>
      <c r="F86" s="4" t="s">
        <v>338</v>
      </c>
      <c r="G86" t="s">
        <v>1156</v>
      </c>
      <c r="H86" t="s">
        <v>300</v>
      </c>
      <c r="I86" s="3">
        <f t="shared" si="1"/>
        <v>2.0833333333333332E-2</v>
      </c>
      <c r="J86" s="3">
        <f>D86/(VLOOKUP(B86,'2024 Team'!$B$2:$G$33,2,FALSE))</f>
        <v>0.10792580101180438</v>
      </c>
      <c r="K86" t="s">
        <v>1321</v>
      </c>
      <c r="L86" t="s">
        <v>417</v>
      </c>
    </row>
    <row r="87" spans="1:12" x14ac:dyDescent="0.25">
      <c r="A87" t="s">
        <v>952</v>
      </c>
      <c r="B87" t="s">
        <v>16</v>
      </c>
      <c r="C87" t="s">
        <v>163</v>
      </c>
      <c r="D87" s="4" t="s">
        <v>573</v>
      </c>
      <c r="E87" s="4" t="s">
        <v>450</v>
      </c>
      <c r="F87" s="4" t="s">
        <v>2285</v>
      </c>
      <c r="G87" t="s">
        <v>1178</v>
      </c>
      <c r="H87" t="s">
        <v>220</v>
      </c>
      <c r="I87" s="3">
        <f t="shared" si="1"/>
        <v>0.10416666666666667</v>
      </c>
      <c r="J87" s="3">
        <f>D87/(VLOOKUP(B87,'2024 Team'!$B$2:$G$33,2,FALSE))</f>
        <v>0.11334552102376599</v>
      </c>
      <c r="K87" t="s">
        <v>1166</v>
      </c>
      <c r="L87" t="s">
        <v>417</v>
      </c>
    </row>
    <row r="88" spans="1:12" x14ac:dyDescent="0.25">
      <c r="A88" t="s">
        <v>501</v>
      </c>
      <c r="B88" t="s">
        <v>8</v>
      </c>
      <c r="C88" t="s">
        <v>159</v>
      </c>
      <c r="D88" s="4" t="s">
        <v>433</v>
      </c>
      <c r="E88" s="4" t="s">
        <v>438</v>
      </c>
      <c r="F88" s="4" t="s">
        <v>2013</v>
      </c>
      <c r="G88" t="s">
        <v>1192</v>
      </c>
      <c r="H88" t="s">
        <v>300</v>
      </c>
      <c r="I88" s="3">
        <f t="shared" si="1"/>
        <v>2.1276595744680851E-2</v>
      </c>
      <c r="J88" s="3">
        <f>D88/(VLOOKUP(B88,'2024 Team'!$B$2:$G$33,2,FALSE))</f>
        <v>0.10128913443830571</v>
      </c>
      <c r="K88" t="s">
        <v>2286</v>
      </c>
      <c r="L88" t="s">
        <v>229</v>
      </c>
    </row>
    <row r="89" spans="1:12" x14ac:dyDescent="0.25">
      <c r="A89" t="s">
        <v>965</v>
      </c>
      <c r="B89" t="s">
        <v>32</v>
      </c>
      <c r="C89" t="s">
        <v>163</v>
      </c>
      <c r="D89" s="4" t="s">
        <v>424</v>
      </c>
      <c r="E89" s="4" t="s">
        <v>438</v>
      </c>
      <c r="F89" s="4" t="s">
        <v>329</v>
      </c>
      <c r="G89" t="s">
        <v>1190</v>
      </c>
      <c r="H89" t="s">
        <v>314</v>
      </c>
      <c r="I89" s="3">
        <f t="shared" si="1"/>
        <v>6.3829787234042548E-2</v>
      </c>
      <c r="J89" s="3">
        <f>D89/(VLOOKUP(B89,'2024 Team'!$B$2:$G$33,2,FALSE))</f>
        <v>0.11228070175438597</v>
      </c>
      <c r="K89" t="s">
        <v>1901</v>
      </c>
      <c r="L89" t="s">
        <v>417</v>
      </c>
    </row>
    <row r="90" spans="1:12" x14ac:dyDescent="0.25">
      <c r="A90" t="s">
        <v>781</v>
      </c>
      <c r="B90" t="s">
        <v>36</v>
      </c>
      <c r="C90" t="s">
        <v>153</v>
      </c>
      <c r="D90" s="4" t="s">
        <v>424</v>
      </c>
      <c r="E90" s="4" t="s">
        <v>438</v>
      </c>
      <c r="F90" s="4" t="s">
        <v>2123</v>
      </c>
      <c r="G90" t="s">
        <v>611</v>
      </c>
      <c r="H90" t="s">
        <v>300</v>
      </c>
      <c r="I90" s="3">
        <f t="shared" si="1"/>
        <v>2.1276595744680851E-2</v>
      </c>
      <c r="J90" s="3">
        <f>D90/(VLOOKUP(B90,'2024 Team'!$B$2:$G$33,2,FALSE))</f>
        <v>0.11721611721611722</v>
      </c>
      <c r="K90" t="s">
        <v>1901</v>
      </c>
      <c r="L90" t="s">
        <v>300</v>
      </c>
    </row>
    <row r="91" spans="1:12" x14ac:dyDescent="0.25">
      <c r="A91" t="s">
        <v>297</v>
      </c>
      <c r="B91" t="s">
        <v>66</v>
      </c>
      <c r="C91" t="s">
        <v>159</v>
      </c>
      <c r="D91" s="4" t="s">
        <v>441</v>
      </c>
      <c r="E91" s="4" t="s">
        <v>438</v>
      </c>
      <c r="F91" s="4" t="s">
        <v>2287</v>
      </c>
      <c r="G91" t="s">
        <v>1383</v>
      </c>
      <c r="H91" t="s">
        <v>417</v>
      </c>
      <c r="I91" s="3">
        <f t="shared" si="1"/>
        <v>0</v>
      </c>
      <c r="J91" s="3">
        <f>D91/(VLOOKUP(B91,'2024 Team'!$B$2:$G$33,2,FALSE))</f>
        <v>9.106830122591944E-2</v>
      </c>
      <c r="K91" t="s">
        <v>2288</v>
      </c>
      <c r="L91" t="s">
        <v>289</v>
      </c>
    </row>
    <row r="92" spans="1:12" x14ac:dyDescent="0.25">
      <c r="A92" t="s">
        <v>168</v>
      </c>
      <c r="B92" t="s">
        <v>18</v>
      </c>
      <c r="C92" t="s">
        <v>153</v>
      </c>
      <c r="D92" s="4" t="s">
        <v>433</v>
      </c>
      <c r="E92" s="4" t="s">
        <v>438</v>
      </c>
      <c r="F92" s="4" t="s">
        <v>2289</v>
      </c>
      <c r="G92" t="s">
        <v>1116</v>
      </c>
      <c r="H92" t="s">
        <v>229</v>
      </c>
      <c r="I92" s="3">
        <f t="shared" si="1"/>
        <v>8.5106382978723402E-2</v>
      </c>
      <c r="J92" s="3">
        <f>D92/(VLOOKUP(B92,'2024 Team'!$B$2:$G$33,2,FALSE))</f>
        <v>9.7173144876325085E-2</v>
      </c>
      <c r="K92" t="s">
        <v>2286</v>
      </c>
      <c r="L92" t="s">
        <v>417</v>
      </c>
    </row>
    <row r="93" spans="1:12" x14ac:dyDescent="0.25">
      <c r="A93" t="s">
        <v>808</v>
      </c>
      <c r="B93" t="s">
        <v>10</v>
      </c>
      <c r="C93" t="s">
        <v>153</v>
      </c>
      <c r="D93" s="4" t="s">
        <v>1138</v>
      </c>
      <c r="E93" s="4" t="s">
        <v>438</v>
      </c>
      <c r="F93" s="4" t="s">
        <v>1153</v>
      </c>
      <c r="G93" t="s">
        <v>1178</v>
      </c>
      <c r="H93" t="s">
        <v>229</v>
      </c>
      <c r="I93" s="3">
        <f t="shared" si="1"/>
        <v>8.5106382978723402E-2</v>
      </c>
      <c r="J93" s="3">
        <f>D93/(VLOOKUP(B93,'2024 Team'!$B$2:$G$33,2,FALSE))</f>
        <v>0.13237924865831843</v>
      </c>
      <c r="K93" t="s">
        <v>2290</v>
      </c>
      <c r="L93" t="s">
        <v>417</v>
      </c>
    </row>
    <row r="94" spans="1:12" x14ac:dyDescent="0.25">
      <c r="A94" t="s">
        <v>581</v>
      </c>
      <c r="B94" t="s">
        <v>40</v>
      </c>
      <c r="C94" s="1" t="s">
        <v>163</v>
      </c>
      <c r="D94" s="4" t="s">
        <v>698</v>
      </c>
      <c r="E94" s="4" t="s">
        <v>438</v>
      </c>
      <c r="F94" s="4" t="s">
        <v>2291</v>
      </c>
      <c r="G94" t="s">
        <v>1181</v>
      </c>
      <c r="H94" t="s">
        <v>314</v>
      </c>
      <c r="I94" s="3">
        <f t="shared" si="1"/>
        <v>6.3829787234042548E-2</v>
      </c>
      <c r="J94" s="3">
        <f>D94/(VLOOKUP(B94,'2024 Team'!$B$2:$G$33,2,FALSE))</f>
        <v>0.12755905511811025</v>
      </c>
      <c r="K94" t="s">
        <v>2292</v>
      </c>
      <c r="L94" t="s">
        <v>417</v>
      </c>
    </row>
    <row r="95" spans="1:12" x14ac:dyDescent="0.25">
      <c r="A95" t="s">
        <v>800</v>
      </c>
      <c r="B95" t="s">
        <v>8</v>
      </c>
      <c r="C95" t="s">
        <v>163</v>
      </c>
      <c r="D95" s="4" t="s">
        <v>392</v>
      </c>
      <c r="E95" s="4" t="s">
        <v>438</v>
      </c>
      <c r="F95" s="4" t="s">
        <v>310</v>
      </c>
      <c r="G95" t="s">
        <v>1210</v>
      </c>
      <c r="H95" t="s">
        <v>229</v>
      </c>
      <c r="I95" s="3">
        <f t="shared" si="1"/>
        <v>8.5106382978723402E-2</v>
      </c>
      <c r="J95" s="3">
        <f>D95/(VLOOKUP(B95,'2024 Team'!$B$2:$G$33,2,FALSE))</f>
        <v>0.13075506445672191</v>
      </c>
      <c r="K95" t="s">
        <v>1266</v>
      </c>
      <c r="L95" t="s">
        <v>300</v>
      </c>
    </row>
    <row r="96" spans="1:12" x14ac:dyDescent="0.25">
      <c r="A96" t="s">
        <v>879</v>
      </c>
      <c r="B96" t="s">
        <v>30</v>
      </c>
      <c r="C96" t="s">
        <v>163</v>
      </c>
      <c r="D96" s="4" t="s">
        <v>411</v>
      </c>
      <c r="E96" s="4" t="s">
        <v>459</v>
      </c>
      <c r="F96" s="4" t="s">
        <v>2293</v>
      </c>
      <c r="G96" t="s">
        <v>1100</v>
      </c>
      <c r="H96" t="s">
        <v>229</v>
      </c>
      <c r="I96" s="3">
        <f t="shared" si="1"/>
        <v>8.6956521739130432E-2</v>
      </c>
      <c r="J96" s="3">
        <f>D96/(VLOOKUP(B96,'2024 Team'!$B$2:$G$33,2,FALSE))</f>
        <v>0.15031315240083507</v>
      </c>
      <c r="K96" t="s">
        <v>2294</v>
      </c>
      <c r="L96" t="s">
        <v>417</v>
      </c>
    </row>
    <row r="97" spans="1:12" x14ac:dyDescent="0.25">
      <c r="A97" t="s">
        <v>240</v>
      </c>
      <c r="B97" t="s">
        <v>64</v>
      </c>
      <c r="C97" t="s">
        <v>159</v>
      </c>
      <c r="D97" s="4" t="s">
        <v>446</v>
      </c>
      <c r="E97" s="4" t="s">
        <v>459</v>
      </c>
      <c r="F97" s="4" t="s">
        <v>1376</v>
      </c>
      <c r="G97" t="s">
        <v>539</v>
      </c>
      <c r="H97" t="s">
        <v>300</v>
      </c>
      <c r="I97" s="3">
        <f t="shared" si="1"/>
        <v>2.1739130434782608E-2</v>
      </c>
      <c r="J97" s="3">
        <f>D97/(VLOOKUP(B97,'2024 Team'!$B$2:$G$33,2,FALSE))</f>
        <v>8.9376053962900506E-2</v>
      </c>
      <c r="K97" t="s">
        <v>2295</v>
      </c>
      <c r="L97" t="s">
        <v>300</v>
      </c>
    </row>
    <row r="98" spans="1:12" x14ac:dyDescent="0.25">
      <c r="A98" t="s">
        <v>812</v>
      </c>
      <c r="B98" t="s">
        <v>12</v>
      </c>
      <c r="C98" t="s">
        <v>163</v>
      </c>
      <c r="D98" s="4" t="s">
        <v>411</v>
      </c>
      <c r="E98" s="4" t="s">
        <v>452</v>
      </c>
      <c r="F98" s="4" t="s">
        <v>2296</v>
      </c>
      <c r="G98" t="s">
        <v>1482</v>
      </c>
      <c r="H98" t="s">
        <v>270</v>
      </c>
      <c r="I98" s="3">
        <f t="shared" si="1"/>
        <v>0.2</v>
      </c>
      <c r="J98" s="3">
        <f>D98/(VLOOKUP(B98,'2024 Team'!$B$2:$G$33,2,FALSE))</f>
        <v>0.15094339622641509</v>
      </c>
      <c r="K98" t="s">
        <v>1185</v>
      </c>
      <c r="L98" t="s">
        <v>417</v>
      </c>
    </row>
    <row r="99" spans="1:12" x14ac:dyDescent="0.25">
      <c r="A99" t="s">
        <v>967</v>
      </c>
      <c r="B99" t="s">
        <v>50</v>
      </c>
      <c r="C99" t="s">
        <v>153</v>
      </c>
      <c r="D99" s="4" t="s">
        <v>398</v>
      </c>
      <c r="E99" s="4" t="s">
        <v>452</v>
      </c>
      <c r="F99" s="4" t="s">
        <v>1955</v>
      </c>
      <c r="G99" t="s">
        <v>1190</v>
      </c>
      <c r="H99" t="s">
        <v>314</v>
      </c>
      <c r="I99" s="3">
        <f t="shared" si="1"/>
        <v>6.6666666666666666E-2</v>
      </c>
      <c r="J99" s="3">
        <f>D99/(VLOOKUP(B99,'2024 Team'!$B$2:$G$33,2,FALSE))</f>
        <v>0.11153119092627599</v>
      </c>
      <c r="K99" t="s">
        <v>2019</v>
      </c>
      <c r="L99" t="s">
        <v>289</v>
      </c>
    </row>
    <row r="100" spans="1:12" x14ac:dyDescent="0.25">
      <c r="A100" t="s">
        <v>667</v>
      </c>
      <c r="B100" t="s">
        <v>70</v>
      </c>
      <c r="C100" t="s">
        <v>163</v>
      </c>
      <c r="D100" s="4" t="s">
        <v>424</v>
      </c>
      <c r="E100" s="4" t="s">
        <v>452</v>
      </c>
      <c r="F100" s="4" t="s">
        <v>358</v>
      </c>
      <c r="G100" t="s">
        <v>1164</v>
      </c>
      <c r="H100" t="s">
        <v>314</v>
      </c>
      <c r="I100" s="3">
        <f t="shared" si="1"/>
        <v>6.6666666666666666E-2</v>
      </c>
      <c r="J100" s="3">
        <f>D100/(VLOOKUP(B100,'2024 Team'!$B$2:$G$33,2,FALSE))</f>
        <v>0.1219047619047619</v>
      </c>
      <c r="K100" t="s">
        <v>1964</v>
      </c>
      <c r="L100" t="s">
        <v>314</v>
      </c>
    </row>
    <row r="101" spans="1:12" x14ac:dyDescent="0.25">
      <c r="A101" t="s">
        <v>824</v>
      </c>
      <c r="B101" t="s">
        <v>14</v>
      </c>
      <c r="C101" t="s">
        <v>153</v>
      </c>
      <c r="D101" s="4" t="s">
        <v>536</v>
      </c>
      <c r="E101" s="4" t="s">
        <v>440</v>
      </c>
      <c r="F101" s="4" t="s">
        <v>1993</v>
      </c>
      <c r="G101" t="s">
        <v>1148</v>
      </c>
      <c r="H101" t="s">
        <v>289</v>
      </c>
      <c r="I101" s="3">
        <f t="shared" si="1"/>
        <v>4.5454545454545456E-2</v>
      </c>
      <c r="J101" s="3">
        <f>D101/(VLOOKUP(B101,'2024 Team'!$B$2:$G$33,2,FALSE))</f>
        <v>0.14423076923076922</v>
      </c>
      <c r="K101" t="s">
        <v>1280</v>
      </c>
      <c r="L101" t="s">
        <v>300</v>
      </c>
    </row>
    <row r="102" spans="1:12" x14ac:dyDescent="0.25">
      <c r="A102" t="s">
        <v>1787</v>
      </c>
      <c r="B102" t="s">
        <v>22</v>
      </c>
      <c r="C102" t="s">
        <v>163</v>
      </c>
      <c r="D102" s="4" t="s">
        <v>446</v>
      </c>
      <c r="E102" s="4" t="s">
        <v>487</v>
      </c>
      <c r="F102" s="4" t="s">
        <v>449</v>
      </c>
      <c r="G102" t="s">
        <v>1156</v>
      </c>
      <c r="H102" t="s">
        <v>289</v>
      </c>
      <c r="I102" s="3">
        <f t="shared" si="1"/>
        <v>8.3333333333333329E-2</v>
      </c>
      <c r="J102" s="3">
        <f>D102/(VLOOKUP(B102,'2024 Team'!$B$2:$G$33,2,FALSE))</f>
        <v>8.0181543116490173E-2</v>
      </c>
      <c r="K102" t="s">
        <v>2297</v>
      </c>
      <c r="L102" t="s">
        <v>417</v>
      </c>
    </row>
    <row r="103" spans="1:12" x14ac:dyDescent="0.25">
      <c r="A103" t="s">
        <v>1787</v>
      </c>
      <c r="B103" t="s">
        <v>14</v>
      </c>
      <c r="C103" t="s">
        <v>163</v>
      </c>
      <c r="D103" s="4" t="s">
        <v>475</v>
      </c>
      <c r="E103" s="4" t="s">
        <v>524</v>
      </c>
      <c r="F103" s="4" t="s">
        <v>428</v>
      </c>
      <c r="G103" t="s">
        <v>1096</v>
      </c>
      <c r="H103" t="s">
        <v>289</v>
      </c>
      <c r="I103" s="3">
        <f t="shared" si="1"/>
        <v>0.1</v>
      </c>
      <c r="J103" s="3">
        <f>D103/(VLOOKUP(B103,'2024 Team'!$B$2:$G$33,2,FALSE))</f>
        <v>6.1538461538461542E-2</v>
      </c>
      <c r="K103" t="s">
        <v>1185</v>
      </c>
      <c r="L103" t="s">
        <v>417</v>
      </c>
    </row>
    <row r="104" spans="1:12" x14ac:dyDescent="0.25">
      <c r="A104" t="s">
        <v>963</v>
      </c>
      <c r="B104" t="s">
        <v>50</v>
      </c>
      <c r="C104" t="s">
        <v>163</v>
      </c>
      <c r="D104" s="4" t="s">
        <v>1125</v>
      </c>
      <c r="E104" s="4" t="s">
        <v>444</v>
      </c>
      <c r="F104" s="4" t="s">
        <v>2298</v>
      </c>
      <c r="G104" t="s">
        <v>1140</v>
      </c>
      <c r="H104" t="s">
        <v>314</v>
      </c>
      <c r="I104" s="3">
        <f t="shared" si="1"/>
        <v>6.9767441860465115E-2</v>
      </c>
      <c r="J104" s="3">
        <f>D104/(VLOOKUP(B104,'2024 Team'!$B$2:$G$33,2,FALSE))</f>
        <v>0.12854442344045369</v>
      </c>
      <c r="K104" t="s">
        <v>2299</v>
      </c>
      <c r="L104" t="s">
        <v>417</v>
      </c>
    </row>
    <row r="105" spans="1:12" x14ac:dyDescent="0.25">
      <c r="A105" t="s">
        <v>320</v>
      </c>
      <c r="B105" t="s">
        <v>16</v>
      </c>
      <c r="C105" t="s">
        <v>159</v>
      </c>
      <c r="D105" s="4" t="s">
        <v>429</v>
      </c>
      <c r="E105" s="4" t="s">
        <v>444</v>
      </c>
      <c r="F105" s="4" t="s">
        <v>1422</v>
      </c>
      <c r="G105" t="s">
        <v>235</v>
      </c>
      <c r="H105" t="s">
        <v>300</v>
      </c>
      <c r="I105" s="3">
        <f t="shared" si="1"/>
        <v>2.3255813953488372E-2</v>
      </c>
      <c r="J105" s="3">
        <f>D105/(VLOOKUP(B105,'2024 Team'!$B$2:$G$33,2,FALSE))</f>
        <v>9.8720292504570387E-2</v>
      </c>
      <c r="K105" t="s">
        <v>1313</v>
      </c>
      <c r="L105" t="s">
        <v>229</v>
      </c>
    </row>
    <row r="106" spans="1:12" x14ac:dyDescent="0.25">
      <c r="A106" t="s">
        <v>926</v>
      </c>
      <c r="B106" t="s">
        <v>44</v>
      </c>
      <c r="C106" t="s">
        <v>163</v>
      </c>
      <c r="D106" s="4" t="s">
        <v>573</v>
      </c>
      <c r="E106" s="4" t="s">
        <v>1199</v>
      </c>
      <c r="F106" s="4" t="s">
        <v>2300</v>
      </c>
      <c r="G106" t="s">
        <v>1913</v>
      </c>
      <c r="H106" t="s">
        <v>417</v>
      </c>
      <c r="I106" s="3">
        <f t="shared" si="1"/>
        <v>0</v>
      </c>
      <c r="J106" s="3">
        <f>D106/(VLOOKUP(B106,'2024 Team'!$B$2:$G$33,2,FALSE))</f>
        <v>0.11091234347048301</v>
      </c>
      <c r="K106" t="s">
        <v>1258</v>
      </c>
      <c r="L106" t="s">
        <v>417</v>
      </c>
    </row>
    <row r="107" spans="1:12" x14ac:dyDescent="0.25">
      <c r="A107" t="s">
        <v>274</v>
      </c>
      <c r="B107" t="s">
        <v>64</v>
      </c>
      <c r="C107" t="s">
        <v>159</v>
      </c>
      <c r="D107" s="4" t="s">
        <v>441</v>
      </c>
      <c r="E107" s="4" t="s">
        <v>1199</v>
      </c>
      <c r="F107" s="4" t="s">
        <v>2301</v>
      </c>
      <c r="G107" t="s">
        <v>1328</v>
      </c>
      <c r="H107" t="s">
        <v>300</v>
      </c>
      <c r="I107" s="3">
        <f t="shared" si="1"/>
        <v>2.3809523809523808E-2</v>
      </c>
      <c r="J107" s="3">
        <f>D107/(VLOOKUP(B107,'2024 Team'!$B$2:$G$33,2,FALSE))</f>
        <v>8.7689713322091065E-2</v>
      </c>
      <c r="K107" t="s">
        <v>1453</v>
      </c>
      <c r="L107" t="s">
        <v>417</v>
      </c>
    </row>
    <row r="108" spans="1:12" x14ac:dyDescent="0.25">
      <c r="A108" t="s">
        <v>994</v>
      </c>
      <c r="B108" t="s">
        <v>58</v>
      </c>
      <c r="C108" s="1" t="s">
        <v>153</v>
      </c>
      <c r="D108" s="4" t="s">
        <v>441</v>
      </c>
      <c r="E108" s="4" t="s">
        <v>1199</v>
      </c>
      <c r="F108" s="4" t="s">
        <v>329</v>
      </c>
      <c r="G108" t="s">
        <v>1355</v>
      </c>
      <c r="H108" t="s">
        <v>289</v>
      </c>
      <c r="I108" s="3">
        <f t="shared" si="1"/>
        <v>4.7619047619047616E-2</v>
      </c>
      <c r="J108" s="3">
        <f>D108/(VLOOKUP(B108,'2024 Team'!$B$2:$G$33,2,FALSE))</f>
        <v>0.11607142857142858</v>
      </c>
      <c r="K108" t="s">
        <v>1453</v>
      </c>
      <c r="L108" t="s">
        <v>289</v>
      </c>
    </row>
    <row r="109" spans="1:12" x14ac:dyDescent="0.25">
      <c r="A109" t="s">
        <v>522</v>
      </c>
      <c r="B109" t="s">
        <v>12</v>
      </c>
      <c r="C109" t="s">
        <v>159</v>
      </c>
      <c r="D109" s="4" t="s">
        <v>582</v>
      </c>
      <c r="E109" s="4" t="s">
        <v>1199</v>
      </c>
      <c r="F109" s="4" t="s">
        <v>393</v>
      </c>
      <c r="G109" t="s">
        <v>622</v>
      </c>
      <c r="H109" t="s">
        <v>314</v>
      </c>
      <c r="I109" s="3">
        <f t="shared" si="1"/>
        <v>7.1428571428571425E-2</v>
      </c>
      <c r="J109" s="3">
        <f>D109/(VLOOKUP(B109,'2024 Team'!$B$2:$G$33,2,FALSE))</f>
        <v>0.1069182389937107</v>
      </c>
      <c r="K109" t="s">
        <v>1944</v>
      </c>
      <c r="L109" t="s">
        <v>417</v>
      </c>
    </row>
    <row r="110" spans="1:12" x14ac:dyDescent="0.25">
      <c r="A110" t="s">
        <v>815</v>
      </c>
      <c r="B110" t="s">
        <v>12</v>
      </c>
      <c r="C110" t="s">
        <v>153</v>
      </c>
      <c r="D110" s="4" t="s">
        <v>413</v>
      </c>
      <c r="E110" s="4" t="s">
        <v>1199</v>
      </c>
      <c r="F110" s="4" t="s">
        <v>2302</v>
      </c>
      <c r="G110" t="s">
        <v>1372</v>
      </c>
      <c r="H110" t="s">
        <v>247</v>
      </c>
      <c r="I110" s="3">
        <f t="shared" si="1"/>
        <v>0.14285714285714285</v>
      </c>
      <c r="J110" s="3">
        <f>D110/(VLOOKUP(B110,'2024 Team'!$B$2:$G$33,2,FALSE))</f>
        <v>0.12159329140461216</v>
      </c>
      <c r="K110" t="s">
        <v>1441</v>
      </c>
      <c r="L110" t="s">
        <v>300</v>
      </c>
    </row>
    <row r="111" spans="1:12" x14ac:dyDescent="0.25">
      <c r="A111" t="s">
        <v>267</v>
      </c>
      <c r="B111" t="s">
        <v>18</v>
      </c>
      <c r="C111" t="s">
        <v>159</v>
      </c>
      <c r="D111" s="4" t="s">
        <v>441</v>
      </c>
      <c r="E111" s="4" t="s">
        <v>1199</v>
      </c>
      <c r="F111" s="4" t="s">
        <v>2303</v>
      </c>
      <c r="G111" t="s">
        <v>1273</v>
      </c>
      <c r="H111" t="s">
        <v>417</v>
      </c>
      <c r="I111" s="3">
        <f t="shared" si="1"/>
        <v>0</v>
      </c>
      <c r="J111" s="3">
        <f>D111/(VLOOKUP(B111,'2024 Team'!$B$2:$G$33,2,FALSE))</f>
        <v>9.187279151943463E-2</v>
      </c>
      <c r="K111" t="s">
        <v>1453</v>
      </c>
      <c r="L111" t="s">
        <v>289</v>
      </c>
    </row>
    <row r="112" spans="1:12" x14ac:dyDescent="0.25">
      <c r="A112" t="s">
        <v>737</v>
      </c>
      <c r="B112" t="s">
        <v>48</v>
      </c>
      <c r="C112" t="s">
        <v>153</v>
      </c>
      <c r="D112" s="4" t="s">
        <v>573</v>
      </c>
      <c r="E112" s="4" t="s">
        <v>454</v>
      </c>
      <c r="F112" s="4" t="s">
        <v>1971</v>
      </c>
      <c r="G112" t="s">
        <v>1336</v>
      </c>
      <c r="H112" t="s">
        <v>417</v>
      </c>
      <c r="I112" s="3">
        <f t="shared" si="1"/>
        <v>0</v>
      </c>
      <c r="J112" s="3">
        <f>D112/(VLOOKUP(B112,'2024 Team'!$B$2:$G$33,2,FALSE))</f>
        <v>0.11313868613138686</v>
      </c>
      <c r="K112" t="s">
        <v>2304</v>
      </c>
      <c r="L112" t="s">
        <v>417</v>
      </c>
    </row>
    <row r="113" spans="1:12" x14ac:dyDescent="0.25">
      <c r="A113" t="s">
        <v>252</v>
      </c>
      <c r="B113" t="s">
        <v>68</v>
      </c>
      <c r="C113" t="s">
        <v>159</v>
      </c>
      <c r="D113" s="4" t="s">
        <v>436</v>
      </c>
      <c r="E113" s="4" t="s">
        <v>454</v>
      </c>
      <c r="F113" s="4" t="s">
        <v>223</v>
      </c>
      <c r="G113" t="s">
        <v>400</v>
      </c>
      <c r="H113" t="s">
        <v>417</v>
      </c>
      <c r="I113" s="3">
        <f t="shared" si="1"/>
        <v>0</v>
      </c>
      <c r="J113" s="3">
        <f>D113/(VLOOKUP(B113,'2024 Team'!$B$2:$G$33,2,FALSE))</f>
        <v>0.10754716981132076</v>
      </c>
      <c r="K113" t="s">
        <v>2037</v>
      </c>
      <c r="L113" t="s">
        <v>289</v>
      </c>
    </row>
    <row r="114" spans="1:12" x14ac:dyDescent="0.25">
      <c r="A114" t="s">
        <v>962</v>
      </c>
      <c r="B114" t="s">
        <v>26</v>
      </c>
      <c r="C114" t="s">
        <v>163</v>
      </c>
      <c r="D114" s="4" t="s">
        <v>433</v>
      </c>
      <c r="E114" s="4" t="s">
        <v>454</v>
      </c>
      <c r="F114" s="4" t="s">
        <v>1362</v>
      </c>
      <c r="G114" t="s">
        <v>1083</v>
      </c>
      <c r="H114" t="s">
        <v>314</v>
      </c>
      <c r="I114" s="3">
        <f t="shared" si="1"/>
        <v>7.3170731707317069E-2</v>
      </c>
      <c r="J114" s="3">
        <f>D114/(VLOOKUP(B114,'2024 Team'!$B$2:$G$33,2,FALSE))</f>
        <v>9.6491228070175433E-2</v>
      </c>
      <c r="K114" t="s">
        <v>1997</v>
      </c>
      <c r="L114" t="s">
        <v>417</v>
      </c>
    </row>
    <row r="115" spans="1:12" x14ac:dyDescent="0.25">
      <c r="A115" t="s">
        <v>567</v>
      </c>
      <c r="B115" t="s">
        <v>40</v>
      </c>
      <c r="C115" t="s">
        <v>159</v>
      </c>
      <c r="D115" s="4" t="s">
        <v>438</v>
      </c>
      <c r="E115" s="4" t="s">
        <v>592</v>
      </c>
      <c r="F115" s="4" t="s">
        <v>2132</v>
      </c>
      <c r="G115" t="s">
        <v>539</v>
      </c>
      <c r="H115" t="s">
        <v>314</v>
      </c>
      <c r="I115" s="3">
        <f t="shared" si="1"/>
        <v>7.4999999999999997E-2</v>
      </c>
      <c r="J115" s="3">
        <f>D115/(VLOOKUP(B115,'2024 Team'!$B$2:$G$33,2,FALSE))</f>
        <v>7.4015748031496062E-2</v>
      </c>
      <c r="K115" t="s">
        <v>2305</v>
      </c>
      <c r="L115" t="s">
        <v>289</v>
      </c>
    </row>
    <row r="116" spans="1:12" x14ac:dyDescent="0.25">
      <c r="A116" t="s">
        <v>1772</v>
      </c>
      <c r="B116" t="s">
        <v>22</v>
      </c>
      <c r="C116" t="s">
        <v>153</v>
      </c>
      <c r="D116" s="4" t="s">
        <v>413</v>
      </c>
      <c r="E116" s="4" t="s">
        <v>592</v>
      </c>
      <c r="F116" s="4" t="s">
        <v>2306</v>
      </c>
      <c r="G116" t="s">
        <v>579</v>
      </c>
      <c r="H116" t="s">
        <v>289</v>
      </c>
      <c r="I116" s="3">
        <f t="shared" si="1"/>
        <v>0.05</v>
      </c>
      <c r="J116" s="3">
        <f>D116/(VLOOKUP(B116,'2024 Team'!$B$2:$G$33,2,FALSE))</f>
        <v>8.7745839636913764E-2</v>
      </c>
      <c r="K116" t="s">
        <v>1179</v>
      </c>
      <c r="L116" t="s">
        <v>300</v>
      </c>
    </row>
    <row r="117" spans="1:12" x14ac:dyDescent="0.25">
      <c r="A117" t="s">
        <v>909</v>
      </c>
      <c r="B117" t="s">
        <v>38</v>
      </c>
      <c r="C117" t="s">
        <v>153</v>
      </c>
      <c r="D117" s="4" t="s">
        <v>554</v>
      </c>
      <c r="E117" s="4" t="s">
        <v>592</v>
      </c>
      <c r="F117" s="4" t="s">
        <v>347</v>
      </c>
      <c r="G117" t="s">
        <v>1184</v>
      </c>
      <c r="H117" t="s">
        <v>220</v>
      </c>
      <c r="I117" s="3">
        <f t="shared" si="1"/>
        <v>0.125</v>
      </c>
      <c r="J117" s="3">
        <f>D117/(VLOOKUP(B117,'2024 Team'!$B$2:$G$33,2,FALSE))</f>
        <v>8.1666666666666665E-2</v>
      </c>
      <c r="K117" t="s">
        <v>1374</v>
      </c>
      <c r="L117" t="s">
        <v>417</v>
      </c>
    </row>
    <row r="118" spans="1:12" x14ac:dyDescent="0.25">
      <c r="A118" t="s">
        <v>905</v>
      </c>
      <c r="B118" t="s">
        <v>36</v>
      </c>
      <c r="C118" t="s">
        <v>153</v>
      </c>
      <c r="D118" s="4" t="s">
        <v>446</v>
      </c>
      <c r="E118" s="4" t="s">
        <v>592</v>
      </c>
      <c r="F118" s="4" t="s">
        <v>1647</v>
      </c>
      <c r="G118" t="s">
        <v>1533</v>
      </c>
      <c r="H118" t="s">
        <v>289</v>
      </c>
      <c r="I118" s="3">
        <f t="shared" si="1"/>
        <v>0.05</v>
      </c>
      <c r="J118" s="3">
        <f>D118/(VLOOKUP(B118,'2024 Team'!$B$2:$G$33,2,FALSE))</f>
        <v>9.7069597069597072E-2</v>
      </c>
      <c r="K118" t="s">
        <v>1182</v>
      </c>
      <c r="L118" t="s">
        <v>300</v>
      </c>
    </row>
    <row r="119" spans="1:12" x14ac:dyDescent="0.25">
      <c r="A119" t="s">
        <v>1582</v>
      </c>
      <c r="B119" t="s">
        <v>68</v>
      </c>
      <c r="C119" t="s">
        <v>163</v>
      </c>
      <c r="D119" s="4" t="s">
        <v>436</v>
      </c>
      <c r="E119" s="4" t="s">
        <v>470</v>
      </c>
      <c r="F119" s="4" t="s">
        <v>2306</v>
      </c>
      <c r="G119" t="s">
        <v>662</v>
      </c>
      <c r="H119" t="s">
        <v>417</v>
      </c>
      <c r="I119" s="3">
        <f t="shared" si="1"/>
        <v>0</v>
      </c>
      <c r="J119" s="3">
        <f>D119/(VLOOKUP(B119,'2024 Team'!$B$2:$G$33,2,FALSE))</f>
        <v>0.10754716981132076</v>
      </c>
      <c r="K119" t="s">
        <v>1438</v>
      </c>
      <c r="L119" t="s">
        <v>417</v>
      </c>
    </row>
    <row r="120" spans="1:12" x14ac:dyDescent="0.25">
      <c r="A120" t="s">
        <v>244</v>
      </c>
      <c r="B120" t="s">
        <v>24</v>
      </c>
      <c r="C120" t="s">
        <v>159</v>
      </c>
      <c r="D120" s="4" t="s">
        <v>554</v>
      </c>
      <c r="E120" s="4" t="s">
        <v>470</v>
      </c>
      <c r="F120" s="4" t="s">
        <v>1406</v>
      </c>
      <c r="G120" t="s">
        <v>1687</v>
      </c>
      <c r="H120" t="s">
        <v>314</v>
      </c>
      <c r="I120" s="3">
        <f t="shared" si="1"/>
        <v>7.6923076923076927E-2</v>
      </c>
      <c r="J120" s="3">
        <f>D120/(VLOOKUP(B120,'2024 Team'!$B$2:$G$33,2,FALSE))</f>
        <v>7.6923076923076927E-2</v>
      </c>
      <c r="K120" t="s">
        <v>1313</v>
      </c>
      <c r="L120" t="s">
        <v>314</v>
      </c>
    </row>
    <row r="121" spans="1:12" x14ac:dyDescent="0.25">
      <c r="A121" t="s">
        <v>236</v>
      </c>
      <c r="B121" t="s">
        <v>36</v>
      </c>
      <c r="C121" t="s">
        <v>159</v>
      </c>
      <c r="D121" s="4" t="s">
        <v>441</v>
      </c>
      <c r="E121" s="4" t="s">
        <v>470</v>
      </c>
      <c r="F121" s="4" t="s">
        <v>2307</v>
      </c>
      <c r="G121" t="s">
        <v>539</v>
      </c>
      <c r="H121" t="s">
        <v>417</v>
      </c>
      <c r="I121" s="3">
        <f t="shared" si="1"/>
        <v>0</v>
      </c>
      <c r="J121" s="3">
        <f>D121/(VLOOKUP(B121,'2024 Team'!$B$2:$G$33,2,FALSE))</f>
        <v>9.5238095238095233E-2</v>
      </c>
      <c r="K121" t="s">
        <v>1321</v>
      </c>
      <c r="L121" t="s">
        <v>300</v>
      </c>
    </row>
    <row r="122" spans="1:12" x14ac:dyDescent="0.25">
      <c r="A122" t="s">
        <v>590</v>
      </c>
      <c r="B122" t="s">
        <v>26</v>
      </c>
      <c r="C122" t="s">
        <v>163</v>
      </c>
      <c r="D122" s="4" t="s">
        <v>441</v>
      </c>
      <c r="E122" s="4" t="s">
        <v>470</v>
      </c>
      <c r="F122" s="4" t="s">
        <v>2308</v>
      </c>
      <c r="G122" t="s">
        <v>1090</v>
      </c>
      <c r="H122" t="s">
        <v>247</v>
      </c>
      <c r="I122" s="3">
        <f t="shared" si="1"/>
        <v>0.15384615384615385</v>
      </c>
      <c r="J122" s="3">
        <f>D122/(VLOOKUP(B122,'2024 Team'!$B$2:$G$33,2,FALSE))</f>
        <v>9.1228070175438603E-2</v>
      </c>
      <c r="K122" t="s">
        <v>1321</v>
      </c>
      <c r="L122" t="s">
        <v>300</v>
      </c>
    </row>
    <row r="123" spans="1:12" x14ac:dyDescent="0.25">
      <c r="A123" t="s">
        <v>827</v>
      </c>
      <c r="B123" t="s">
        <v>42</v>
      </c>
      <c r="C123" t="s">
        <v>163</v>
      </c>
      <c r="D123" s="4" t="s">
        <v>422</v>
      </c>
      <c r="E123" s="4" t="s">
        <v>470</v>
      </c>
      <c r="F123" s="4" t="s">
        <v>2309</v>
      </c>
      <c r="G123" t="s">
        <v>1212</v>
      </c>
      <c r="H123" t="s">
        <v>300</v>
      </c>
      <c r="I123" s="3">
        <f t="shared" si="1"/>
        <v>2.564102564102564E-2</v>
      </c>
      <c r="J123" s="3">
        <f>D123/(VLOOKUP(B123,'2024 Team'!$B$2:$G$33,2,FALSE))</f>
        <v>0.12745098039215685</v>
      </c>
      <c r="K123" t="s">
        <v>1290</v>
      </c>
      <c r="L123" t="s">
        <v>417</v>
      </c>
    </row>
    <row r="124" spans="1:12" x14ac:dyDescent="0.25">
      <c r="A124" t="s">
        <v>976</v>
      </c>
      <c r="B124" t="s">
        <v>54</v>
      </c>
      <c r="C124" t="s">
        <v>163</v>
      </c>
      <c r="D124" s="4" t="s">
        <v>392</v>
      </c>
      <c r="E124" s="4" t="s">
        <v>470</v>
      </c>
      <c r="F124" s="4" t="s">
        <v>2111</v>
      </c>
      <c r="G124" t="s">
        <v>683</v>
      </c>
      <c r="H124" t="s">
        <v>289</v>
      </c>
      <c r="I124" s="3">
        <f t="shared" si="1"/>
        <v>5.128205128205128E-2</v>
      </c>
      <c r="J124" s="3">
        <f>D124/(VLOOKUP(B124,'2024 Team'!$B$2:$G$33,2,FALSE))</f>
        <v>0.12013536379018612</v>
      </c>
      <c r="K124" t="s">
        <v>2310</v>
      </c>
      <c r="L124" t="s">
        <v>300</v>
      </c>
    </row>
    <row r="125" spans="1:12" x14ac:dyDescent="0.25">
      <c r="A125" t="s">
        <v>740</v>
      </c>
      <c r="B125" t="s">
        <v>30</v>
      </c>
      <c r="C125" t="s">
        <v>163</v>
      </c>
      <c r="D125" s="4" t="s">
        <v>533</v>
      </c>
      <c r="E125" s="4" t="s">
        <v>470</v>
      </c>
      <c r="F125" s="4" t="s">
        <v>2311</v>
      </c>
      <c r="G125" t="s">
        <v>1190</v>
      </c>
      <c r="H125" t="s">
        <v>220</v>
      </c>
      <c r="I125" s="3">
        <f t="shared" si="1"/>
        <v>0.12820512820512819</v>
      </c>
      <c r="J125" s="3">
        <f>D125/(VLOOKUP(B125,'2024 Team'!$B$2:$G$33,2,FALSE))</f>
        <v>0.15866388308977036</v>
      </c>
      <c r="K125" t="s">
        <v>2312</v>
      </c>
      <c r="L125" t="s">
        <v>417</v>
      </c>
    </row>
    <row r="126" spans="1:12" x14ac:dyDescent="0.25">
      <c r="A126" t="s">
        <v>290</v>
      </c>
      <c r="B126" t="s">
        <v>54</v>
      </c>
      <c r="C126" t="s">
        <v>159</v>
      </c>
      <c r="D126" s="4" t="s">
        <v>446</v>
      </c>
      <c r="E126" s="4" t="s">
        <v>480</v>
      </c>
      <c r="F126" s="4" t="s">
        <v>1672</v>
      </c>
      <c r="G126" t="s">
        <v>726</v>
      </c>
      <c r="H126" t="s">
        <v>300</v>
      </c>
      <c r="I126" s="3">
        <f t="shared" si="1"/>
        <v>2.6315789473684209E-2</v>
      </c>
      <c r="J126" s="3">
        <f>D126/(VLOOKUP(B126,'2024 Team'!$B$2:$G$33,2,FALSE))</f>
        <v>8.9678510998307953E-2</v>
      </c>
      <c r="K126" t="s">
        <v>1348</v>
      </c>
      <c r="L126" t="s">
        <v>220</v>
      </c>
    </row>
    <row r="127" spans="1:12" x14ac:dyDescent="0.25">
      <c r="A127" t="s">
        <v>271</v>
      </c>
      <c r="B127" t="s">
        <v>60</v>
      </c>
      <c r="C127" t="s">
        <v>159</v>
      </c>
      <c r="D127" s="4" t="s">
        <v>438</v>
      </c>
      <c r="E127" s="4" t="s">
        <v>480</v>
      </c>
      <c r="F127" s="4" t="s">
        <v>2127</v>
      </c>
      <c r="G127" t="s">
        <v>1309</v>
      </c>
      <c r="H127" t="s">
        <v>417</v>
      </c>
      <c r="I127" s="3">
        <f t="shared" ref="I127:I189" si="2">H127/E127</f>
        <v>0</v>
      </c>
      <c r="J127" s="3">
        <f>D127/(VLOOKUP(B127,'2024 Team'!$B$2:$G$33,2,FALSE))</f>
        <v>9.4188376753507011E-2</v>
      </c>
      <c r="K127" t="s">
        <v>2313</v>
      </c>
      <c r="L127" t="s">
        <v>289</v>
      </c>
    </row>
    <row r="128" spans="1:12" x14ac:dyDescent="0.25">
      <c r="A128" t="s">
        <v>636</v>
      </c>
      <c r="B128" t="s">
        <v>8</v>
      </c>
      <c r="C128" t="s">
        <v>163</v>
      </c>
      <c r="D128" s="4" t="s">
        <v>427</v>
      </c>
      <c r="E128" s="4" t="s">
        <v>461</v>
      </c>
      <c r="F128" s="4" t="s">
        <v>2314</v>
      </c>
      <c r="G128" t="s">
        <v>1273</v>
      </c>
      <c r="H128" t="s">
        <v>314</v>
      </c>
      <c r="I128" s="3">
        <f t="shared" si="2"/>
        <v>8.1081081081081086E-2</v>
      </c>
      <c r="J128" s="3">
        <f>D128/(VLOOKUP(B128,'2024 Team'!$B$2:$G$33,2,FALSE))</f>
        <v>9.2081031307550645E-2</v>
      </c>
      <c r="K128" t="s">
        <v>1307</v>
      </c>
      <c r="L128" t="s">
        <v>314</v>
      </c>
    </row>
    <row r="129" spans="1:12" x14ac:dyDescent="0.25">
      <c r="A129" t="s">
        <v>519</v>
      </c>
      <c r="B129" t="s">
        <v>22</v>
      </c>
      <c r="C129" t="s">
        <v>159</v>
      </c>
      <c r="D129" s="4" t="s">
        <v>444</v>
      </c>
      <c r="E129" s="4" t="s">
        <v>461</v>
      </c>
      <c r="F129" s="4" t="s">
        <v>1412</v>
      </c>
      <c r="G129" t="s">
        <v>568</v>
      </c>
      <c r="H129" t="s">
        <v>417</v>
      </c>
      <c r="I129" s="3">
        <f t="shared" si="2"/>
        <v>0</v>
      </c>
      <c r="J129" s="3">
        <f>D129/(VLOOKUP(B129,'2024 Team'!$B$2:$G$33,2,FALSE))</f>
        <v>6.5052950075642962E-2</v>
      </c>
      <c r="K129" t="s">
        <v>2315</v>
      </c>
      <c r="L129" t="s">
        <v>417</v>
      </c>
    </row>
    <row r="130" spans="1:12" x14ac:dyDescent="0.25">
      <c r="A130" t="s">
        <v>978</v>
      </c>
      <c r="B130" t="s">
        <v>56</v>
      </c>
      <c r="C130" t="s">
        <v>163</v>
      </c>
      <c r="D130" s="4" t="s">
        <v>477</v>
      </c>
      <c r="E130" s="4" t="s">
        <v>461</v>
      </c>
      <c r="F130" s="4" t="s">
        <v>2316</v>
      </c>
      <c r="G130" t="s">
        <v>1225</v>
      </c>
      <c r="H130" t="s">
        <v>247</v>
      </c>
      <c r="I130" s="3">
        <f t="shared" si="2"/>
        <v>0.16216216216216217</v>
      </c>
      <c r="J130" s="3">
        <f>D130/(VLOOKUP(B130,'2024 Team'!$B$2:$G$33,2,FALSE))</f>
        <v>9.8846787479406922E-2</v>
      </c>
      <c r="K130" t="s">
        <v>2020</v>
      </c>
      <c r="L130" t="s">
        <v>417</v>
      </c>
    </row>
    <row r="131" spans="1:12" x14ac:dyDescent="0.25">
      <c r="A131" t="s">
        <v>764</v>
      </c>
      <c r="B131" t="s">
        <v>66</v>
      </c>
      <c r="C131" t="s">
        <v>163</v>
      </c>
      <c r="D131" s="4" t="s">
        <v>413</v>
      </c>
      <c r="E131" s="4" t="s">
        <v>461</v>
      </c>
      <c r="F131" s="4" t="s">
        <v>1272</v>
      </c>
      <c r="G131" t="s">
        <v>1065</v>
      </c>
      <c r="H131" t="s">
        <v>225</v>
      </c>
      <c r="I131" s="3">
        <f t="shared" si="2"/>
        <v>0.21621621621621623</v>
      </c>
      <c r="J131" s="3">
        <f>D131/(VLOOKUP(B131,'2024 Team'!$B$2:$G$33,2,FALSE))</f>
        <v>0.10157618213660245</v>
      </c>
      <c r="K131" t="s">
        <v>1893</v>
      </c>
      <c r="L131" t="s">
        <v>417</v>
      </c>
    </row>
    <row r="132" spans="1:12" x14ac:dyDescent="0.25">
      <c r="A132" t="s">
        <v>897</v>
      </c>
      <c r="B132" t="s">
        <v>34</v>
      </c>
      <c r="C132" t="s">
        <v>163</v>
      </c>
      <c r="D132" s="4" t="s">
        <v>497</v>
      </c>
      <c r="E132" s="4" t="s">
        <v>461</v>
      </c>
      <c r="F132" s="4" t="s">
        <v>2317</v>
      </c>
      <c r="G132" t="s">
        <v>2318</v>
      </c>
      <c r="H132" t="s">
        <v>207</v>
      </c>
      <c r="I132" s="3">
        <f t="shared" si="2"/>
        <v>0.1891891891891892</v>
      </c>
      <c r="J132" s="3">
        <f>D132/(VLOOKUP(B132,'2024 Team'!$B$2:$G$33,2,FALSE))</f>
        <v>0.13450292397660818</v>
      </c>
      <c r="K132" t="s">
        <v>2319</v>
      </c>
      <c r="L132" t="s">
        <v>417</v>
      </c>
    </row>
    <row r="133" spans="1:12" x14ac:dyDescent="0.25">
      <c r="A133" t="s">
        <v>999</v>
      </c>
      <c r="B133" t="s">
        <v>60</v>
      </c>
      <c r="C133" t="s">
        <v>163</v>
      </c>
      <c r="D133" s="4" t="s">
        <v>413</v>
      </c>
      <c r="E133" s="4" t="s">
        <v>476</v>
      </c>
      <c r="F133" s="4" t="s">
        <v>310</v>
      </c>
      <c r="G133" t="s">
        <v>1437</v>
      </c>
      <c r="H133" t="s">
        <v>229</v>
      </c>
      <c r="I133" s="3">
        <f t="shared" si="2"/>
        <v>0.1111111111111111</v>
      </c>
      <c r="J133" s="3">
        <f>D133/(VLOOKUP(B133,'2024 Team'!$B$2:$G$33,2,FALSE))</f>
        <v>0.11623246492985972</v>
      </c>
      <c r="K133" t="s">
        <v>1951</v>
      </c>
      <c r="L133" t="s">
        <v>300</v>
      </c>
    </row>
    <row r="134" spans="1:12" x14ac:dyDescent="0.25">
      <c r="A134" t="s">
        <v>560</v>
      </c>
      <c r="B134" t="s">
        <v>60</v>
      </c>
      <c r="C134" t="s">
        <v>159</v>
      </c>
      <c r="D134" s="4" t="s">
        <v>450</v>
      </c>
      <c r="E134" s="4" t="s">
        <v>476</v>
      </c>
      <c r="F134" s="4" t="s">
        <v>412</v>
      </c>
      <c r="G134" t="s">
        <v>599</v>
      </c>
      <c r="H134" t="s">
        <v>417</v>
      </c>
      <c r="I134" s="3">
        <f t="shared" si="2"/>
        <v>0</v>
      </c>
      <c r="J134" s="3">
        <f>D134/(VLOOKUP(B134,'2024 Team'!$B$2:$G$33,2,FALSE))</f>
        <v>9.6192384769539077E-2</v>
      </c>
      <c r="K134" t="s">
        <v>1321</v>
      </c>
      <c r="L134" t="s">
        <v>417</v>
      </c>
    </row>
    <row r="135" spans="1:12" x14ac:dyDescent="0.25">
      <c r="A135" t="s">
        <v>694</v>
      </c>
      <c r="B135" t="s">
        <v>20</v>
      </c>
      <c r="C135" t="s">
        <v>163</v>
      </c>
      <c r="D135" s="4" t="s">
        <v>529</v>
      </c>
      <c r="E135" s="4" t="s">
        <v>476</v>
      </c>
      <c r="F135" s="4" t="s">
        <v>2277</v>
      </c>
      <c r="G135" t="s">
        <v>1075</v>
      </c>
      <c r="H135" t="s">
        <v>247</v>
      </c>
      <c r="I135" s="3">
        <f t="shared" si="2"/>
        <v>0.16666666666666666</v>
      </c>
      <c r="J135" s="3">
        <f>D135/(VLOOKUP(B135,'2024 Team'!$B$2:$G$33,2,FALSE))</f>
        <v>9.3558282208588958E-2</v>
      </c>
      <c r="K135" t="s">
        <v>1975</v>
      </c>
      <c r="L135" t="s">
        <v>417</v>
      </c>
    </row>
    <row r="136" spans="1:12" x14ac:dyDescent="0.25">
      <c r="A136" t="s">
        <v>231</v>
      </c>
      <c r="B136" t="s">
        <v>30</v>
      </c>
      <c r="C136" t="s">
        <v>159</v>
      </c>
      <c r="D136" s="4" t="s">
        <v>444</v>
      </c>
      <c r="E136" s="4" t="s">
        <v>476</v>
      </c>
      <c r="F136" s="4" t="s">
        <v>2314</v>
      </c>
      <c r="G136" t="s">
        <v>723</v>
      </c>
      <c r="H136" t="s">
        <v>300</v>
      </c>
      <c r="I136" s="3">
        <f t="shared" si="2"/>
        <v>2.7777777777777776E-2</v>
      </c>
      <c r="J136" s="3">
        <f>D136/(VLOOKUP(B136,'2024 Team'!$B$2:$G$33,2,FALSE))</f>
        <v>8.9770354906054284E-2</v>
      </c>
      <c r="K136" t="s">
        <v>2003</v>
      </c>
      <c r="L136" t="s">
        <v>229</v>
      </c>
    </row>
    <row r="137" spans="1:12" x14ac:dyDescent="0.25">
      <c r="A137" t="s">
        <v>1634</v>
      </c>
      <c r="B137" t="s">
        <v>40</v>
      </c>
      <c r="C137" t="s">
        <v>159</v>
      </c>
      <c r="D137" s="4" t="s">
        <v>450</v>
      </c>
      <c r="E137" s="4" t="s">
        <v>476</v>
      </c>
      <c r="F137" s="4" t="s">
        <v>2320</v>
      </c>
      <c r="G137" t="s">
        <v>1309</v>
      </c>
      <c r="H137" t="s">
        <v>300</v>
      </c>
      <c r="I137" s="3">
        <f t="shared" si="2"/>
        <v>2.7777777777777776E-2</v>
      </c>
      <c r="J137" s="3">
        <f>D137/(VLOOKUP(B137,'2024 Team'!$B$2:$G$33,2,FALSE))</f>
        <v>7.5590551181102361E-2</v>
      </c>
      <c r="K137" t="s">
        <v>1321</v>
      </c>
      <c r="L137" t="s">
        <v>300</v>
      </c>
    </row>
    <row r="138" spans="1:12" x14ac:dyDescent="0.25">
      <c r="A138" t="s">
        <v>1593</v>
      </c>
      <c r="B138" t="s">
        <v>32</v>
      </c>
      <c r="C138" t="s">
        <v>159</v>
      </c>
      <c r="D138" s="4" t="s">
        <v>441</v>
      </c>
      <c r="E138" s="4" t="s">
        <v>476</v>
      </c>
      <c r="F138" s="4" t="s">
        <v>196</v>
      </c>
      <c r="G138" t="s">
        <v>616</v>
      </c>
      <c r="H138" t="s">
        <v>300</v>
      </c>
      <c r="I138" s="3">
        <f t="shared" si="2"/>
        <v>2.7777777777777776E-2</v>
      </c>
      <c r="J138" s="3">
        <f>D138/(VLOOKUP(B138,'2024 Team'!$B$2:$G$33,2,FALSE))</f>
        <v>9.1228070175438603E-2</v>
      </c>
      <c r="K138" t="s">
        <v>1342</v>
      </c>
      <c r="L138" t="s">
        <v>417</v>
      </c>
    </row>
    <row r="139" spans="1:12" x14ac:dyDescent="0.25">
      <c r="A139" t="s">
        <v>158</v>
      </c>
      <c r="B139" t="s">
        <v>28</v>
      </c>
      <c r="C139" t="s">
        <v>159</v>
      </c>
      <c r="D139" s="4" t="s">
        <v>480</v>
      </c>
      <c r="E139" s="4" t="s">
        <v>476</v>
      </c>
      <c r="F139" s="4" t="s">
        <v>399</v>
      </c>
      <c r="G139" t="s">
        <v>723</v>
      </c>
      <c r="H139" t="s">
        <v>417</v>
      </c>
      <c r="I139" s="3">
        <f t="shared" si="2"/>
        <v>0</v>
      </c>
      <c r="J139" s="3">
        <f>D139/(VLOOKUP(B139,'2024 Team'!$B$2:$G$33,2,FALSE))</f>
        <v>6.8965517241379309E-2</v>
      </c>
      <c r="K139" t="s">
        <v>1499</v>
      </c>
      <c r="L139" t="s">
        <v>289</v>
      </c>
    </row>
    <row r="140" spans="1:12" x14ac:dyDescent="0.25">
      <c r="A140" t="s">
        <v>1042</v>
      </c>
      <c r="B140" t="s">
        <v>70</v>
      </c>
      <c r="C140" t="s">
        <v>163</v>
      </c>
      <c r="D140" s="4" t="s">
        <v>1244</v>
      </c>
      <c r="E140" s="4" t="s">
        <v>467</v>
      </c>
      <c r="F140" s="4" t="s">
        <v>1659</v>
      </c>
      <c r="G140" t="s">
        <v>1090</v>
      </c>
      <c r="H140" t="s">
        <v>300</v>
      </c>
      <c r="I140" s="3">
        <f t="shared" si="2"/>
        <v>2.8571428571428571E-2</v>
      </c>
      <c r="J140" s="3">
        <f>D140/(VLOOKUP(B140,'2024 Team'!$B$2:$G$33,2,FALSE))</f>
        <v>0.10666666666666667</v>
      </c>
      <c r="K140" t="s">
        <v>1185</v>
      </c>
      <c r="L140" t="s">
        <v>417</v>
      </c>
    </row>
    <row r="141" spans="1:12" x14ac:dyDescent="0.25">
      <c r="A141" t="s">
        <v>549</v>
      </c>
      <c r="B141" t="s">
        <v>70</v>
      </c>
      <c r="C141" t="s">
        <v>159</v>
      </c>
      <c r="D141" s="4" t="s">
        <v>454</v>
      </c>
      <c r="E141" s="4" t="s">
        <v>467</v>
      </c>
      <c r="F141" s="4" t="s">
        <v>2007</v>
      </c>
      <c r="G141" t="s">
        <v>605</v>
      </c>
      <c r="H141" t="s">
        <v>417</v>
      </c>
      <c r="I141" s="3">
        <f t="shared" si="2"/>
        <v>0</v>
      </c>
      <c r="J141" s="3">
        <f>D141/(VLOOKUP(B141,'2024 Team'!$B$2:$G$33,2,FALSE))</f>
        <v>7.8095238095238093E-2</v>
      </c>
      <c r="K141" t="s">
        <v>2321</v>
      </c>
      <c r="L141" t="s">
        <v>314</v>
      </c>
    </row>
    <row r="142" spans="1:12" x14ac:dyDescent="0.25">
      <c r="A142" t="s">
        <v>248</v>
      </c>
      <c r="B142" t="s">
        <v>44</v>
      </c>
      <c r="C142" t="s">
        <v>159</v>
      </c>
      <c r="D142" s="4" t="s">
        <v>592</v>
      </c>
      <c r="E142" s="4" t="s">
        <v>679</v>
      </c>
      <c r="F142" s="4" t="s">
        <v>1631</v>
      </c>
      <c r="G142" t="s">
        <v>394</v>
      </c>
      <c r="H142" t="s">
        <v>289</v>
      </c>
      <c r="I142" s="3">
        <f t="shared" si="2"/>
        <v>5.8823529411764705E-2</v>
      </c>
      <c r="J142" s="3">
        <f>D142/(VLOOKUP(B142,'2024 Team'!$B$2:$G$33,2,FALSE))</f>
        <v>7.1556350626118065E-2</v>
      </c>
      <c r="K142" t="s">
        <v>2008</v>
      </c>
      <c r="L142" t="s">
        <v>220</v>
      </c>
    </row>
    <row r="143" spans="1:12" x14ac:dyDescent="0.25">
      <c r="A143" t="s">
        <v>204</v>
      </c>
      <c r="B143" t="s">
        <v>58</v>
      </c>
      <c r="C143" t="s">
        <v>159</v>
      </c>
      <c r="D143" s="4" t="s">
        <v>444</v>
      </c>
      <c r="E143" s="4" t="s">
        <v>485</v>
      </c>
      <c r="F143" s="4" t="s">
        <v>414</v>
      </c>
      <c r="G143" t="s">
        <v>1257</v>
      </c>
      <c r="H143" t="s">
        <v>289</v>
      </c>
      <c r="I143" s="3">
        <f t="shared" si="2"/>
        <v>6.0606060606060608E-2</v>
      </c>
      <c r="J143" s="3">
        <f>D143/(VLOOKUP(B143,'2024 Team'!$B$2:$G$33,2,FALSE))</f>
        <v>9.5982142857142863E-2</v>
      </c>
      <c r="K143" t="s">
        <v>1157</v>
      </c>
      <c r="L143" t="s">
        <v>289</v>
      </c>
    </row>
    <row r="144" spans="1:12" x14ac:dyDescent="0.25">
      <c r="A144" t="s">
        <v>904</v>
      </c>
      <c r="B144" t="s">
        <v>28</v>
      </c>
      <c r="C144" t="s">
        <v>163</v>
      </c>
      <c r="D144" s="4" t="s">
        <v>440</v>
      </c>
      <c r="E144" s="4" t="s">
        <v>485</v>
      </c>
      <c r="F144" s="4" t="s">
        <v>1379</v>
      </c>
      <c r="G144" t="s">
        <v>1132</v>
      </c>
      <c r="H144" t="s">
        <v>314</v>
      </c>
      <c r="I144" s="3">
        <f t="shared" si="2"/>
        <v>9.0909090909090912E-2</v>
      </c>
      <c r="J144" s="3">
        <f>D144/(VLOOKUP(B144,'2024 Team'!$B$2:$G$33,2,FALSE))</f>
        <v>7.985480943738657E-2</v>
      </c>
      <c r="K144" t="s">
        <v>1321</v>
      </c>
      <c r="L144" t="s">
        <v>417</v>
      </c>
    </row>
    <row r="145" spans="1:12" x14ac:dyDescent="0.25">
      <c r="A145" t="s">
        <v>834</v>
      </c>
      <c r="B145" t="s">
        <v>16</v>
      </c>
      <c r="C145" t="s">
        <v>153</v>
      </c>
      <c r="D145" s="4" t="s">
        <v>444</v>
      </c>
      <c r="E145" s="4" t="s">
        <v>485</v>
      </c>
      <c r="F145" s="4" t="s">
        <v>2314</v>
      </c>
      <c r="G145" t="s">
        <v>1156</v>
      </c>
      <c r="H145" t="s">
        <v>300</v>
      </c>
      <c r="I145" s="3">
        <f t="shared" si="2"/>
        <v>3.0303030303030304E-2</v>
      </c>
      <c r="J145" s="3">
        <f>D145/(VLOOKUP(B145,'2024 Team'!$B$2:$G$33,2,FALSE))</f>
        <v>7.8610603290676415E-2</v>
      </c>
      <c r="K145" t="s">
        <v>1157</v>
      </c>
      <c r="L145" t="s">
        <v>300</v>
      </c>
    </row>
    <row r="146" spans="1:12" x14ac:dyDescent="0.25">
      <c r="A146" t="s">
        <v>324</v>
      </c>
      <c r="B146" t="s">
        <v>50</v>
      </c>
      <c r="C146" t="s">
        <v>159</v>
      </c>
      <c r="D146" s="4" t="s">
        <v>454</v>
      </c>
      <c r="E146" s="4" t="s">
        <v>485</v>
      </c>
      <c r="F146" s="4" t="s">
        <v>484</v>
      </c>
      <c r="G146" t="s">
        <v>216</v>
      </c>
      <c r="H146" t="s">
        <v>300</v>
      </c>
      <c r="I146" s="3">
        <f t="shared" si="2"/>
        <v>3.0303030303030304E-2</v>
      </c>
      <c r="J146" s="3">
        <f>D146/(VLOOKUP(B146,'2024 Team'!$B$2:$G$33,2,FALSE))</f>
        <v>7.7504725897920609E-2</v>
      </c>
      <c r="K146" t="s">
        <v>1405</v>
      </c>
      <c r="L146" t="s">
        <v>207</v>
      </c>
    </row>
    <row r="147" spans="1:12" x14ac:dyDescent="0.25">
      <c r="A147" t="s">
        <v>1812</v>
      </c>
      <c r="B147" t="s">
        <v>16</v>
      </c>
      <c r="C147" t="s">
        <v>163</v>
      </c>
      <c r="D147" s="4" t="s">
        <v>413</v>
      </c>
      <c r="E147" s="4" t="s">
        <v>639</v>
      </c>
      <c r="F147" s="4" t="s">
        <v>1327</v>
      </c>
      <c r="G147" t="s">
        <v>1132</v>
      </c>
      <c r="H147" t="s">
        <v>314</v>
      </c>
      <c r="I147" s="3">
        <f t="shared" si="2"/>
        <v>0.1</v>
      </c>
      <c r="J147" s="3">
        <f>D147/(VLOOKUP(B147,'2024 Team'!$B$2:$G$33,2,FALSE))</f>
        <v>0.10603290676416818</v>
      </c>
      <c r="K147" t="s">
        <v>2322</v>
      </c>
      <c r="L147" t="s">
        <v>417</v>
      </c>
    </row>
    <row r="148" spans="1:12" x14ac:dyDescent="0.25">
      <c r="A148" t="s">
        <v>1812</v>
      </c>
      <c r="B148" t="s">
        <v>12</v>
      </c>
      <c r="C148" t="s">
        <v>163</v>
      </c>
      <c r="D148" s="4" t="s">
        <v>220</v>
      </c>
      <c r="E148" s="4" t="s">
        <v>300</v>
      </c>
      <c r="F148" s="4" t="s">
        <v>247</v>
      </c>
      <c r="G148" t="s">
        <v>389</v>
      </c>
      <c r="H148" t="s">
        <v>417</v>
      </c>
      <c r="I148" s="3">
        <f t="shared" si="2"/>
        <v>0</v>
      </c>
      <c r="J148" s="3">
        <f>D148/(VLOOKUP(B148,'2024 Team'!$B$2:$G$33,2,FALSE))</f>
        <v>1.0482180293501049E-2</v>
      </c>
      <c r="K148" t="s">
        <v>1543</v>
      </c>
      <c r="L148" t="s">
        <v>417</v>
      </c>
    </row>
    <row r="149" spans="1:12" x14ac:dyDescent="0.25">
      <c r="A149" t="s">
        <v>1812</v>
      </c>
      <c r="B149" t="s">
        <v>32</v>
      </c>
      <c r="C149" t="s">
        <v>163</v>
      </c>
      <c r="D149" s="4" t="s">
        <v>229</v>
      </c>
      <c r="E149" s="4" t="s">
        <v>289</v>
      </c>
      <c r="F149" s="4" t="s">
        <v>198</v>
      </c>
      <c r="G149" t="s">
        <v>389</v>
      </c>
      <c r="H149" t="s">
        <v>417</v>
      </c>
      <c r="I149" s="3">
        <f t="shared" si="2"/>
        <v>0</v>
      </c>
      <c r="J149" s="3">
        <f>D149/(VLOOKUP(B149,'2024 Team'!$B$2:$G$33,2,FALSE))</f>
        <v>7.0175438596491229E-3</v>
      </c>
      <c r="K149" t="s">
        <v>1356</v>
      </c>
      <c r="L149" t="s">
        <v>417</v>
      </c>
    </row>
    <row r="150" spans="1:12" x14ac:dyDescent="0.25">
      <c r="A150" t="s">
        <v>830</v>
      </c>
      <c r="B150" t="s">
        <v>16</v>
      </c>
      <c r="C150" t="s">
        <v>163</v>
      </c>
      <c r="D150" s="4" t="s">
        <v>459</v>
      </c>
      <c r="E150" s="4" t="s">
        <v>475</v>
      </c>
      <c r="F150" s="4" t="s">
        <v>2323</v>
      </c>
      <c r="G150" t="s">
        <v>1096</v>
      </c>
      <c r="H150" t="s">
        <v>289</v>
      </c>
      <c r="I150" s="3">
        <f t="shared" si="2"/>
        <v>6.25E-2</v>
      </c>
      <c r="J150" s="3">
        <f>D150/(VLOOKUP(B150,'2024 Team'!$B$2:$G$33,2,FALSE))</f>
        <v>8.4095063985374766E-2</v>
      </c>
      <c r="K150" t="s">
        <v>1869</v>
      </c>
      <c r="L150" t="s">
        <v>417</v>
      </c>
    </row>
    <row r="151" spans="1:12" x14ac:dyDescent="0.25">
      <c r="A151" t="s">
        <v>195</v>
      </c>
      <c r="B151" t="s">
        <v>14</v>
      </c>
      <c r="C151" t="s">
        <v>159</v>
      </c>
      <c r="D151" s="4" t="s">
        <v>480</v>
      </c>
      <c r="E151" s="4" t="s">
        <v>475</v>
      </c>
      <c r="F151" s="4" t="s">
        <v>1666</v>
      </c>
      <c r="G151" t="s">
        <v>1328</v>
      </c>
      <c r="H151" t="s">
        <v>289</v>
      </c>
      <c r="I151" s="3">
        <f t="shared" si="2"/>
        <v>6.25E-2</v>
      </c>
      <c r="J151" s="3">
        <f>D151/(VLOOKUP(B151,'2024 Team'!$B$2:$G$33,2,FALSE))</f>
        <v>7.3076923076923081E-2</v>
      </c>
      <c r="K151" t="s">
        <v>1487</v>
      </c>
      <c r="L151" t="s">
        <v>300</v>
      </c>
    </row>
    <row r="152" spans="1:12" x14ac:dyDescent="0.25">
      <c r="A152" t="s">
        <v>330</v>
      </c>
      <c r="B152" t="s">
        <v>42</v>
      </c>
      <c r="C152" t="s">
        <v>159</v>
      </c>
      <c r="D152" s="4" t="s">
        <v>480</v>
      </c>
      <c r="E152" s="4" t="s">
        <v>475</v>
      </c>
      <c r="F152" s="4" t="s">
        <v>331</v>
      </c>
      <c r="G152" t="s">
        <v>251</v>
      </c>
      <c r="H152" t="s">
        <v>417</v>
      </c>
      <c r="I152" s="3">
        <f t="shared" si="2"/>
        <v>0</v>
      </c>
      <c r="J152" s="3">
        <f>D152/(VLOOKUP(B152,'2024 Team'!$B$2:$G$33,2,FALSE))</f>
        <v>7.4509803921568626E-2</v>
      </c>
      <c r="K152" t="s">
        <v>1487</v>
      </c>
      <c r="L152" t="s">
        <v>417</v>
      </c>
    </row>
    <row r="153" spans="1:12" x14ac:dyDescent="0.25">
      <c r="A153" t="s">
        <v>751</v>
      </c>
      <c r="B153" t="s">
        <v>16</v>
      </c>
      <c r="C153" t="s">
        <v>163</v>
      </c>
      <c r="D153" s="4" t="s">
        <v>436</v>
      </c>
      <c r="E153" s="4" t="s">
        <v>475</v>
      </c>
      <c r="F153" s="4" t="s">
        <v>2324</v>
      </c>
      <c r="G153" t="s">
        <v>779</v>
      </c>
      <c r="H153" t="s">
        <v>314</v>
      </c>
      <c r="I153" s="3">
        <f t="shared" si="2"/>
        <v>9.375E-2</v>
      </c>
      <c r="J153" s="3">
        <f>D153/(VLOOKUP(B153,'2024 Team'!$B$2:$G$33,2,FALSE))</f>
        <v>0.10420475319926874</v>
      </c>
      <c r="K153" t="s">
        <v>2325</v>
      </c>
      <c r="L153" t="s">
        <v>417</v>
      </c>
    </row>
    <row r="154" spans="1:12" x14ac:dyDescent="0.25">
      <c r="A154" t="s">
        <v>958</v>
      </c>
      <c r="B154" t="s">
        <v>52</v>
      </c>
      <c r="C154" t="s">
        <v>153</v>
      </c>
      <c r="D154" s="4" t="s">
        <v>444</v>
      </c>
      <c r="E154" s="4" t="s">
        <v>475</v>
      </c>
      <c r="F154" s="4" t="s">
        <v>2326</v>
      </c>
      <c r="G154" t="s">
        <v>1090</v>
      </c>
      <c r="H154" t="s">
        <v>220</v>
      </c>
      <c r="I154" s="3">
        <f t="shared" si="2"/>
        <v>0.15625</v>
      </c>
      <c r="J154" s="3">
        <f>D154/(VLOOKUP(B154,'2024 Team'!$B$2:$G$33,2,FALSE))</f>
        <v>7.8039927404718698E-2</v>
      </c>
      <c r="K154" t="s">
        <v>1191</v>
      </c>
      <c r="L154" t="s">
        <v>417</v>
      </c>
    </row>
    <row r="155" spans="1:12" x14ac:dyDescent="0.25">
      <c r="A155" t="s">
        <v>177</v>
      </c>
      <c r="B155" t="s">
        <v>52</v>
      </c>
      <c r="C155" t="s">
        <v>163</v>
      </c>
      <c r="D155" s="4" t="s">
        <v>440</v>
      </c>
      <c r="E155" s="4" t="s">
        <v>475</v>
      </c>
      <c r="F155" s="4" t="s">
        <v>375</v>
      </c>
      <c r="G155" t="s">
        <v>1065</v>
      </c>
      <c r="H155" t="s">
        <v>300</v>
      </c>
      <c r="I155" s="3">
        <f t="shared" si="2"/>
        <v>3.125E-2</v>
      </c>
      <c r="J155" s="3">
        <f>D155/(VLOOKUP(B155,'2024 Team'!$B$2:$G$33,2,FALSE))</f>
        <v>7.985480943738657E-2</v>
      </c>
      <c r="K155" t="s">
        <v>1117</v>
      </c>
      <c r="L155" t="s">
        <v>300</v>
      </c>
    </row>
    <row r="156" spans="1:12" x14ac:dyDescent="0.25">
      <c r="A156" t="s">
        <v>665</v>
      </c>
      <c r="B156" t="s">
        <v>66</v>
      </c>
      <c r="C156" t="s">
        <v>163</v>
      </c>
      <c r="D156" s="4" t="s">
        <v>582</v>
      </c>
      <c r="E156" s="4" t="s">
        <v>475</v>
      </c>
      <c r="F156" s="4" t="s">
        <v>2124</v>
      </c>
      <c r="G156" t="s">
        <v>1156</v>
      </c>
      <c r="H156" t="s">
        <v>300</v>
      </c>
      <c r="I156" s="3">
        <f t="shared" si="2"/>
        <v>3.125E-2</v>
      </c>
      <c r="J156" s="3">
        <f>D156/(VLOOKUP(B156,'2024 Team'!$B$2:$G$33,2,FALSE))</f>
        <v>8.9316987740805598E-2</v>
      </c>
      <c r="K156" t="s">
        <v>1927</v>
      </c>
      <c r="L156" t="s">
        <v>417</v>
      </c>
    </row>
    <row r="157" spans="1:12" x14ac:dyDescent="0.25">
      <c r="A157" t="s">
        <v>633</v>
      </c>
      <c r="B157" t="s">
        <v>36</v>
      </c>
      <c r="C157" t="s">
        <v>163</v>
      </c>
      <c r="D157" s="4" t="s">
        <v>582</v>
      </c>
      <c r="E157" s="4" t="s">
        <v>475</v>
      </c>
      <c r="F157" s="4" t="s">
        <v>2306</v>
      </c>
      <c r="G157" t="s">
        <v>1169</v>
      </c>
      <c r="H157" t="s">
        <v>314</v>
      </c>
      <c r="I157" s="3">
        <f t="shared" si="2"/>
        <v>9.375E-2</v>
      </c>
      <c r="J157" s="3">
        <f>D157/(VLOOKUP(B157,'2024 Team'!$B$2:$G$33,2,FALSE))</f>
        <v>9.3406593406593408E-2</v>
      </c>
      <c r="K157" t="s">
        <v>1927</v>
      </c>
      <c r="L157" t="s">
        <v>289</v>
      </c>
    </row>
    <row r="158" spans="1:12" x14ac:dyDescent="0.25">
      <c r="A158" t="s">
        <v>947</v>
      </c>
      <c r="B158" t="s">
        <v>68</v>
      </c>
      <c r="C158" t="s">
        <v>163</v>
      </c>
      <c r="D158" s="4" t="s">
        <v>477</v>
      </c>
      <c r="E158" s="4" t="s">
        <v>475</v>
      </c>
      <c r="F158" s="4" t="s">
        <v>2284</v>
      </c>
      <c r="G158" t="s">
        <v>1536</v>
      </c>
      <c r="H158" t="s">
        <v>270</v>
      </c>
      <c r="I158" s="3">
        <f t="shared" si="2"/>
        <v>0.28125</v>
      </c>
      <c r="J158" s="3">
        <f>D158/(VLOOKUP(B158,'2024 Team'!$B$2:$G$33,2,FALSE))</f>
        <v>0.11320754716981132</v>
      </c>
      <c r="K158" t="s">
        <v>1990</v>
      </c>
      <c r="L158" t="s">
        <v>417</v>
      </c>
    </row>
    <row r="159" spans="1:12" x14ac:dyDescent="0.25">
      <c r="A159" t="s">
        <v>748</v>
      </c>
      <c r="B159" t="s">
        <v>14</v>
      </c>
      <c r="C159" t="s">
        <v>163</v>
      </c>
      <c r="D159" s="4" t="s">
        <v>427</v>
      </c>
      <c r="E159" s="4" t="s">
        <v>493</v>
      </c>
      <c r="F159" s="4" t="s">
        <v>1308</v>
      </c>
      <c r="G159" t="s">
        <v>1169</v>
      </c>
      <c r="H159" t="s">
        <v>220</v>
      </c>
      <c r="I159" s="3">
        <f t="shared" si="2"/>
        <v>0.16129032258064516</v>
      </c>
      <c r="J159" s="3">
        <f>D159/(VLOOKUP(B159,'2024 Team'!$B$2:$G$33,2,FALSE))</f>
        <v>9.6153846153846159E-2</v>
      </c>
      <c r="K159" t="s">
        <v>1170</v>
      </c>
      <c r="L159" t="s">
        <v>417</v>
      </c>
    </row>
    <row r="160" spans="1:12" x14ac:dyDescent="0.25">
      <c r="A160" t="s">
        <v>867</v>
      </c>
      <c r="B160" t="s">
        <v>26</v>
      </c>
      <c r="C160" t="s">
        <v>163</v>
      </c>
      <c r="D160" s="4" t="s">
        <v>452</v>
      </c>
      <c r="E160" s="4" t="s">
        <v>493</v>
      </c>
      <c r="F160" s="4" t="s">
        <v>1369</v>
      </c>
      <c r="G160" t="s">
        <v>723</v>
      </c>
      <c r="H160" t="s">
        <v>300</v>
      </c>
      <c r="I160" s="3">
        <f t="shared" si="2"/>
        <v>3.2258064516129031E-2</v>
      </c>
      <c r="J160" s="3">
        <f>D160/(VLOOKUP(B160,'2024 Team'!$B$2:$G$33,2,FALSE))</f>
        <v>7.8947368421052627E-2</v>
      </c>
      <c r="K160" t="s">
        <v>1302</v>
      </c>
      <c r="L160" t="s">
        <v>289</v>
      </c>
    </row>
    <row r="161" spans="1:12" x14ac:dyDescent="0.25">
      <c r="A161" t="s">
        <v>721</v>
      </c>
      <c r="B161" t="s">
        <v>62</v>
      </c>
      <c r="C161" t="s">
        <v>163</v>
      </c>
      <c r="D161" s="4" t="s">
        <v>459</v>
      </c>
      <c r="E161" s="4" t="s">
        <v>493</v>
      </c>
      <c r="F161" s="4" t="s">
        <v>375</v>
      </c>
      <c r="G161" t="s">
        <v>1090</v>
      </c>
      <c r="H161" t="s">
        <v>314</v>
      </c>
      <c r="I161" s="3">
        <f t="shared" si="2"/>
        <v>9.6774193548387094E-2</v>
      </c>
      <c r="J161" s="3">
        <f>D161/(VLOOKUP(B161,'2024 Team'!$B$2:$G$33,2,FALSE))</f>
        <v>8.6303939962476553E-2</v>
      </c>
      <c r="K161" t="s">
        <v>1346</v>
      </c>
      <c r="L161" t="s">
        <v>417</v>
      </c>
    </row>
    <row r="162" spans="1:12" x14ac:dyDescent="0.25">
      <c r="A162" t="s">
        <v>773</v>
      </c>
      <c r="B162" t="s">
        <v>44</v>
      </c>
      <c r="C162" t="s">
        <v>163</v>
      </c>
      <c r="D162" s="4" t="s">
        <v>424</v>
      </c>
      <c r="E162" s="4" t="s">
        <v>493</v>
      </c>
      <c r="F162" s="4" t="s">
        <v>2255</v>
      </c>
      <c r="G162" t="s">
        <v>1469</v>
      </c>
      <c r="H162" t="s">
        <v>207</v>
      </c>
      <c r="I162" s="3">
        <f t="shared" si="2"/>
        <v>0.22580645161290322</v>
      </c>
      <c r="J162" s="3">
        <f>D162/(VLOOKUP(B162,'2024 Team'!$B$2:$G$33,2,FALSE))</f>
        <v>0.11449016100178891</v>
      </c>
      <c r="K162" t="s">
        <v>1299</v>
      </c>
      <c r="L162" t="s">
        <v>417</v>
      </c>
    </row>
    <row r="163" spans="1:12" x14ac:dyDescent="0.25">
      <c r="A163" t="s">
        <v>828</v>
      </c>
      <c r="B163" t="s">
        <v>14</v>
      </c>
      <c r="C163" t="s">
        <v>163</v>
      </c>
      <c r="D163" s="4" t="s">
        <v>459</v>
      </c>
      <c r="E163" s="4" t="s">
        <v>493</v>
      </c>
      <c r="F163" s="4" t="s">
        <v>1679</v>
      </c>
      <c r="G163" t="s">
        <v>1309</v>
      </c>
      <c r="H163" t="s">
        <v>300</v>
      </c>
      <c r="I163" s="3">
        <f t="shared" si="2"/>
        <v>3.2258064516129031E-2</v>
      </c>
      <c r="J163" s="3">
        <f>D163/(VLOOKUP(B163,'2024 Team'!$B$2:$G$33,2,FALSE))</f>
        <v>8.8461538461538466E-2</v>
      </c>
      <c r="K163" t="s">
        <v>1346</v>
      </c>
      <c r="L163" t="s">
        <v>417</v>
      </c>
    </row>
    <row r="164" spans="1:12" x14ac:dyDescent="0.25">
      <c r="A164" t="s">
        <v>558</v>
      </c>
      <c r="B164" t="s">
        <v>24</v>
      </c>
      <c r="C164" t="s">
        <v>163</v>
      </c>
      <c r="D164" s="4" t="s">
        <v>441</v>
      </c>
      <c r="E164" s="4" t="s">
        <v>493</v>
      </c>
      <c r="F164" s="4" t="s">
        <v>2119</v>
      </c>
      <c r="G164" t="s">
        <v>1127</v>
      </c>
      <c r="H164" t="s">
        <v>289</v>
      </c>
      <c r="I164" s="3">
        <f t="shared" si="2"/>
        <v>6.4516129032258063E-2</v>
      </c>
      <c r="J164" s="3">
        <f>D164/(VLOOKUP(B164,'2024 Team'!$B$2:$G$33,2,FALSE))</f>
        <v>8.1632653061224483E-2</v>
      </c>
      <c r="K164" t="s">
        <v>1066</v>
      </c>
      <c r="L164" t="s">
        <v>314</v>
      </c>
    </row>
    <row r="165" spans="1:12" x14ac:dyDescent="0.25">
      <c r="A165" t="s">
        <v>585</v>
      </c>
      <c r="B165" t="s">
        <v>64</v>
      </c>
      <c r="C165" t="s">
        <v>153</v>
      </c>
      <c r="D165" s="4" t="s">
        <v>480</v>
      </c>
      <c r="E165" s="4" t="s">
        <v>639</v>
      </c>
      <c r="F165" s="4" t="s">
        <v>1468</v>
      </c>
      <c r="G165" t="s">
        <v>1309</v>
      </c>
      <c r="H165" t="s">
        <v>229</v>
      </c>
      <c r="I165" s="3">
        <f t="shared" si="2"/>
        <v>0.13333333333333333</v>
      </c>
      <c r="J165" s="3">
        <f>D165/(VLOOKUP(B165,'2024 Team'!$B$2:$G$33,2,FALSE))</f>
        <v>6.4080944350758853E-2</v>
      </c>
      <c r="K165" t="s">
        <v>1483</v>
      </c>
      <c r="L165" t="s">
        <v>417</v>
      </c>
    </row>
    <row r="166" spans="1:12" x14ac:dyDescent="0.25">
      <c r="A166" t="s">
        <v>638</v>
      </c>
      <c r="B166" t="s">
        <v>70</v>
      </c>
      <c r="C166" t="s">
        <v>163</v>
      </c>
      <c r="D166" s="4" t="s">
        <v>592</v>
      </c>
      <c r="E166" s="4" t="s">
        <v>639</v>
      </c>
      <c r="F166" s="4" t="s">
        <v>2014</v>
      </c>
      <c r="G166" t="s">
        <v>1533</v>
      </c>
      <c r="H166" t="s">
        <v>300</v>
      </c>
      <c r="I166" s="3">
        <f t="shared" si="2"/>
        <v>3.3333333333333333E-2</v>
      </c>
      <c r="J166" s="3">
        <f>D166/(VLOOKUP(B166,'2024 Team'!$B$2:$G$33,2,FALSE))</f>
        <v>7.6190476190476197E-2</v>
      </c>
      <c r="K166" t="s">
        <v>1321</v>
      </c>
      <c r="L166" t="s">
        <v>300</v>
      </c>
    </row>
    <row r="167" spans="1:12" x14ac:dyDescent="0.25">
      <c r="A167" t="s">
        <v>929</v>
      </c>
      <c r="B167" t="s">
        <v>44</v>
      </c>
      <c r="C167" t="s">
        <v>153</v>
      </c>
      <c r="D167" s="4" t="s">
        <v>554</v>
      </c>
      <c r="E167" s="4" t="s">
        <v>639</v>
      </c>
      <c r="F167" s="4" t="s">
        <v>2320</v>
      </c>
      <c r="G167" t="s">
        <v>579</v>
      </c>
      <c r="H167" t="s">
        <v>300</v>
      </c>
      <c r="I167" s="3">
        <f t="shared" si="2"/>
        <v>3.3333333333333333E-2</v>
      </c>
      <c r="J167" s="3">
        <f>D167/(VLOOKUP(B167,'2024 Team'!$B$2:$G$33,2,FALSE))</f>
        <v>8.7656529516994638E-2</v>
      </c>
      <c r="K167" t="s">
        <v>2327</v>
      </c>
      <c r="L167" t="s">
        <v>417</v>
      </c>
    </row>
    <row r="168" spans="1:12" x14ac:dyDescent="0.25">
      <c r="A168" t="s">
        <v>410</v>
      </c>
      <c r="B168" t="s">
        <v>68</v>
      </c>
      <c r="C168" t="s">
        <v>159</v>
      </c>
      <c r="D168" s="4" t="s">
        <v>467</v>
      </c>
      <c r="E168" s="4" t="s">
        <v>639</v>
      </c>
      <c r="F168" s="4" t="s">
        <v>1354</v>
      </c>
      <c r="G168" t="s">
        <v>726</v>
      </c>
      <c r="H168" t="s">
        <v>300</v>
      </c>
      <c r="I168" s="3">
        <f t="shared" si="2"/>
        <v>3.3333333333333333E-2</v>
      </c>
      <c r="J168" s="3">
        <f>D168/(VLOOKUP(B168,'2024 Team'!$B$2:$G$33,2,FALSE))</f>
        <v>6.6037735849056603E-2</v>
      </c>
      <c r="K168" t="s">
        <v>1430</v>
      </c>
      <c r="L168" t="s">
        <v>300</v>
      </c>
    </row>
    <row r="169" spans="1:12" x14ac:dyDescent="0.25">
      <c r="A169" t="s">
        <v>819</v>
      </c>
      <c r="B169" t="s">
        <v>14</v>
      </c>
      <c r="C169" t="s">
        <v>163</v>
      </c>
      <c r="D169" s="4" t="s">
        <v>436</v>
      </c>
      <c r="E169" s="4" t="s">
        <v>503</v>
      </c>
      <c r="F169" s="4" t="s">
        <v>2328</v>
      </c>
      <c r="G169" t="s">
        <v>2329</v>
      </c>
      <c r="H169" t="s">
        <v>229</v>
      </c>
      <c r="I169" s="3">
        <f t="shared" si="2"/>
        <v>0.13793103448275862</v>
      </c>
      <c r="J169" s="3">
        <f>D169/(VLOOKUP(B169,'2024 Team'!$B$2:$G$33,2,FALSE))</f>
        <v>0.10961538461538461</v>
      </c>
      <c r="K169" t="s">
        <v>2030</v>
      </c>
      <c r="L169" t="s">
        <v>417</v>
      </c>
    </row>
    <row r="170" spans="1:12" x14ac:dyDescent="0.25">
      <c r="A170" t="s">
        <v>973</v>
      </c>
      <c r="B170" t="s">
        <v>54</v>
      </c>
      <c r="C170" t="s">
        <v>153</v>
      </c>
      <c r="D170" s="4" t="s">
        <v>444</v>
      </c>
      <c r="E170" s="4" t="s">
        <v>503</v>
      </c>
      <c r="F170" s="4" t="s">
        <v>2049</v>
      </c>
      <c r="G170" t="s">
        <v>1372</v>
      </c>
      <c r="H170" t="s">
        <v>300</v>
      </c>
      <c r="I170" s="3">
        <f t="shared" si="2"/>
        <v>3.4482758620689655E-2</v>
      </c>
      <c r="J170" s="3">
        <f>D170/(VLOOKUP(B170,'2024 Team'!$B$2:$G$33,2,FALSE))</f>
        <v>7.2758037225042302E-2</v>
      </c>
      <c r="K170" t="s">
        <v>1346</v>
      </c>
      <c r="L170" t="s">
        <v>417</v>
      </c>
    </row>
    <row r="171" spans="1:12" x14ac:dyDescent="0.25">
      <c r="A171" t="s">
        <v>854</v>
      </c>
      <c r="B171" t="s">
        <v>22</v>
      </c>
      <c r="C171" t="s">
        <v>163</v>
      </c>
      <c r="D171" s="4" t="s">
        <v>554</v>
      </c>
      <c r="E171" s="4" t="s">
        <v>503</v>
      </c>
      <c r="F171" s="4" t="s">
        <v>1668</v>
      </c>
      <c r="G171" t="s">
        <v>1210</v>
      </c>
      <c r="H171" t="s">
        <v>314</v>
      </c>
      <c r="I171" s="3">
        <f t="shared" si="2"/>
        <v>0.10344827586206896</v>
      </c>
      <c r="J171" s="3">
        <f>D171/(VLOOKUP(B171,'2024 Team'!$B$2:$G$33,2,FALSE))</f>
        <v>7.4130105900151289E-2</v>
      </c>
      <c r="K171" t="s">
        <v>1124</v>
      </c>
      <c r="L171" t="s">
        <v>300</v>
      </c>
    </row>
    <row r="172" spans="1:12" x14ac:dyDescent="0.25">
      <c r="A172" t="s">
        <v>739</v>
      </c>
      <c r="B172" t="s">
        <v>30</v>
      </c>
      <c r="C172" t="s">
        <v>163</v>
      </c>
      <c r="D172" s="4" t="s">
        <v>446</v>
      </c>
      <c r="E172" s="4" t="s">
        <v>503</v>
      </c>
      <c r="F172" s="4" t="s">
        <v>2330</v>
      </c>
      <c r="G172" t="s">
        <v>2331</v>
      </c>
      <c r="H172" t="s">
        <v>289</v>
      </c>
      <c r="I172" s="3">
        <f t="shared" si="2"/>
        <v>6.8965517241379309E-2</v>
      </c>
      <c r="J172" s="3">
        <f>D172/(VLOOKUP(B172,'2024 Team'!$B$2:$G$33,2,FALSE))</f>
        <v>0.11064718162839249</v>
      </c>
      <c r="K172" t="s">
        <v>1271</v>
      </c>
      <c r="L172" t="s">
        <v>300</v>
      </c>
    </row>
    <row r="173" spans="1:12" x14ac:dyDescent="0.25">
      <c r="A173" t="s">
        <v>1014</v>
      </c>
      <c r="B173" t="s">
        <v>50</v>
      </c>
      <c r="C173" t="s">
        <v>163</v>
      </c>
      <c r="D173" s="4" t="s">
        <v>480</v>
      </c>
      <c r="E173" s="4" t="s">
        <v>496</v>
      </c>
      <c r="F173" s="4" t="s">
        <v>2021</v>
      </c>
      <c r="G173" t="s">
        <v>1184</v>
      </c>
      <c r="H173" t="s">
        <v>300</v>
      </c>
      <c r="I173" s="3">
        <f t="shared" si="2"/>
        <v>3.5714285714285712E-2</v>
      </c>
      <c r="J173" s="3">
        <f>D173/(VLOOKUP(B173,'2024 Team'!$B$2:$G$33,2,FALSE))</f>
        <v>7.1833648393194713E-2</v>
      </c>
      <c r="K173" t="s">
        <v>2054</v>
      </c>
      <c r="L173" t="s">
        <v>417</v>
      </c>
    </row>
    <row r="174" spans="1:12" x14ac:dyDescent="0.25">
      <c r="A174" t="s">
        <v>659</v>
      </c>
      <c r="B174" t="s">
        <v>26</v>
      </c>
      <c r="C174" t="s">
        <v>163</v>
      </c>
      <c r="D174" s="4" t="s">
        <v>446</v>
      </c>
      <c r="E174" s="4" t="s">
        <v>496</v>
      </c>
      <c r="F174" s="4" t="s">
        <v>1413</v>
      </c>
      <c r="G174" t="s">
        <v>1323</v>
      </c>
      <c r="H174" t="s">
        <v>289</v>
      </c>
      <c r="I174" s="3">
        <f t="shared" si="2"/>
        <v>7.1428571428571425E-2</v>
      </c>
      <c r="J174" s="3">
        <f>D174/(VLOOKUP(B174,'2024 Team'!$B$2:$G$33,2,FALSE))</f>
        <v>9.2982456140350875E-2</v>
      </c>
      <c r="K174" t="s">
        <v>2023</v>
      </c>
      <c r="L174" t="s">
        <v>417</v>
      </c>
    </row>
    <row r="175" spans="1:12" x14ac:dyDescent="0.25">
      <c r="A175" t="s">
        <v>701</v>
      </c>
      <c r="B175" t="s">
        <v>48</v>
      </c>
      <c r="C175" t="s">
        <v>163</v>
      </c>
      <c r="D175" s="4" t="s">
        <v>1199</v>
      </c>
      <c r="E175" s="4" t="s">
        <v>496</v>
      </c>
      <c r="F175" s="4" t="s">
        <v>2013</v>
      </c>
      <c r="G175" t="s">
        <v>1292</v>
      </c>
      <c r="H175" t="s">
        <v>247</v>
      </c>
      <c r="I175" s="3">
        <f t="shared" si="2"/>
        <v>0.21428571428571427</v>
      </c>
      <c r="J175" s="3">
        <f>D175/(VLOOKUP(B175,'2024 Team'!$B$2:$G$33,2,FALSE))</f>
        <v>7.6642335766423361E-2</v>
      </c>
      <c r="K175" t="s">
        <v>1297</v>
      </c>
      <c r="L175" t="s">
        <v>300</v>
      </c>
    </row>
    <row r="176" spans="1:12" x14ac:dyDescent="0.25">
      <c r="A176" t="s">
        <v>404</v>
      </c>
      <c r="B176" t="s">
        <v>38</v>
      </c>
      <c r="C176" t="s">
        <v>159</v>
      </c>
      <c r="D176" s="4" t="s">
        <v>467</v>
      </c>
      <c r="E176" s="4" t="s">
        <v>496</v>
      </c>
      <c r="F176" s="4" t="s">
        <v>1380</v>
      </c>
      <c r="G176" t="s">
        <v>1181</v>
      </c>
      <c r="H176" t="s">
        <v>300</v>
      </c>
      <c r="I176" s="3">
        <f t="shared" si="2"/>
        <v>3.5714285714285712E-2</v>
      </c>
      <c r="J176" s="3">
        <f>D176/(VLOOKUP(B176,'2024 Team'!$B$2:$G$33,2,FALSE))</f>
        <v>5.8333333333333334E-2</v>
      </c>
      <c r="K176" t="s">
        <v>1329</v>
      </c>
      <c r="L176" t="s">
        <v>417</v>
      </c>
    </row>
    <row r="177" spans="1:12" x14ac:dyDescent="0.25">
      <c r="A177" t="s">
        <v>884</v>
      </c>
      <c r="B177" t="s">
        <v>68</v>
      </c>
      <c r="C177" t="s">
        <v>153</v>
      </c>
      <c r="D177" s="4" t="s">
        <v>461</v>
      </c>
      <c r="E177" s="4" t="s">
        <v>496</v>
      </c>
      <c r="F177" s="4" t="s">
        <v>2332</v>
      </c>
      <c r="G177" t="s">
        <v>1370</v>
      </c>
      <c r="H177" t="s">
        <v>300</v>
      </c>
      <c r="I177" s="3">
        <f t="shared" si="2"/>
        <v>3.5714285714285712E-2</v>
      </c>
      <c r="J177" s="3">
        <f>D177/(VLOOKUP(B177,'2024 Team'!$B$2:$G$33,2,FALSE))</f>
        <v>6.981132075471698E-2</v>
      </c>
      <c r="K177" t="s">
        <v>2333</v>
      </c>
      <c r="L177" t="s">
        <v>417</v>
      </c>
    </row>
    <row r="178" spans="1:12" x14ac:dyDescent="0.25">
      <c r="A178" t="s">
        <v>888</v>
      </c>
      <c r="B178" t="s">
        <v>36</v>
      </c>
      <c r="C178" t="s">
        <v>163</v>
      </c>
      <c r="D178" s="4" t="s">
        <v>438</v>
      </c>
      <c r="E178" s="4" t="s">
        <v>490</v>
      </c>
      <c r="F178" s="4" t="s">
        <v>2334</v>
      </c>
      <c r="G178" t="s">
        <v>696</v>
      </c>
      <c r="H178" t="s">
        <v>300</v>
      </c>
      <c r="I178" s="3">
        <f t="shared" si="2"/>
        <v>3.7037037037037035E-2</v>
      </c>
      <c r="J178" s="3">
        <f>D178/(VLOOKUP(B178,'2024 Team'!$B$2:$G$33,2,FALSE))</f>
        <v>8.608058608058608E-2</v>
      </c>
      <c r="K178" t="s">
        <v>1093</v>
      </c>
      <c r="L178" t="s">
        <v>417</v>
      </c>
    </row>
    <row r="179" spans="1:12" x14ac:dyDescent="0.25">
      <c r="A179" t="s">
        <v>860</v>
      </c>
      <c r="B179" t="s">
        <v>24</v>
      </c>
      <c r="C179" t="s">
        <v>153</v>
      </c>
      <c r="D179" s="4" t="s">
        <v>476</v>
      </c>
      <c r="E179" s="4" t="s">
        <v>490</v>
      </c>
      <c r="F179" s="4" t="s">
        <v>2335</v>
      </c>
      <c r="G179" t="s">
        <v>1370</v>
      </c>
      <c r="H179" t="s">
        <v>300</v>
      </c>
      <c r="I179" s="3">
        <f t="shared" si="2"/>
        <v>3.7037037037037035E-2</v>
      </c>
      <c r="J179" s="3">
        <f>D179/(VLOOKUP(B179,'2024 Team'!$B$2:$G$33,2,FALSE))</f>
        <v>5.6514913657770803E-2</v>
      </c>
      <c r="K179" t="s">
        <v>1321</v>
      </c>
      <c r="L179" t="s">
        <v>417</v>
      </c>
    </row>
    <row r="180" spans="1:12" x14ac:dyDescent="0.25">
      <c r="A180" t="s">
        <v>820</v>
      </c>
      <c r="B180" t="s">
        <v>24</v>
      </c>
      <c r="C180" t="s">
        <v>163</v>
      </c>
      <c r="D180" s="4" t="s">
        <v>429</v>
      </c>
      <c r="E180" s="4" t="s">
        <v>507</v>
      </c>
      <c r="F180" s="4" t="s">
        <v>249</v>
      </c>
      <c r="G180" t="s">
        <v>662</v>
      </c>
      <c r="H180" t="s">
        <v>314</v>
      </c>
      <c r="I180" s="3">
        <f t="shared" si="2"/>
        <v>0.11538461538461539</v>
      </c>
      <c r="J180" s="3">
        <f>D180/(VLOOKUP(B180,'2024 Team'!$B$2:$G$33,2,FALSE))</f>
        <v>8.4772370486656201E-2</v>
      </c>
      <c r="K180" t="s">
        <v>2336</v>
      </c>
      <c r="L180" t="s">
        <v>417</v>
      </c>
    </row>
    <row r="181" spans="1:12" x14ac:dyDescent="0.25">
      <c r="A181" t="s">
        <v>977</v>
      </c>
      <c r="B181" t="s">
        <v>44</v>
      </c>
      <c r="C181" t="s">
        <v>163</v>
      </c>
      <c r="D181" s="4" t="s">
        <v>454</v>
      </c>
      <c r="E181" s="4" t="s">
        <v>507</v>
      </c>
      <c r="F181" s="4" t="s">
        <v>1385</v>
      </c>
      <c r="G181" t="s">
        <v>1164</v>
      </c>
      <c r="H181" t="s">
        <v>300</v>
      </c>
      <c r="I181" s="3">
        <f t="shared" si="2"/>
        <v>3.8461538461538464E-2</v>
      </c>
      <c r="J181" s="3">
        <f>D181/(VLOOKUP(B181,'2024 Team'!$B$2:$G$33,2,FALSE))</f>
        <v>7.3345259391771014E-2</v>
      </c>
      <c r="K181" t="s">
        <v>2337</v>
      </c>
      <c r="L181" t="s">
        <v>417</v>
      </c>
    </row>
    <row r="182" spans="1:12" x14ac:dyDescent="0.25">
      <c r="A182" t="s">
        <v>537</v>
      </c>
      <c r="B182" t="s">
        <v>46</v>
      </c>
      <c r="C182" t="s">
        <v>163</v>
      </c>
      <c r="D182" s="4" t="s">
        <v>476</v>
      </c>
      <c r="E182" s="4" t="s">
        <v>507</v>
      </c>
      <c r="F182" s="4" t="s">
        <v>268</v>
      </c>
      <c r="G182" t="s">
        <v>616</v>
      </c>
      <c r="H182" t="s">
        <v>417</v>
      </c>
      <c r="I182" s="3">
        <f t="shared" si="2"/>
        <v>0</v>
      </c>
      <c r="J182" s="3">
        <f>D182/(VLOOKUP(B182,'2024 Team'!$B$2:$G$33,2,FALSE))</f>
        <v>6.0913705583756347E-2</v>
      </c>
      <c r="K182" t="s">
        <v>1403</v>
      </c>
      <c r="L182" t="s">
        <v>300</v>
      </c>
    </row>
    <row r="183" spans="1:12" x14ac:dyDescent="0.25">
      <c r="A183" t="s">
        <v>1771</v>
      </c>
      <c r="B183" t="s">
        <v>62</v>
      </c>
      <c r="C183" t="s">
        <v>163</v>
      </c>
      <c r="D183" s="4" t="s">
        <v>438</v>
      </c>
      <c r="E183" s="4" t="s">
        <v>500</v>
      </c>
      <c r="F183" s="4" t="s">
        <v>2338</v>
      </c>
      <c r="G183" t="s">
        <v>1212</v>
      </c>
      <c r="H183" t="s">
        <v>417</v>
      </c>
      <c r="I183" s="3">
        <f t="shared" si="2"/>
        <v>0</v>
      </c>
      <c r="J183" s="3">
        <f>D183/(VLOOKUP(B183,'2024 Team'!$B$2:$G$33,2,FALSE))</f>
        <v>8.8180112570356475E-2</v>
      </c>
      <c r="K183" t="s">
        <v>1201</v>
      </c>
      <c r="L183" t="s">
        <v>417</v>
      </c>
    </row>
    <row r="184" spans="1:12" x14ac:dyDescent="0.25">
      <c r="A184" t="s">
        <v>989</v>
      </c>
      <c r="B184" t="s">
        <v>58</v>
      </c>
      <c r="C184" t="s">
        <v>153</v>
      </c>
      <c r="D184" s="4" t="s">
        <v>639</v>
      </c>
      <c r="E184" s="4" t="s">
        <v>487</v>
      </c>
      <c r="F184" s="4" t="s">
        <v>1389</v>
      </c>
      <c r="G184" t="s">
        <v>1360</v>
      </c>
      <c r="H184" t="s">
        <v>300</v>
      </c>
      <c r="I184" s="3">
        <f t="shared" si="2"/>
        <v>4.1666666666666664E-2</v>
      </c>
      <c r="J184" s="3">
        <f>D184/(VLOOKUP(B184,'2024 Team'!$B$2:$G$33,2,FALSE))</f>
        <v>6.6964285714285712E-2</v>
      </c>
      <c r="K184" t="s">
        <v>1329</v>
      </c>
      <c r="L184" t="s">
        <v>417</v>
      </c>
    </row>
    <row r="185" spans="1:12" x14ac:dyDescent="0.25">
      <c r="A185" t="s">
        <v>1031</v>
      </c>
      <c r="B185" t="s">
        <v>60</v>
      </c>
      <c r="C185" t="s">
        <v>163</v>
      </c>
      <c r="D185" s="4" t="s">
        <v>592</v>
      </c>
      <c r="E185" s="4" t="s">
        <v>487</v>
      </c>
      <c r="F185" s="4" t="s">
        <v>1434</v>
      </c>
      <c r="G185" t="s">
        <v>1181</v>
      </c>
      <c r="H185" t="s">
        <v>289</v>
      </c>
      <c r="I185" s="3">
        <f t="shared" si="2"/>
        <v>8.3333333333333329E-2</v>
      </c>
      <c r="J185" s="3">
        <f>D185/(VLOOKUP(B185,'2024 Team'!$B$2:$G$33,2,FALSE))</f>
        <v>8.0160320641282562E-2</v>
      </c>
      <c r="K185" t="s">
        <v>1290</v>
      </c>
      <c r="L185" t="s">
        <v>417</v>
      </c>
    </row>
    <row r="186" spans="1:12" x14ac:dyDescent="0.25">
      <c r="A186" t="s">
        <v>482</v>
      </c>
      <c r="B186" t="s">
        <v>26</v>
      </c>
      <c r="C186" t="s">
        <v>159</v>
      </c>
      <c r="D186" s="4" t="s">
        <v>490</v>
      </c>
      <c r="E186" s="4" t="s">
        <v>487</v>
      </c>
      <c r="F186" s="4" t="s">
        <v>533</v>
      </c>
      <c r="G186" t="s">
        <v>512</v>
      </c>
      <c r="H186" t="s">
        <v>289</v>
      </c>
      <c r="I186" s="3">
        <f t="shared" si="2"/>
        <v>8.3333333333333329E-2</v>
      </c>
      <c r="J186" s="3">
        <f>D186/(VLOOKUP(B186,'2024 Team'!$B$2:$G$33,2,FALSE))</f>
        <v>4.736842105263158E-2</v>
      </c>
      <c r="K186" t="s">
        <v>1384</v>
      </c>
      <c r="L186" t="s">
        <v>300</v>
      </c>
    </row>
    <row r="187" spans="1:12" x14ac:dyDescent="0.25">
      <c r="A187" t="s">
        <v>677</v>
      </c>
      <c r="B187" t="s">
        <v>32</v>
      </c>
      <c r="C187" t="s">
        <v>163</v>
      </c>
      <c r="D187" s="4" t="s">
        <v>461</v>
      </c>
      <c r="E187" s="4" t="s">
        <v>487</v>
      </c>
      <c r="F187" s="4" t="s">
        <v>2307</v>
      </c>
      <c r="G187" t="s">
        <v>1190</v>
      </c>
      <c r="H187" t="s">
        <v>300</v>
      </c>
      <c r="I187" s="3">
        <f t="shared" si="2"/>
        <v>4.1666666666666664E-2</v>
      </c>
      <c r="J187" s="3">
        <f>D187/(VLOOKUP(B187,'2024 Team'!$B$2:$G$33,2,FALSE))</f>
        <v>6.491228070175438E-2</v>
      </c>
      <c r="K187" t="s">
        <v>1260</v>
      </c>
      <c r="L187" t="s">
        <v>300</v>
      </c>
    </row>
    <row r="188" spans="1:12" x14ac:dyDescent="0.25">
      <c r="A188" t="s">
        <v>657</v>
      </c>
      <c r="B188" t="s">
        <v>38</v>
      </c>
      <c r="C188" t="s">
        <v>163</v>
      </c>
      <c r="D188" s="4" t="s">
        <v>503</v>
      </c>
      <c r="E188" s="4" t="s">
        <v>487</v>
      </c>
      <c r="F188" s="4" t="s">
        <v>387</v>
      </c>
      <c r="G188" t="s">
        <v>752</v>
      </c>
      <c r="H188" t="s">
        <v>289</v>
      </c>
      <c r="I188" s="3">
        <f t="shared" si="2"/>
        <v>8.3333333333333329E-2</v>
      </c>
      <c r="J188" s="3">
        <f>D188/(VLOOKUP(B188,'2024 Team'!$B$2:$G$33,2,FALSE))</f>
        <v>4.8333333333333332E-2</v>
      </c>
      <c r="K188" t="s">
        <v>1459</v>
      </c>
      <c r="L188" t="s">
        <v>417</v>
      </c>
    </row>
    <row r="189" spans="1:12" x14ac:dyDescent="0.25">
      <c r="A189" t="s">
        <v>545</v>
      </c>
      <c r="B189" t="s">
        <v>16</v>
      </c>
      <c r="C189" t="s">
        <v>159</v>
      </c>
      <c r="D189" s="4" t="s">
        <v>639</v>
      </c>
      <c r="E189" s="4" t="s">
        <v>487</v>
      </c>
      <c r="F189" s="4" t="s">
        <v>1643</v>
      </c>
      <c r="G189" t="s">
        <v>574</v>
      </c>
      <c r="H189" t="s">
        <v>300</v>
      </c>
      <c r="I189" s="3">
        <f t="shared" si="2"/>
        <v>4.1666666666666664E-2</v>
      </c>
      <c r="J189" s="3">
        <f>D189/(VLOOKUP(B189,'2024 Team'!$B$2:$G$33,2,FALSE))</f>
        <v>5.4844606946983544E-2</v>
      </c>
      <c r="K189" t="s">
        <v>1329</v>
      </c>
      <c r="L189" t="s">
        <v>300</v>
      </c>
    </row>
    <row r="190" spans="1:12" x14ac:dyDescent="0.25">
      <c r="A190" t="s">
        <v>499</v>
      </c>
      <c r="B190" t="s">
        <v>50</v>
      </c>
      <c r="C190" t="s">
        <v>159</v>
      </c>
      <c r="D190" s="4" t="s">
        <v>503</v>
      </c>
      <c r="E190" s="4" t="s">
        <v>510</v>
      </c>
      <c r="F190" s="4" t="s">
        <v>437</v>
      </c>
      <c r="G190" t="s">
        <v>732</v>
      </c>
      <c r="H190" t="s">
        <v>417</v>
      </c>
      <c r="I190" s="3">
        <f t="shared" ref="I190:I249" si="3">H190/E190</f>
        <v>0</v>
      </c>
      <c r="J190" s="3">
        <f>D190/(VLOOKUP(B190,'2024 Team'!$B$2:$G$33,2,FALSE))</f>
        <v>5.4820415879017016E-2</v>
      </c>
      <c r="K190" t="s">
        <v>1444</v>
      </c>
      <c r="L190" t="s">
        <v>289</v>
      </c>
    </row>
    <row r="191" spans="1:12" x14ac:dyDescent="0.25">
      <c r="A191" t="s">
        <v>152</v>
      </c>
      <c r="B191" t="s">
        <v>52</v>
      </c>
      <c r="C191" t="s">
        <v>153</v>
      </c>
      <c r="D191" s="4" t="s">
        <v>493</v>
      </c>
      <c r="E191" s="4" t="s">
        <v>510</v>
      </c>
      <c r="F191" s="4" t="s">
        <v>483</v>
      </c>
      <c r="G191" t="s">
        <v>1328</v>
      </c>
      <c r="H191" t="s">
        <v>417</v>
      </c>
      <c r="I191" s="3">
        <f t="shared" si="3"/>
        <v>0</v>
      </c>
      <c r="J191" s="3">
        <f>D191/(VLOOKUP(B191,'2024 Team'!$B$2:$G$33,2,FALSE))</f>
        <v>5.6261343012704176E-2</v>
      </c>
      <c r="K191" t="s">
        <v>2339</v>
      </c>
      <c r="L191" t="s">
        <v>300</v>
      </c>
    </row>
    <row r="192" spans="1:12" x14ac:dyDescent="0.25">
      <c r="A192" t="s">
        <v>305</v>
      </c>
      <c r="B192" t="s">
        <v>38</v>
      </c>
      <c r="C192" t="s">
        <v>159</v>
      </c>
      <c r="D192" s="4" t="s">
        <v>475</v>
      </c>
      <c r="E192" s="4" t="s">
        <v>510</v>
      </c>
      <c r="F192" s="4" t="s">
        <v>291</v>
      </c>
      <c r="G192" t="s">
        <v>1489</v>
      </c>
      <c r="H192" t="s">
        <v>417</v>
      </c>
      <c r="I192" s="3">
        <f t="shared" si="3"/>
        <v>0</v>
      </c>
      <c r="J192" s="3">
        <f>D192/(VLOOKUP(B192,'2024 Team'!$B$2:$G$33,2,FALSE))</f>
        <v>5.3333333333333337E-2</v>
      </c>
      <c r="K192" t="s">
        <v>2037</v>
      </c>
      <c r="L192" t="s">
        <v>417</v>
      </c>
    </row>
    <row r="193" spans="1:12" x14ac:dyDescent="0.25">
      <c r="A193" t="s">
        <v>742</v>
      </c>
      <c r="B193" t="s">
        <v>34</v>
      </c>
      <c r="C193" t="s">
        <v>163</v>
      </c>
      <c r="D193" s="4" t="s">
        <v>433</v>
      </c>
      <c r="E193" s="4" t="s">
        <v>510</v>
      </c>
      <c r="F193" s="4" t="s">
        <v>472</v>
      </c>
      <c r="G193" t="s">
        <v>1228</v>
      </c>
      <c r="H193" t="s">
        <v>417</v>
      </c>
      <c r="I193" s="3">
        <f t="shared" si="3"/>
        <v>0</v>
      </c>
      <c r="J193" s="3">
        <f>D193/(VLOOKUP(B193,'2024 Team'!$B$2:$G$33,2,FALSE))</f>
        <v>0.10721247563352826</v>
      </c>
      <c r="K193" t="s">
        <v>2340</v>
      </c>
      <c r="L193" t="s">
        <v>289</v>
      </c>
    </row>
    <row r="194" spans="1:12" x14ac:dyDescent="0.25">
      <c r="A194" t="s">
        <v>1629</v>
      </c>
      <c r="B194" t="s">
        <v>20</v>
      </c>
      <c r="C194" t="s">
        <v>159</v>
      </c>
      <c r="D194" s="4" t="s">
        <v>490</v>
      </c>
      <c r="E194" s="4" t="s">
        <v>510</v>
      </c>
      <c r="F194" s="4" t="s">
        <v>483</v>
      </c>
      <c r="G194" t="s">
        <v>1328</v>
      </c>
      <c r="H194" t="s">
        <v>300</v>
      </c>
      <c r="I194" s="3">
        <f t="shared" si="3"/>
        <v>4.3478260869565216E-2</v>
      </c>
      <c r="J194" s="3">
        <f>D194/(VLOOKUP(B194,'2024 Team'!$B$2:$G$33,2,FALSE))</f>
        <v>4.1411042944785273E-2</v>
      </c>
      <c r="K194" t="s">
        <v>2341</v>
      </c>
      <c r="L194" t="s">
        <v>289</v>
      </c>
    </row>
    <row r="195" spans="1:12" x14ac:dyDescent="0.25">
      <c r="A195" t="s">
        <v>836</v>
      </c>
      <c r="B195" t="s">
        <v>16</v>
      </c>
      <c r="C195" t="s">
        <v>153</v>
      </c>
      <c r="D195" s="4" t="s">
        <v>475</v>
      </c>
      <c r="E195" s="4" t="s">
        <v>510</v>
      </c>
      <c r="F195" s="4" t="s">
        <v>232</v>
      </c>
      <c r="G195" t="s">
        <v>1148</v>
      </c>
      <c r="H195" t="s">
        <v>289</v>
      </c>
      <c r="I195" s="3">
        <f t="shared" si="3"/>
        <v>8.6956521739130432E-2</v>
      </c>
      <c r="J195" s="3">
        <f>D195/(VLOOKUP(B195,'2024 Team'!$B$2:$G$33,2,FALSE))</f>
        <v>5.850091407678245E-2</v>
      </c>
      <c r="K195" t="s">
        <v>2037</v>
      </c>
      <c r="L195" t="s">
        <v>300</v>
      </c>
    </row>
    <row r="196" spans="1:12" x14ac:dyDescent="0.25">
      <c r="A196" t="s">
        <v>825</v>
      </c>
      <c r="B196" t="s">
        <v>14</v>
      </c>
      <c r="C196" t="s">
        <v>153</v>
      </c>
      <c r="D196" s="4" t="s">
        <v>485</v>
      </c>
      <c r="E196" s="4" t="s">
        <v>514</v>
      </c>
      <c r="F196" s="4" t="s">
        <v>209</v>
      </c>
      <c r="G196" t="s">
        <v>1071</v>
      </c>
      <c r="H196" t="s">
        <v>300</v>
      </c>
      <c r="I196" s="3">
        <f t="shared" si="3"/>
        <v>4.5454545454545456E-2</v>
      </c>
      <c r="J196" s="3">
        <f>D196/(VLOOKUP(B196,'2024 Team'!$B$2:$G$33,2,FALSE))</f>
        <v>6.3461538461538458E-2</v>
      </c>
      <c r="K196" t="s">
        <v>1297</v>
      </c>
      <c r="L196" t="s">
        <v>417</v>
      </c>
    </row>
    <row r="197" spans="1:12" x14ac:dyDescent="0.25">
      <c r="A197" t="s">
        <v>950</v>
      </c>
      <c r="B197" t="s">
        <v>48</v>
      </c>
      <c r="C197" t="s">
        <v>153</v>
      </c>
      <c r="D197" s="4" t="s">
        <v>496</v>
      </c>
      <c r="E197" s="4" t="s">
        <v>514</v>
      </c>
      <c r="F197" s="4" t="s">
        <v>1666</v>
      </c>
      <c r="G197" t="s">
        <v>1210</v>
      </c>
      <c r="H197" t="s">
        <v>314</v>
      </c>
      <c r="I197" s="3">
        <f t="shared" si="3"/>
        <v>0.13636363636363635</v>
      </c>
      <c r="J197" s="3">
        <f>D197/(VLOOKUP(B197,'2024 Team'!$B$2:$G$33,2,FALSE))</f>
        <v>5.1094890510948905E-2</v>
      </c>
      <c r="K197" t="s">
        <v>1520</v>
      </c>
      <c r="L197" t="s">
        <v>417</v>
      </c>
    </row>
    <row r="198" spans="1:12" x14ac:dyDescent="0.25">
      <c r="A198" t="s">
        <v>890</v>
      </c>
      <c r="B198" t="s">
        <v>38</v>
      </c>
      <c r="C198" t="s">
        <v>163</v>
      </c>
      <c r="D198" s="4" t="s">
        <v>475</v>
      </c>
      <c r="E198" s="4" t="s">
        <v>514</v>
      </c>
      <c r="F198" s="4" t="s">
        <v>1454</v>
      </c>
      <c r="G198" t="s">
        <v>1100</v>
      </c>
      <c r="H198" t="s">
        <v>289</v>
      </c>
      <c r="I198" s="3">
        <f t="shared" si="3"/>
        <v>9.0909090909090912E-2</v>
      </c>
      <c r="J198" s="3">
        <f>D198/(VLOOKUP(B198,'2024 Team'!$B$2:$G$33,2,FALSE))</f>
        <v>5.3333333333333337E-2</v>
      </c>
      <c r="K198" t="s">
        <v>1371</v>
      </c>
      <c r="L198" t="s">
        <v>417</v>
      </c>
    </row>
    <row r="199" spans="1:12" x14ac:dyDescent="0.25">
      <c r="A199" t="s">
        <v>692</v>
      </c>
      <c r="B199" t="s">
        <v>44</v>
      </c>
      <c r="C199" t="s">
        <v>163</v>
      </c>
      <c r="D199" s="4" t="s">
        <v>496</v>
      </c>
      <c r="E199" s="4" t="s">
        <v>514</v>
      </c>
      <c r="F199" s="4" t="s">
        <v>1369</v>
      </c>
      <c r="G199" t="s">
        <v>1075</v>
      </c>
      <c r="H199" t="s">
        <v>417</v>
      </c>
      <c r="I199" s="3">
        <f t="shared" si="3"/>
        <v>0</v>
      </c>
      <c r="J199" s="3">
        <f>D199/(VLOOKUP(B199,'2024 Team'!$B$2:$G$33,2,FALSE))</f>
        <v>5.008944543828265E-2</v>
      </c>
      <c r="K199" t="s">
        <v>1520</v>
      </c>
      <c r="L199" t="s">
        <v>417</v>
      </c>
    </row>
    <row r="200" spans="1:12" x14ac:dyDescent="0.25">
      <c r="A200" t="s">
        <v>936</v>
      </c>
      <c r="B200" t="s">
        <v>40</v>
      </c>
      <c r="C200" t="s">
        <v>153</v>
      </c>
      <c r="D200" s="4" t="s">
        <v>475</v>
      </c>
      <c r="E200" s="4" t="s">
        <v>528</v>
      </c>
      <c r="F200" s="4" t="s">
        <v>1080</v>
      </c>
      <c r="G200" t="s">
        <v>656</v>
      </c>
      <c r="H200" t="s">
        <v>417</v>
      </c>
      <c r="I200" s="3">
        <f t="shared" si="3"/>
        <v>0</v>
      </c>
      <c r="J200" s="3">
        <f>D200/(VLOOKUP(B200,'2024 Team'!$B$2:$G$33,2,FALSE))</f>
        <v>5.0393700787401574E-2</v>
      </c>
      <c r="K200" t="s">
        <v>1881</v>
      </c>
      <c r="L200" t="s">
        <v>417</v>
      </c>
    </row>
    <row r="201" spans="1:12" x14ac:dyDescent="0.25">
      <c r="A201" t="s">
        <v>345</v>
      </c>
      <c r="B201" t="s">
        <v>54</v>
      </c>
      <c r="C201" t="s">
        <v>159</v>
      </c>
      <c r="D201" s="4" t="s">
        <v>487</v>
      </c>
      <c r="E201" s="4" t="s">
        <v>528</v>
      </c>
      <c r="F201" s="4" t="s">
        <v>346</v>
      </c>
      <c r="G201" t="s">
        <v>226</v>
      </c>
      <c r="H201" t="s">
        <v>417</v>
      </c>
      <c r="I201" s="3">
        <f t="shared" si="3"/>
        <v>0</v>
      </c>
      <c r="J201" s="3">
        <f>D201/(VLOOKUP(B201,'2024 Team'!$B$2:$G$33,2,FALSE))</f>
        <v>4.060913705583756E-2</v>
      </c>
      <c r="K201" t="s">
        <v>1504</v>
      </c>
      <c r="L201" t="s">
        <v>289</v>
      </c>
    </row>
    <row r="202" spans="1:12" x14ac:dyDescent="0.25">
      <c r="A202" t="s">
        <v>1767</v>
      </c>
      <c r="B202" t="s">
        <v>56</v>
      </c>
      <c r="C202" t="s">
        <v>163</v>
      </c>
      <c r="D202" s="4" t="s">
        <v>528</v>
      </c>
      <c r="E202" s="4" t="s">
        <v>198</v>
      </c>
      <c r="F202" s="4" t="s">
        <v>1073</v>
      </c>
      <c r="G202" t="s">
        <v>1254</v>
      </c>
      <c r="H202" t="s">
        <v>417</v>
      </c>
      <c r="I202" s="3">
        <f t="shared" si="3"/>
        <v>0</v>
      </c>
      <c r="J202" s="3">
        <f>D202/(VLOOKUP(B202,'2024 Team'!$B$2:$G$33,2,FALSE))</f>
        <v>3.459637561779242E-2</v>
      </c>
      <c r="K202" t="s">
        <v>1488</v>
      </c>
      <c r="L202" t="s">
        <v>417</v>
      </c>
    </row>
    <row r="203" spans="1:12" x14ac:dyDescent="0.25">
      <c r="A203" t="s">
        <v>1767</v>
      </c>
      <c r="B203" t="s">
        <v>60</v>
      </c>
      <c r="C203" t="s">
        <v>163</v>
      </c>
      <c r="D203" s="4" t="s">
        <v>234</v>
      </c>
      <c r="E203" s="4" t="s">
        <v>270</v>
      </c>
      <c r="F203" s="4" t="s">
        <v>309</v>
      </c>
      <c r="G203" t="s">
        <v>683</v>
      </c>
      <c r="H203" t="s">
        <v>300</v>
      </c>
      <c r="I203" s="3">
        <f t="shared" si="3"/>
        <v>0.1111111111111111</v>
      </c>
      <c r="J203" s="3">
        <f>D203/(VLOOKUP(B203,'2024 Team'!$B$2:$G$33,2,FALSE))</f>
        <v>2.6052104208416832E-2</v>
      </c>
      <c r="K203" t="s">
        <v>1342</v>
      </c>
      <c r="L203" t="s">
        <v>417</v>
      </c>
    </row>
    <row r="204" spans="1:12" x14ac:dyDescent="0.25">
      <c r="A204" t="s">
        <v>2170</v>
      </c>
      <c r="B204" t="s">
        <v>20</v>
      </c>
      <c r="C204" t="s">
        <v>153</v>
      </c>
      <c r="D204" s="4" t="s">
        <v>514</v>
      </c>
      <c r="E204" s="4" t="s">
        <v>524</v>
      </c>
      <c r="F204" s="4" t="s">
        <v>315</v>
      </c>
      <c r="G204" t="s">
        <v>599</v>
      </c>
      <c r="H204" t="s">
        <v>417</v>
      </c>
      <c r="I204" s="3">
        <f t="shared" si="3"/>
        <v>0</v>
      </c>
      <c r="J204" s="3">
        <f>D204/(VLOOKUP(B204,'2024 Team'!$B$2:$G$33,2,FALSE))</f>
        <v>3.3742331288343558E-2</v>
      </c>
      <c r="K204" t="s">
        <v>1530</v>
      </c>
      <c r="L204" t="s">
        <v>417</v>
      </c>
    </row>
    <row r="205" spans="1:12" x14ac:dyDescent="0.25">
      <c r="A205" t="s">
        <v>821</v>
      </c>
      <c r="B205" t="s">
        <v>36</v>
      </c>
      <c r="C205" t="s">
        <v>163</v>
      </c>
      <c r="D205" s="4" t="s">
        <v>1199</v>
      </c>
      <c r="E205" s="4" t="s">
        <v>524</v>
      </c>
      <c r="F205" s="4" t="s">
        <v>1364</v>
      </c>
      <c r="G205" t="s">
        <v>752</v>
      </c>
      <c r="H205" t="s">
        <v>289</v>
      </c>
      <c r="I205" s="3">
        <f t="shared" si="3"/>
        <v>0.1</v>
      </c>
      <c r="J205" s="3">
        <f>D205/(VLOOKUP(B205,'2024 Team'!$B$2:$G$33,2,FALSE))</f>
        <v>7.6923076923076927E-2</v>
      </c>
      <c r="K205" t="s">
        <v>1477</v>
      </c>
      <c r="L205" t="s">
        <v>300</v>
      </c>
    </row>
    <row r="206" spans="1:12" x14ac:dyDescent="0.25">
      <c r="A206" t="s">
        <v>793</v>
      </c>
      <c r="B206" t="s">
        <v>8</v>
      </c>
      <c r="C206" t="s">
        <v>153</v>
      </c>
      <c r="D206" s="4" t="s">
        <v>487</v>
      </c>
      <c r="E206" s="4" t="s">
        <v>524</v>
      </c>
      <c r="F206" s="4" t="s">
        <v>1060</v>
      </c>
      <c r="G206" t="s">
        <v>616</v>
      </c>
      <c r="H206" t="s">
        <v>289</v>
      </c>
      <c r="I206" s="3">
        <f t="shared" si="3"/>
        <v>0.1</v>
      </c>
      <c r="J206" s="3">
        <f>D206/(VLOOKUP(B206,'2024 Team'!$B$2:$G$33,2,FALSE))</f>
        <v>4.4198895027624308E-2</v>
      </c>
      <c r="K206" t="s">
        <v>1133</v>
      </c>
      <c r="L206" t="s">
        <v>417</v>
      </c>
    </row>
    <row r="207" spans="1:12" x14ac:dyDescent="0.25">
      <c r="A207" t="s">
        <v>373</v>
      </c>
      <c r="B207" t="s">
        <v>70</v>
      </c>
      <c r="C207" t="s">
        <v>159</v>
      </c>
      <c r="D207" s="4" t="s">
        <v>500</v>
      </c>
      <c r="E207" s="4" t="s">
        <v>524</v>
      </c>
      <c r="F207" s="4" t="s">
        <v>295</v>
      </c>
      <c r="G207" t="s">
        <v>531</v>
      </c>
      <c r="H207" t="s">
        <v>417</v>
      </c>
      <c r="I207" s="3">
        <f t="shared" si="3"/>
        <v>0</v>
      </c>
      <c r="J207" s="3">
        <f>D207/(VLOOKUP(B207,'2024 Team'!$B$2:$G$33,2,FALSE))</f>
        <v>4.7619047619047616E-2</v>
      </c>
      <c r="K207" t="s">
        <v>1329</v>
      </c>
      <c r="L207" t="s">
        <v>289</v>
      </c>
    </row>
    <row r="208" spans="1:12" x14ac:dyDescent="0.25">
      <c r="A208" t="s">
        <v>786</v>
      </c>
      <c r="B208" t="s">
        <v>20</v>
      </c>
      <c r="C208" t="s">
        <v>153</v>
      </c>
      <c r="D208" s="4" t="s">
        <v>514</v>
      </c>
      <c r="E208" s="4" t="s">
        <v>524</v>
      </c>
      <c r="F208" s="4" t="s">
        <v>455</v>
      </c>
      <c r="G208" t="s">
        <v>445</v>
      </c>
      <c r="H208" t="s">
        <v>300</v>
      </c>
      <c r="I208" s="3">
        <f t="shared" si="3"/>
        <v>0.05</v>
      </c>
      <c r="J208" s="3">
        <f>D208/(VLOOKUP(B208,'2024 Team'!$B$2:$G$33,2,FALSE))</f>
        <v>3.3742331288343558E-2</v>
      </c>
      <c r="K208" t="s">
        <v>1530</v>
      </c>
      <c r="L208" t="s">
        <v>300</v>
      </c>
    </row>
    <row r="209" spans="1:12" x14ac:dyDescent="0.25">
      <c r="A209" t="s">
        <v>621</v>
      </c>
      <c r="B209" t="s">
        <v>52</v>
      </c>
      <c r="C209" t="s">
        <v>163</v>
      </c>
      <c r="D209" s="4" t="s">
        <v>454</v>
      </c>
      <c r="E209" s="4" t="s">
        <v>524</v>
      </c>
      <c r="F209" s="4" t="s">
        <v>377</v>
      </c>
      <c r="G209" t="s">
        <v>1294</v>
      </c>
      <c r="H209" t="s">
        <v>314</v>
      </c>
      <c r="I209" s="3">
        <f t="shared" si="3"/>
        <v>0.15</v>
      </c>
      <c r="J209" s="3">
        <f>D209/(VLOOKUP(B209,'2024 Team'!$B$2:$G$33,2,FALSE))</f>
        <v>7.441016333938294E-2</v>
      </c>
      <c r="K209" t="s">
        <v>2342</v>
      </c>
      <c r="L209" t="s">
        <v>300</v>
      </c>
    </row>
    <row r="210" spans="1:12" x14ac:dyDescent="0.25">
      <c r="A210" t="s">
        <v>948</v>
      </c>
      <c r="B210" t="s">
        <v>52</v>
      </c>
      <c r="C210" t="s">
        <v>163</v>
      </c>
      <c r="D210" s="4" t="s">
        <v>490</v>
      </c>
      <c r="E210" s="4" t="s">
        <v>524</v>
      </c>
      <c r="F210" s="4" t="s">
        <v>272</v>
      </c>
      <c r="G210" t="s">
        <v>1190</v>
      </c>
      <c r="H210" t="s">
        <v>300</v>
      </c>
      <c r="I210" s="3">
        <f t="shared" si="3"/>
        <v>0.05</v>
      </c>
      <c r="J210" s="3">
        <f>D210/(VLOOKUP(B210,'2024 Team'!$B$2:$G$33,2,FALSE))</f>
        <v>4.9001814882032667E-2</v>
      </c>
      <c r="K210" t="s">
        <v>2047</v>
      </c>
      <c r="L210" t="s">
        <v>300</v>
      </c>
    </row>
    <row r="211" spans="1:12" x14ac:dyDescent="0.25">
      <c r="A211" t="s">
        <v>1768</v>
      </c>
      <c r="B211" t="s">
        <v>32</v>
      </c>
      <c r="C211" t="s">
        <v>163</v>
      </c>
      <c r="D211" s="4" t="s">
        <v>639</v>
      </c>
      <c r="E211" s="4" t="s">
        <v>524</v>
      </c>
      <c r="F211" s="4" t="s">
        <v>1449</v>
      </c>
      <c r="G211" t="s">
        <v>1148</v>
      </c>
      <c r="H211" t="s">
        <v>417</v>
      </c>
      <c r="I211" s="3">
        <f t="shared" si="3"/>
        <v>0</v>
      </c>
      <c r="J211" s="3">
        <f>D211/(VLOOKUP(B211,'2024 Team'!$B$2:$G$33,2,FALSE))</f>
        <v>5.2631578947368418E-2</v>
      </c>
      <c r="K211" t="s">
        <v>1297</v>
      </c>
      <c r="L211" t="s">
        <v>314</v>
      </c>
    </row>
    <row r="212" spans="1:12" x14ac:dyDescent="0.25">
      <c r="A212" t="s">
        <v>532</v>
      </c>
      <c r="B212" t="s">
        <v>56</v>
      </c>
      <c r="C212" t="s">
        <v>159</v>
      </c>
      <c r="D212" s="4" t="s">
        <v>490</v>
      </c>
      <c r="E212" s="4" t="s">
        <v>541</v>
      </c>
      <c r="F212" s="4" t="s">
        <v>1643</v>
      </c>
      <c r="G212" t="s">
        <v>611</v>
      </c>
      <c r="H212" t="s">
        <v>300</v>
      </c>
      <c r="I212" s="3">
        <f t="shared" si="3"/>
        <v>5.2631578947368418E-2</v>
      </c>
      <c r="J212" s="3">
        <f>D212/(VLOOKUP(B212,'2024 Team'!$B$2:$G$33,2,FALSE))</f>
        <v>4.4481054365733116E-2</v>
      </c>
      <c r="K212" t="s">
        <v>1165</v>
      </c>
      <c r="L212" t="s">
        <v>417</v>
      </c>
    </row>
    <row r="213" spans="1:12" x14ac:dyDescent="0.25">
      <c r="A213" t="s">
        <v>992</v>
      </c>
      <c r="B213" t="s">
        <v>58</v>
      </c>
      <c r="C213" t="s">
        <v>163</v>
      </c>
      <c r="D213" s="4" t="s">
        <v>485</v>
      </c>
      <c r="E213" s="4" t="s">
        <v>541</v>
      </c>
      <c r="F213" s="4" t="s">
        <v>430</v>
      </c>
      <c r="G213" t="s">
        <v>1372</v>
      </c>
      <c r="H213" t="s">
        <v>417</v>
      </c>
      <c r="I213" s="3">
        <f t="shared" si="3"/>
        <v>0</v>
      </c>
      <c r="J213" s="3">
        <f>D213/(VLOOKUP(B213,'2024 Team'!$B$2:$G$33,2,FALSE))</f>
        <v>7.3660714285714288E-2</v>
      </c>
      <c r="K213" t="s">
        <v>2048</v>
      </c>
      <c r="L213" t="s">
        <v>417</v>
      </c>
    </row>
    <row r="214" spans="1:12" x14ac:dyDescent="0.25">
      <c r="A214" t="s">
        <v>166</v>
      </c>
      <c r="B214" t="s">
        <v>12</v>
      </c>
      <c r="C214" t="s">
        <v>159</v>
      </c>
      <c r="D214" s="4" t="s">
        <v>514</v>
      </c>
      <c r="E214" s="4" t="s">
        <v>541</v>
      </c>
      <c r="F214" s="4" t="s">
        <v>457</v>
      </c>
      <c r="G214" t="s">
        <v>1148</v>
      </c>
      <c r="H214" t="s">
        <v>289</v>
      </c>
      <c r="I214" s="3">
        <f t="shared" si="3"/>
        <v>0.10526315789473684</v>
      </c>
      <c r="J214" s="3">
        <f>D214/(VLOOKUP(B214,'2024 Team'!$B$2:$G$33,2,FALSE))</f>
        <v>4.6121593291404611E-2</v>
      </c>
      <c r="K214" t="s">
        <v>1473</v>
      </c>
      <c r="L214" t="s">
        <v>314</v>
      </c>
    </row>
    <row r="215" spans="1:12" x14ac:dyDescent="0.25">
      <c r="A215" t="s">
        <v>847</v>
      </c>
      <c r="B215" t="s">
        <v>20</v>
      </c>
      <c r="C215" t="s">
        <v>153</v>
      </c>
      <c r="D215" s="4" t="s">
        <v>510</v>
      </c>
      <c r="E215" s="4" t="s">
        <v>541</v>
      </c>
      <c r="F215" s="4" t="s">
        <v>2028</v>
      </c>
      <c r="G215" t="s">
        <v>1328</v>
      </c>
      <c r="H215" t="s">
        <v>300</v>
      </c>
      <c r="I215" s="3">
        <f t="shared" si="3"/>
        <v>5.2631578947368418E-2</v>
      </c>
      <c r="J215" s="3">
        <f>D215/(VLOOKUP(B215,'2024 Team'!$B$2:$G$33,2,FALSE))</f>
        <v>3.5276073619631899E-2</v>
      </c>
      <c r="K215" t="s">
        <v>1278</v>
      </c>
      <c r="L215" t="s">
        <v>300</v>
      </c>
    </row>
    <row r="216" spans="1:12" x14ac:dyDescent="0.25">
      <c r="A216" t="s">
        <v>718</v>
      </c>
      <c r="B216" t="s">
        <v>62</v>
      </c>
      <c r="C216" t="s">
        <v>613</v>
      </c>
      <c r="D216" s="4" t="s">
        <v>493</v>
      </c>
      <c r="E216" s="4" t="s">
        <v>541</v>
      </c>
      <c r="F216" s="4" t="s">
        <v>432</v>
      </c>
      <c r="G216" t="s">
        <v>605</v>
      </c>
      <c r="H216" t="s">
        <v>289</v>
      </c>
      <c r="I216" s="3">
        <f t="shared" si="3"/>
        <v>0.10526315789473684</v>
      </c>
      <c r="J216" s="3">
        <f>D216/(VLOOKUP(B216,'2024 Team'!$B$2:$G$33,2,FALSE))</f>
        <v>5.8161350844277676E-2</v>
      </c>
      <c r="K216" t="s">
        <v>1456</v>
      </c>
      <c r="L216" t="s">
        <v>300</v>
      </c>
    </row>
    <row r="217" spans="1:12" x14ac:dyDescent="0.25">
      <c r="A217" t="s">
        <v>868</v>
      </c>
      <c r="B217" t="s">
        <v>26</v>
      </c>
      <c r="C217" t="s">
        <v>153</v>
      </c>
      <c r="D217" s="4" t="s">
        <v>510</v>
      </c>
      <c r="E217" s="4" t="s">
        <v>541</v>
      </c>
      <c r="F217" s="4" t="s">
        <v>1509</v>
      </c>
      <c r="G217" t="s">
        <v>531</v>
      </c>
      <c r="H217" t="s">
        <v>417</v>
      </c>
      <c r="I217" s="3">
        <f t="shared" si="3"/>
        <v>0</v>
      </c>
      <c r="J217" s="3">
        <f>D217/(VLOOKUP(B217,'2024 Team'!$B$2:$G$33,2,FALSE))</f>
        <v>4.0350877192982457E-2</v>
      </c>
      <c r="K217" t="s">
        <v>1278</v>
      </c>
      <c r="L217" t="s">
        <v>417</v>
      </c>
    </row>
    <row r="218" spans="1:12" x14ac:dyDescent="0.25">
      <c r="A218" t="s">
        <v>520</v>
      </c>
      <c r="B218" t="s">
        <v>46</v>
      </c>
      <c r="C218" t="s">
        <v>159</v>
      </c>
      <c r="D218" s="4" t="s">
        <v>510</v>
      </c>
      <c r="E218" s="4" t="s">
        <v>541</v>
      </c>
      <c r="F218" s="4" t="s">
        <v>1471</v>
      </c>
      <c r="G218" t="s">
        <v>717</v>
      </c>
      <c r="H218" t="s">
        <v>417</v>
      </c>
      <c r="I218" s="3">
        <f t="shared" si="3"/>
        <v>0</v>
      </c>
      <c r="J218" s="3">
        <f>D218/(VLOOKUP(B218,'2024 Team'!$B$2:$G$33,2,FALSE))</f>
        <v>3.8917089678510999E-2</v>
      </c>
      <c r="K218" t="s">
        <v>1278</v>
      </c>
      <c r="L218" t="s">
        <v>289</v>
      </c>
    </row>
    <row r="219" spans="1:12" x14ac:dyDescent="0.25">
      <c r="A219" t="s">
        <v>903</v>
      </c>
      <c r="B219" t="s">
        <v>48</v>
      </c>
      <c r="C219" t="s">
        <v>153</v>
      </c>
      <c r="D219" s="4" t="s">
        <v>490</v>
      </c>
      <c r="E219" s="4" t="s">
        <v>541</v>
      </c>
      <c r="F219" s="4" t="s">
        <v>1501</v>
      </c>
      <c r="G219" t="s">
        <v>726</v>
      </c>
      <c r="H219" t="s">
        <v>289</v>
      </c>
      <c r="I219" s="3">
        <f t="shared" si="3"/>
        <v>0.10526315789473684</v>
      </c>
      <c r="J219" s="3">
        <f>D219/(VLOOKUP(B219,'2024 Team'!$B$2:$G$33,2,FALSE))</f>
        <v>4.9270072992700732E-2</v>
      </c>
      <c r="K219" t="s">
        <v>1165</v>
      </c>
      <c r="L219" t="s">
        <v>417</v>
      </c>
    </row>
    <row r="220" spans="1:12" x14ac:dyDescent="0.25">
      <c r="A220" t="s">
        <v>595</v>
      </c>
      <c r="B220" t="s">
        <v>32</v>
      </c>
      <c r="C220" t="s">
        <v>159</v>
      </c>
      <c r="D220" s="4" t="s">
        <v>496</v>
      </c>
      <c r="E220" s="4" t="s">
        <v>541</v>
      </c>
      <c r="F220" s="4" t="s">
        <v>460</v>
      </c>
      <c r="G220" t="s">
        <v>1156</v>
      </c>
      <c r="H220" t="s">
        <v>300</v>
      </c>
      <c r="I220" s="3">
        <f t="shared" si="3"/>
        <v>5.2631578947368418E-2</v>
      </c>
      <c r="J220" s="3">
        <f>D220/(VLOOKUP(B220,'2024 Team'!$B$2:$G$33,2,FALSE))</f>
        <v>4.912280701754386E-2</v>
      </c>
      <c r="K220" t="s">
        <v>1108</v>
      </c>
      <c r="L220" t="s">
        <v>417</v>
      </c>
    </row>
    <row r="221" spans="1:12" x14ac:dyDescent="0.25">
      <c r="A221" t="s">
        <v>1004</v>
      </c>
      <c r="B221" t="s">
        <v>60</v>
      </c>
      <c r="C221" t="s">
        <v>153</v>
      </c>
      <c r="D221" s="4" t="s">
        <v>500</v>
      </c>
      <c r="E221" s="4" t="s">
        <v>541</v>
      </c>
      <c r="F221" s="4" t="s">
        <v>432</v>
      </c>
      <c r="G221" t="s">
        <v>605</v>
      </c>
      <c r="H221" t="s">
        <v>300</v>
      </c>
      <c r="I221" s="3">
        <f t="shared" si="3"/>
        <v>5.2631578947368418E-2</v>
      </c>
      <c r="J221" s="3">
        <f>D221/(VLOOKUP(B221,'2024 Team'!$B$2:$G$33,2,FALSE))</f>
        <v>5.0100200400801605E-2</v>
      </c>
      <c r="K221" t="s">
        <v>1465</v>
      </c>
      <c r="L221" t="s">
        <v>417</v>
      </c>
    </row>
    <row r="222" spans="1:12" x14ac:dyDescent="0.25">
      <c r="A222" t="s">
        <v>1003</v>
      </c>
      <c r="B222" t="s">
        <v>14</v>
      </c>
      <c r="C222" t="s">
        <v>163</v>
      </c>
      <c r="D222" s="4" t="s">
        <v>270</v>
      </c>
      <c r="E222" s="4" t="s">
        <v>289</v>
      </c>
      <c r="F222" s="4" t="s">
        <v>507</v>
      </c>
      <c r="G222" t="s">
        <v>1466</v>
      </c>
      <c r="H222" t="s">
        <v>417</v>
      </c>
      <c r="I222" s="3">
        <f t="shared" si="3"/>
        <v>0</v>
      </c>
      <c r="J222" s="3">
        <f>D222/(VLOOKUP(B222,'2024 Team'!$B$2:$G$33,2,FALSE))</f>
        <v>1.7307692307692309E-2</v>
      </c>
      <c r="K222" t="s">
        <v>2343</v>
      </c>
      <c r="L222" t="s">
        <v>417</v>
      </c>
    </row>
    <row r="223" spans="1:12" x14ac:dyDescent="0.25">
      <c r="A223" t="s">
        <v>1003</v>
      </c>
      <c r="B223" t="s">
        <v>52</v>
      </c>
      <c r="C223" t="s">
        <v>163</v>
      </c>
      <c r="D223" s="4" t="s">
        <v>467</v>
      </c>
      <c r="E223" s="4" t="s">
        <v>535</v>
      </c>
      <c r="F223" s="4" t="s">
        <v>1962</v>
      </c>
      <c r="G223" t="s">
        <v>2344</v>
      </c>
      <c r="H223" t="s">
        <v>229</v>
      </c>
      <c r="I223" s="3">
        <f t="shared" si="3"/>
        <v>0.23529411764705882</v>
      </c>
      <c r="J223" s="3">
        <f>D223/(VLOOKUP(B223,'2024 Team'!$B$2:$G$33,2,FALSE))</f>
        <v>6.3520871143375679E-2</v>
      </c>
      <c r="K223" t="s">
        <v>2345</v>
      </c>
      <c r="L223" t="s">
        <v>417</v>
      </c>
    </row>
    <row r="224" spans="1:12" x14ac:dyDescent="0.25">
      <c r="A224" t="s">
        <v>431</v>
      </c>
      <c r="B224" t="s">
        <v>14</v>
      </c>
      <c r="C224" t="s">
        <v>159</v>
      </c>
      <c r="D224" s="4" t="s">
        <v>500</v>
      </c>
      <c r="E224" s="4" t="s">
        <v>202</v>
      </c>
      <c r="F224" s="4" t="s">
        <v>1672</v>
      </c>
      <c r="G224" t="s">
        <v>1930</v>
      </c>
      <c r="H224" t="s">
        <v>314</v>
      </c>
      <c r="I224" s="3">
        <f t="shared" si="3"/>
        <v>0.16666666666666666</v>
      </c>
      <c r="J224" s="3">
        <f>D224/(VLOOKUP(B224,'2024 Team'!$B$2:$G$33,2,FALSE))</f>
        <v>4.807692307692308E-2</v>
      </c>
      <c r="K224" t="s">
        <v>1378</v>
      </c>
      <c r="L224" t="s">
        <v>417</v>
      </c>
    </row>
    <row r="225" spans="1:12" x14ac:dyDescent="0.25">
      <c r="A225" t="s">
        <v>1047</v>
      </c>
      <c r="B225" t="s">
        <v>70</v>
      </c>
      <c r="C225" t="s">
        <v>163</v>
      </c>
      <c r="D225" s="4" t="s">
        <v>487</v>
      </c>
      <c r="E225" s="4" t="s">
        <v>202</v>
      </c>
      <c r="F225" s="4" t="s">
        <v>484</v>
      </c>
      <c r="G225" t="s">
        <v>676</v>
      </c>
      <c r="H225" t="s">
        <v>417</v>
      </c>
      <c r="I225" s="3">
        <f t="shared" si="3"/>
        <v>0</v>
      </c>
      <c r="J225" s="3">
        <f>D225/(VLOOKUP(B225,'2024 Team'!$B$2:$G$33,2,FALSE))</f>
        <v>4.5714285714285714E-2</v>
      </c>
      <c r="K225" t="s">
        <v>1321</v>
      </c>
      <c r="L225" t="s">
        <v>417</v>
      </c>
    </row>
    <row r="226" spans="1:12" x14ac:dyDescent="0.25">
      <c r="A226" t="s">
        <v>982</v>
      </c>
      <c r="B226" t="s">
        <v>56</v>
      </c>
      <c r="C226" t="s">
        <v>153</v>
      </c>
      <c r="D226" s="4" t="s">
        <v>496</v>
      </c>
      <c r="E226" s="4" t="s">
        <v>202</v>
      </c>
      <c r="F226" s="4" t="s">
        <v>354</v>
      </c>
      <c r="G226" t="s">
        <v>400</v>
      </c>
      <c r="H226" t="s">
        <v>417</v>
      </c>
      <c r="I226" s="3">
        <f t="shared" si="3"/>
        <v>0</v>
      </c>
      <c r="J226" s="3">
        <f>D226/(VLOOKUP(B226,'2024 Team'!$B$2:$G$33,2,FALSE))</f>
        <v>4.6128500823723231E-2</v>
      </c>
      <c r="K226" t="s">
        <v>1518</v>
      </c>
      <c r="L226" t="s">
        <v>417</v>
      </c>
    </row>
    <row r="227" spans="1:12" x14ac:dyDescent="0.25">
      <c r="A227" t="s">
        <v>912</v>
      </c>
      <c r="B227" t="s">
        <v>38</v>
      </c>
      <c r="C227" t="s">
        <v>163</v>
      </c>
      <c r="D227" s="4" t="s">
        <v>507</v>
      </c>
      <c r="E227" s="4" t="s">
        <v>202</v>
      </c>
      <c r="F227" s="4" t="s">
        <v>1478</v>
      </c>
      <c r="G227" t="s">
        <v>1178</v>
      </c>
      <c r="H227" t="s">
        <v>289</v>
      </c>
      <c r="I227" s="3">
        <f t="shared" si="3"/>
        <v>0.1111111111111111</v>
      </c>
      <c r="J227" s="3">
        <f>D227/(VLOOKUP(B227,'2024 Team'!$B$2:$G$33,2,FALSE))</f>
        <v>4.3333333333333335E-2</v>
      </c>
      <c r="K227" t="s">
        <v>1342</v>
      </c>
      <c r="L227" t="s">
        <v>417</v>
      </c>
    </row>
    <row r="228" spans="1:12" x14ac:dyDescent="0.25">
      <c r="A228" t="s">
        <v>199</v>
      </c>
      <c r="B228" t="s">
        <v>34</v>
      </c>
      <c r="C228" t="s">
        <v>159</v>
      </c>
      <c r="D228" s="4" t="s">
        <v>493</v>
      </c>
      <c r="E228" s="4" t="s">
        <v>202</v>
      </c>
      <c r="F228" s="4" t="s">
        <v>1485</v>
      </c>
      <c r="G228" t="s">
        <v>1325</v>
      </c>
      <c r="H228" t="s">
        <v>300</v>
      </c>
      <c r="I228" s="3">
        <f t="shared" si="3"/>
        <v>5.5555555555555552E-2</v>
      </c>
      <c r="J228" s="3">
        <f>D228/(VLOOKUP(B228,'2024 Team'!$B$2:$G$33,2,FALSE))</f>
        <v>6.042884990253411E-2</v>
      </c>
      <c r="K228" t="s">
        <v>1904</v>
      </c>
      <c r="L228" t="s">
        <v>229</v>
      </c>
    </row>
    <row r="229" spans="1:12" x14ac:dyDescent="0.25">
      <c r="A229" t="s">
        <v>415</v>
      </c>
      <c r="B229" t="s">
        <v>14</v>
      </c>
      <c r="C229" t="s">
        <v>159</v>
      </c>
      <c r="D229" s="4" t="s">
        <v>541</v>
      </c>
      <c r="E229" s="4" t="s">
        <v>535</v>
      </c>
      <c r="F229" s="4" t="s">
        <v>2346</v>
      </c>
      <c r="G229" t="s">
        <v>1336</v>
      </c>
      <c r="H229" t="s">
        <v>314</v>
      </c>
      <c r="I229" s="3">
        <f t="shared" si="3"/>
        <v>0.17647058823529413</v>
      </c>
      <c r="J229" s="3">
        <f>D229/(VLOOKUP(B229,'2024 Team'!$B$2:$G$33,2,FALSE))</f>
        <v>3.653846153846154E-2</v>
      </c>
      <c r="K229" t="s">
        <v>1506</v>
      </c>
      <c r="L229" t="s">
        <v>417</v>
      </c>
    </row>
    <row r="230" spans="1:12" x14ac:dyDescent="0.25">
      <c r="A230" t="s">
        <v>722</v>
      </c>
      <c r="B230" t="s">
        <v>28</v>
      </c>
      <c r="C230" t="s">
        <v>163</v>
      </c>
      <c r="D230" s="4" t="s">
        <v>514</v>
      </c>
      <c r="E230" s="4" t="s">
        <v>535</v>
      </c>
      <c r="F230" s="4" t="s">
        <v>2347</v>
      </c>
      <c r="G230" t="s">
        <v>1215</v>
      </c>
      <c r="H230" t="s">
        <v>289</v>
      </c>
      <c r="I230" s="3">
        <f t="shared" si="3"/>
        <v>0.11764705882352941</v>
      </c>
      <c r="J230" s="3">
        <f>D230/(VLOOKUP(B230,'2024 Team'!$B$2:$G$33,2,FALSE))</f>
        <v>3.9927404718693285E-2</v>
      </c>
      <c r="K230" t="s">
        <v>1249</v>
      </c>
      <c r="L230" t="s">
        <v>417</v>
      </c>
    </row>
    <row r="231" spans="1:12" x14ac:dyDescent="0.25">
      <c r="A231" t="s">
        <v>1859</v>
      </c>
      <c r="B231" t="s">
        <v>68</v>
      </c>
      <c r="C231" t="s">
        <v>153</v>
      </c>
      <c r="D231" s="4" t="s">
        <v>524</v>
      </c>
      <c r="E231" s="4" t="s">
        <v>535</v>
      </c>
      <c r="F231" s="4" t="s">
        <v>1445</v>
      </c>
      <c r="G231" t="s">
        <v>599</v>
      </c>
      <c r="H231" t="s">
        <v>314</v>
      </c>
      <c r="I231" s="3">
        <f t="shared" si="3"/>
        <v>0.17647058823529413</v>
      </c>
      <c r="J231" s="3">
        <f>D231/(VLOOKUP(B231,'2024 Team'!$B$2:$G$33,2,FALSE))</f>
        <v>3.7735849056603772E-2</v>
      </c>
      <c r="K231" t="s">
        <v>2008</v>
      </c>
      <c r="L231" t="s">
        <v>417</v>
      </c>
    </row>
    <row r="232" spans="1:12" x14ac:dyDescent="0.25">
      <c r="A232" t="s">
        <v>858</v>
      </c>
      <c r="B232" t="s">
        <v>16</v>
      </c>
      <c r="C232" t="s">
        <v>163</v>
      </c>
      <c r="D232" s="4" t="s">
        <v>507</v>
      </c>
      <c r="E232" s="4" t="s">
        <v>198</v>
      </c>
      <c r="F232" s="4" t="s">
        <v>1088</v>
      </c>
      <c r="G232" t="s">
        <v>1116</v>
      </c>
      <c r="H232" t="s">
        <v>417</v>
      </c>
      <c r="I232" s="3">
        <f t="shared" si="3"/>
        <v>0</v>
      </c>
      <c r="J232" s="3">
        <f>D232/(VLOOKUP(B232,'2024 Team'!$B$2:$G$33,2,FALSE))</f>
        <v>4.7531992687385741E-2</v>
      </c>
      <c r="K232" t="s">
        <v>2066</v>
      </c>
      <c r="L232" t="s">
        <v>300</v>
      </c>
    </row>
    <row r="233" spans="1:12" x14ac:dyDescent="0.25">
      <c r="A233" t="s">
        <v>858</v>
      </c>
      <c r="B233" t="s">
        <v>24</v>
      </c>
      <c r="C233" t="s">
        <v>163</v>
      </c>
      <c r="D233" s="4" t="s">
        <v>193</v>
      </c>
      <c r="E233" s="4" t="s">
        <v>220</v>
      </c>
      <c r="F233" s="4" t="s">
        <v>459</v>
      </c>
      <c r="G233" t="s">
        <v>1273</v>
      </c>
      <c r="H233" t="s">
        <v>417</v>
      </c>
      <c r="I233" s="3">
        <f t="shared" si="3"/>
        <v>0</v>
      </c>
      <c r="J233" s="3">
        <f>D233/(VLOOKUP(B233,'2024 Team'!$B$2:$G$33,2,FALSE))</f>
        <v>2.5117739403453691E-2</v>
      </c>
      <c r="K233" t="s">
        <v>2348</v>
      </c>
      <c r="L233" t="s">
        <v>417</v>
      </c>
    </row>
    <row r="234" spans="1:12" x14ac:dyDescent="0.25">
      <c r="A234" t="s">
        <v>471</v>
      </c>
      <c r="B234" t="s">
        <v>8</v>
      </c>
      <c r="C234" t="s">
        <v>159</v>
      </c>
      <c r="D234" s="4" t="s">
        <v>524</v>
      </c>
      <c r="E234" s="4" t="s">
        <v>193</v>
      </c>
      <c r="F234" s="4" t="s">
        <v>521</v>
      </c>
      <c r="G234" t="s">
        <v>539</v>
      </c>
      <c r="H234" t="s">
        <v>417</v>
      </c>
      <c r="I234" s="3">
        <f t="shared" si="3"/>
        <v>0</v>
      </c>
      <c r="J234" s="3">
        <f>D234/(VLOOKUP(B234,'2024 Team'!$B$2:$G$33,2,FALSE))</f>
        <v>3.6832412523020261E-2</v>
      </c>
      <c r="K234" t="s">
        <v>1329</v>
      </c>
      <c r="L234" t="s">
        <v>417</v>
      </c>
    </row>
    <row r="235" spans="1:12" x14ac:dyDescent="0.25">
      <c r="A235" t="s">
        <v>359</v>
      </c>
      <c r="B235" t="s">
        <v>58</v>
      </c>
      <c r="C235" t="s">
        <v>159</v>
      </c>
      <c r="D235" s="4" t="s">
        <v>514</v>
      </c>
      <c r="E235" s="4" t="s">
        <v>193</v>
      </c>
      <c r="F235" s="4" t="s">
        <v>1492</v>
      </c>
      <c r="G235" t="s">
        <v>691</v>
      </c>
      <c r="H235" t="s">
        <v>417</v>
      </c>
      <c r="I235" s="3">
        <f t="shared" si="3"/>
        <v>0</v>
      </c>
      <c r="J235" s="3">
        <f>D235/(VLOOKUP(B235,'2024 Team'!$B$2:$G$33,2,FALSE))</f>
        <v>4.9107142857142856E-2</v>
      </c>
      <c r="K235" t="s">
        <v>1117</v>
      </c>
      <c r="L235" t="s">
        <v>417</v>
      </c>
    </row>
    <row r="236" spans="1:12" x14ac:dyDescent="0.25">
      <c r="A236" t="s">
        <v>716</v>
      </c>
      <c r="B236" t="s">
        <v>18</v>
      </c>
      <c r="C236" t="s">
        <v>159</v>
      </c>
      <c r="D236" s="4" t="s">
        <v>524</v>
      </c>
      <c r="E236" s="4" t="s">
        <v>193</v>
      </c>
      <c r="F236" s="4" t="s">
        <v>521</v>
      </c>
      <c r="G236" t="s">
        <v>539</v>
      </c>
      <c r="H236" t="s">
        <v>417</v>
      </c>
      <c r="I236" s="3">
        <f t="shared" si="3"/>
        <v>0</v>
      </c>
      <c r="J236" s="3">
        <f>D236/(VLOOKUP(B236,'2024 Team'!$B$2:$G$33,2,FALSE))</f>
        <v>3.5335689045936397E-2</v>
      </c>
      <c r="K236" t="s">
        <v>1329</v>
      </c>
      <c r="L236" t="s">
        <v>417</v>
      </c>
    </row>
    <row r="237" spans="1:12" x14ac:dyDescent="0.25">
      <c r="A237" t="s">
        <v>1682</v>
      </c>
      <c r="B237" t="s">
        <v>34</v>
      </c>
      <c r="C237" t="s">
        <v>159</v>
      </c>
      <c r="D237" s="4" t="s">
        <v>541</v>
      </c>
      <c r="E237" s="4" t="s">
        <v>193</v>
      </c>
      <c r="F237" s="4" t="s">
        <v>1114</v>
      </c>
      <c r="G237" t="s">
        <v>574</v>
      </c>
      <c r="H237" t="s">
        <v>417</v>
      </c>
      <c r="I237" s="3">
        <f t="shared" si="3"/>
        <v>0</v>
      </c>
      <c r="J237" s="3">
        <f>D237/(VLOOKUP(B237,'2024 Team'!$B$2:$G$33,2,FALSE))</f>
        <v>3.7037037037037035E-2</v>
      </c>
      <c r="K237" t="s">
        <v>1487</v>
      </c>
      <c r="L237" t="s">
        <v>417</v>
      </c>
    </row>
    <row r="238" spans="1:12" x14ac:dyDescent="0.25">
      <c r="A238" t="s">
        <v>984</v>
      </c>
      <c r="B238" t="s">
        <v>42</v>
      </c>
      <c r="C238" t="s">
        <v>153</v>
      </c>
      <c r="D238" s="4" t="s">
        <v>541</v>
      </c>
      <c r="E238" s="4" t="s">
        <v>193</v>
      </c>
      <c r="F238" s="4" t="s">
        <v>1431</v>
      </c>
      <c r="G238" t="s">
        <v>1466</v>
      </c>
      <c r="H238" t="s">
        <v>417</v>
      </c>
      <c r="I238" s="3">
        <f t="shared" si="3"/>
        <v>0</v>
      </c>
      <c r="J238" s="3">
        <f>D238/(VLOOKUP(B238,'2024 Team'!$B$2:$G$33,2,FALSE))</f>
        <v>3.7254901960784313E-2</v>
      </c>
      <c r="K238" t="s">
        <v>1487</v>
      </c>
      <c r="L238" t="s">
        <v>300</v>
      </c>
    </row>
    <row r="239" spans="1:12" x14ac:dyDescent="0.25">
      <c r="A239" t="s">
        <v>2151</v>
      </c>
      <c r="B239" t="s">
        <v>40</v>
      </c>
      <c r="C239" t="s">
        <v>163</v>
      </c>
      <c r="D239" s="4" t="s">
        <v>503</v>
      </c>
      <c r="E239" s="4" t="s">
        <v>193</v>
      </c>
      <c r="F239" s="4" t="s">
        <v>315</v>
      </c>
      <c r="G239" t="s">
        <v>1195</v>
      </c>
      <c r="H239" t="s">
        <v>300</v>
      </c>
      <c r="I239" s="3">
        <f t="shared" si="3"/>
        <v>6.25E-2</v>
      </c>
      <c r="J239" s="3">
        <f>D239/(VLOOKUP(B239,'2024 Team'!$B$2:$G$33,2,FALSE))</f>
        <v>4.5669291338582677E-2</v>
      </c>
      <c r="K239" t="s">
        <v>2051</v>
      </c>
      <c r="L239" t="s">
        <v>300</v>
      </c>
    </row>
    <row r="240" spans="1:12" x14ac:dyDescent="0.25">
      <c r="A240" t="s">
        <v>2126</v>
      </c>
      <c r="B240" t="s">
        <v>62</v>
      </c>
      <c r="C240" t="s">
        <v>159</v>
      </c>
      <c r="D240" s="4" t="s">
        <v>193</v>
      </c>
      <c r="E240" s="4" t="s">
        <v>557</v>
      </c>
      <c r="F240" s="4" t="s">
        <v>1509</v>
      </c>
      <c r="G240" t="s">
        <v>1116</v>
      </c>
      <c r="H240" t="s">
        <v>417</v>
      </c>
      <c r="I240" s="3">
        <f t="shared" si="3"/>
        <v>0</v>
      </c>
      <c r="J240" s="3">
        <f>D240/(VLOOKUP(B240,'2024 Team'!$B$2:$G$33,2,FALSE))</f>
        <v>3.0018761726078799E-2</v>
      </c>
      <c r="K240" t="s">
        <v>2349</v>
      </c>
      <c r="L240" t="s">
        <v>314</v>
      </c>
    </row>
    <row r="241" spans="1:12" x14ac:dyDescent="0.25">
      <c r="A241" t="s">
        <v>182</v>
      </c>
      <c r="B241" t="s">
        <v>62</v>
      </c>
      <c r="C241" t="s">
        <v>159</v>
      </c>
      <c r="D241" s="4" t="s">
        <v>541</v>
      </c>
      <c r="E241" s="4" t="s">
        <v>557</v>
      </c>
      <c r="F241" s="4" t="s">
        <v>339</v>
      </c>
      <c r="G241" t="s">
        <v>1233</v>
      </c>
      <c r="H241" t="s">
        <v>417</v>
      </c>
      <c r="I241" s="3">
        <f t="shared" si="3"/>
        <v>0</v>
      </c>
      <c r="J241" s="3">
        <f>D241/(VLOOKUP(B241,'2024 Team'!$B$2:$G$33,2,FALSE))</f>
        <v>3.5647279549718573E-2</v>
      </c>
      <c r="K241" t="s">
        <v>1483</v>
      </c>
      <c r="L241" t="s">
        <v>300</v>
      </c>
    </row>
    <row r="242" spans="1:12" x14ac:dyDescent="0.25">
      <c r="A242" t="s">
        <v>668</v>
      </c>
      <c r="B242" t="s">
        <v>32</v>
      </c>
      <c r="C242" t="s">
        <v>153</v>
      </c>
      <c r="D242" s="4" t="s">
        <v>514</v>
      </c>
      <c r="E242" s="4" t="s">
        <v>557</v>
      </c>
      <c r="F242" s="4" t="s">
        <v>2138</v>
      </c>
      <c r="G242" t="s">
        <v>1370</v>
      </c>
      <c r="H242" t="s">
        <v>300</v>
      </c>
      <c r="I242" s="3">
        <f t="shared" si="3"/>
        <v>6.6666666666666666E-2</v>
      </c>
      <c r="J242" s="3">
        <f>D242/(VLOOKUP(B242,'2024 Team'!$B$2:$G$33,2,FALSE))</f>
        <v>3.8596491228070177E-2</v>
      </c>
      <c r="K242" t="s">
        <v>2018</v>
      </c>
      <c r="L242" t="s">
        <v>417</v>
      </c>
    </row>
    <row r="243" spans="1:12" x14ac:dyDescent="0.25">
      <c r="A243" t="s">
        <v>863</v>
      </c>
      <c r="B243" t="s">
        <v>26</v>
      </c>
      <c r="C243" t="s">
        <v>153</v>
      </c>
      <c r="D243" s="4" t="s">
        <v>557</v>
      </c>
      <c r="E243" s="4" t="s">
        <v>344</v>
      </c>
      <c r="F243" s="4" t="s">
        <v>1500</v>
      </c>
      <c r="G243" t="s">
        <v>1309</v>
      </c>
      <c r="H243" t="s">
        <v>314</v>
      </c>
      <c r="I243" s="3">
        <f t="shared" si="3"/>
        <v>0.21428571428571427</v>
      </c>
      <c r="J243" s="3">
        <f>D243/(VLOOKUP(B243,'2024 Team'!$B$2:$G$33,2,FALSE))</f>
        <v>2.6315789473684209E-2</v>
      </c>
      <c r="K243" t="s">
        <v>2053</v>
      </c>
      <c r="L243" t="s">
        <v>417</v>
      </c>
    </row>
    <row r="244" spans="1:12" x14ac:dyDescent="0.25">
      <c r="A244" t="s">
        <v>1770</v>
      </c>
      <c r="B244" t="s">
        <v>12</v>
      </c>
      <c r="C244" t="s">
        <v>163</v>
      </c>
      <c r="D244" s="4" t="s">
        <v>503</v>
      </c>
      <c r="E244" s="4" t="s">
        <v>344</v>
      </c>
      <c r="F244" s="4" t="s">
        <v>1478</v>
      </c>
      <c r="G244" t="s">
        <v>2072</v>
      </c>
      <c r="H244" t="s">
        <v>289</v>
      </c>
      <c r="I244" s="3">
        <f t="shared" si="3"/>
        <v>0.14285714285714285</v>
      </c>
      <c r="J244" s="3">
        <f>D244/(VLOOKUP(B244,'2024 Team'!$B$2:$G$33,2,FALSE))</f>
        <v>6.0796645702306078E-2</v>
      </c>
      <c r="K244" t="s">
        <v>2350</v>
      </c>
      <c r="L244" t="s">
        <v>417</v>
      </c>
    </row>
    <row r="245" spans="1:12" x14ac:dyDescent="0.25">
      <c r="A245" t="s">
        <v>969</v>
      </c>
      <c r="B245" t="s">
        <v>54</v>
      </c>
      <c r="C245" t="s">
        <v>153</v>
      </c>
      <c r="D245" s="4" t="s">
        <v>535</v>
      </c>
      <c r="E245" s="4" t="s">
        <v>344</v>
      </c>
      <c r="F245" s="4" t="s">
        <v>328</v>
      </c>
      <c r="G245" t="s">
        <v>1370</v>
      </c>
      <c r="H245" t="s">
        <v>417</v>
      </c>
      <c r="I245" s="3">
        <f t="shared" si="3"/>
        <v>0</v>
      </c>
      <c r="J245" s="3">
        <f>D245/(VLOOKUP(B245,'2024 Team'!$B$2:$G$33,2,FALSE))</f>
        <v>2.8764805414551606E-2</v>
      </c>
      <c r="K245" t="s">
        <v>1944</v>
      </c>
      <c r="L245" t="s">
        <v>417</v>
      </c>
    </row>
    <row r="246" spans="1:12" x14ac:dyDescent="0.25">
      <c r="A246" t="s">
        <v>995</v>
      </c>
      <c r="B246" t="s">
        <v>34</v>
      </c>
      <c r="C246" t="s">
        <v>153</v>
      </c>
      <c r="D246" s="4" t="s">
        <v>493</v>
      </c>
      <c r="E246" s="4" t="s">
        <v>344</v>
      </c>
      <c r="F246" s="4" t="s">
        <v>1631</v>
      </c>
      <c r="G246" t="s">
        <v>1466</v>
      </c>
      <c r="H246" t="s">
        <v>417</v>
      </c>
      <c r="I246" s="3">
        <f t="shared" si="3"/>
        <v>0</v>
      </c>
      <c r="J246" s="3">
        <f>D246/(VLOOKUP(B246,'2024 Team'!$B$2:$G$33,2,FALSE))</f>
        <v>6.042884990253411E-2</v>
      </c>
      <c r="K246" t="s">
        <v>2351</v>
      </c>
      <c r="L246" t="s">
        <v>417</v>
      </c>
    </row>
    <row r="247" spans="1:12" x14ac:dyDescent="0.25">
      <c r="A247" t="s">
        <v>1670</v>
      </c>
      <c r="B247" t="s">
        <v>22</v>
      </c>
      <c r="C247" t="s">
        <v>159</v>
      </c>
      <c r="D247" s="4" t="s">
        <v>514</v>
      </c>
      <c r="E247" s="4" t="s">
        <v>344</v>
      </c>
      <c r="F247" s="4" t="s">
        <v>521</v>
      </c>
      <c r="G247" t="s">
        <v>656</v>
      </c>
      <c r="H247" t="s">
        <v>417</v>
      </c>
      <c r="I247" s="3">
        <f t="shared" si="3"/>
        <v>0</v>
      </c>
      <c r="J247" s="3">
        <f>D247/(VLOOKUP(B247,'2024 Team'!$B$2:$G$33,2,FALSE))</f>
        <v>3.3282904689863842E-2</v>
      </c>
      <c r="K247" t="s">
        <v>1295</v>
      </c>
      <c r="L247" t="s">
        <v>417</v>
      </c>
    </row>
    <row r="248" spans="1:12" x14ac:dyDescent="0.25">
      <c r="A248" t="s">
        <v>670</v>
      </c>
      <c r="B248" t="s">
        <v>52</v>
      </c>
      <c r="C248" t="s">
        <v>163</v>
      </c>
      <c r="D248" s="4" t="s">
        <v>507</v>
      </c>
      <c r="E248" s="4" t="s">
        <v>344</v>
      </c>
      <c r="F248" s="4" t="s">
        <v>1114</v>
      </c>
      <c r="G248" t="s">
        <v>473</v>
      </c>
      <c r="H248" t="s">
        <v>417</v>
      </c>
      <c r="I248" s="3">
        <f t="shared" si="3"/>
        <v>0</v>
      </c>
      <c r="J248" s="3">
        <f>D248/(VLOOKUP(B248,'2024 Team'!$B$2:$G$33,2,FALSE))</f>
        <v>4.7186932849364795E-2</v>
      </c>
      <c r="K248" t="s">
        <v>1365</v>
      </c>
      <c r="L248" t="s">
        <v>417</v>
      </c>
    </row>
    <row r="249" spans="1:12" x14ac:dyDescent="0.25">
      <c r="A249" t="s">
        <v>176</v>
      </c>
      <c r="B249" t="s">
        <v>32</v>
      </c>
      <c r="C249" t="s">
        <v>159</v>
      </c>
      <c r="D249" s="4" t="s">
        <v>207</v>
      </c>
      <c r="E249" s="4" t="s">
        <v>229</v>
      </c>
      <c r="F249" s="4" t="s">
        <v>193</v>
      </c>
      <c r="G249" t="s">
        <v>235</v>
      </c>
      <c r="H249" t="s">
        <v>300</v>
      </c>
      <c r="I249" s="3">
        <f t="shared" si="3"/>
        <v>0.25</v>
      </c>
      <c r="J249" s="3">
        <f>D249/(VLOOKUP(B249,'2024 Team'!$B$2:$G$33,2,FALSE))</f>
        <v>1.2280701754385965E-2</v>
      </c>
      <c r="K249" t="s">
        <v>1488</v>
      </c>
      <c r="L249" t="s">
        <v>300</v>
      </c>
    </row>
    <row r="250" spans="1:12" x14ac:dyDescent="0.25">
      <c r="A250" t="s">
        <v>176</v>
      </c>
      <c r="B250" t="s">
        <v>48</v>
      </c>
      <c r="C250" t="s">
        <v>159</v>
      </c>
      <c r="D250" s="4" t="s">
        <v>266</v>
      </c>
      <c r="E250" s="4" t="s">
        <v>211</v>
      </c>
      <c r="F250" s="4" t="s">
        <v>441</v>
      </c>
      <c r="G250" t="s">
        <v>194</v>
      </c>
      <c r="H250" t="s">
        <v>289</v>
      </c>
      <c r="I250" s="3">
        <f t="shared" ref="I250:I311" si="4">H250/E250</f>
        <v>0.2</v>
      </c>
      <c r="J250" s="3">
        <f>D250/(VLOOKUP(B250,'2024 Team'!$B$2:$G$33,2,FALSE))</f>
        <v>2.0072992700729927E-2</v>
      </c>
      <c r="K250" t="s">
        <v>1530</v>
      </c>
      <c r="L250" t="s">
        <v>417</v>
      </c>
    </row>
    <row r="251" spans="1:12" x14ac:dyDescent="0.25">
      <c r="A251" t="s">
        <v>317</v>
      </c>
      <c r="B251" t="s">
        <v>10</v>
      </c>
      <c r="C251" t="s">
        <v>159</v>
      </c>
      <c r="D251" s="4" t="s">
        <v>234</v>
      </c>
      <c r="E251" s="4" t="s">
        <v>234</v>
      </c>
      <c r="F251" s="4" t="s">
        <v>1109</v>
      </c>
      <c r="G251" t="s">
        <v>1539</v>
      </c>
      <c r="H251" t="s">
        <v>417</v>
      </c>
      <c r="I251" s="3">
        <f t="shared" si="4"/>
        <v>0</v>
      </c>
      <c r="J251" s="3">
        <f>D251/(VLOOKUP(B251,'2024 Team'!$B$2:$G$33,2,FALSE))</f>
        <v>2.3255813953488372E-2</v>
      </c>
      <c r="K251" t="s">
        <v>1519</v>
      </c>
      <c r="L251" t="s">
        <v>417</v>
      </c>
    </row>
    <row r="252" spans="1:12" x14ac:dyDescent="0.25">
      <c r="A252" t="s">
        <v>1007</v>
      </c>
      <c r="B252" t="s">
        <v>64</v>
      </c>
      <c r="C252" t="s">
        <v>163</v>
      </c>
      <c r="D252" s="4" t="s">
        <v>535</v>
      </c>
      <c r="E252" s="4" t="s">
        <v>234</v>
      </c>
      <c r="F252" s="4" t="s">
        <v>1146</v>
      </c>
      <c r="G252" t="s">
        <v>1309</v>
      </c>
      <c r="H252" t="s">
        <v>300</v>
      </c>
      <c r="I252" s="3">
        <f t="shared" si="4"/>
        <v>7.6923076923076927E-2</v>
      </c>
      <c r="J252" s="3">
        <f>D252/(VLOOKUP(B252,'2024 Team'!$B$2:$G$33,2,FALSE))</f>
        <v>2.866779089376054E-2</v>
      </c>
      <c r="K252" t="s">
        <v>1241</v>
      </c>
      <c r="L252" t="s">
        <v>417</v>
      </c>
    </row>
    <row r="253" spans="1:12" x14ac:dyDescent="0.25">
      <c r="A253" t="s">
        <v>711</v>
      </c>
      <c r="B253" t="s">
        <v>42</v>
      </c>
      <c r="C253" t="s">
        <v>163</v>
      </c>
      <c r="D253" s="4" t="s">
        <v>535</v>
      </c>
      <c r="E253" s="4" t="s">
        <v>234</v>
      </c>
      <c r="F253" s="4" t="s">
        <v>337</v>
      </c>
      <c r="G253" t="s">
        <v>616</v>
      </c>
      <c r="H253" t="s">
        <v>289</v>
      </c>
      <c r="I253" s="3">
        <f t="shared" si="4"/>
        <v>0.15384615384615385</v>
      </c>
      <c r="J253" s="3">
        <f>D253/(VLOOKUP(B253,'2024 Team'!$B$2:$G$33,2,FALSE))</f>
        <v>3.3333333333333333E-2</v>
      </c>
      <c r="K253" t="s">
        <v>1241</v>
      </c>
      <c r="L253" t="s">
        <v>314</v>
      </c>
    </row>
    <row r="254" spans="1:12" x14ac:dyDescent="0.25">
      <c r="A254" t="s">
        <v>869</v>
      </c>
      <c r="B254" t="s">
        <v>26</v>
      </c>
      <c r="C254" t="s">
        <v>153</v>
      </c>
      <c r="D254" s="4" t="s">
        <v>514</v>
      </c>
      <c r="E254" s="4" t="s">
        <v>234</v>
      </c>
      <c r="F254" s="4" t="s">
        <v>1452</v>
      </c>
      <c r="G254" t="s">
        <v>1092</v>
      </c>
      <c r="H254" t="s">
        <v>289</v>
      </c>
      <c r="I254" s="3">
        <f t="shared" si="4"/>
        <v>0.15384615384615385</v>
      </c>
      <c r="J254" s="3">
        <f>D254/(VLOOKUP(B254,'2024 Team'!$B$2:$G$33,2,FALSE))</f>
        <v>3.8596491228070177E-2</v>
      </c>
      <c r="K254" t="s">
        <v>1472</v>
      </c>
      <c r="L254" t="s">
        <v>417</v>
      </c>
    </row>
    <row r="255" spans="1:12" x14ac:dyDescent="0.25">
      <c r="A255" t="s">
        <v>876</v>
      </c>
      <c r="B255" t="s">
        <v>28</v>
      </c>
      <c r="C255" t="s">
        <v>153</v>
      </c>
      <c r="D255" s="4" t="s">
        <v>193</v>
      </c>
      <c r="E255" s="4" t="s">
        <v>234</v>
      </c>
      <c r="F255" s="4" t="s">
        <v>1081</v>
      </c>
      <c r="G255" t="s">
        <v>1489</v>
      </c>
      <c r="H255" t="s">
        <v>289</v>
      </c>
      <c r="I255" s="3">
        <f t="shared" si="4"/>
        <v>0.15384615384615385</v>
      </c>
      <c r="J255" s="3">
        <f>D255/(VLOOKUP(B255,'2024 Team'!$B$2:$G$33,2,FALSE))</f>
        <v>2.9038112522686024E-2</v>
      </c>
      <c r="K255" t="s">
        <v>1447</v>
      </c>
      <c r="L255" t="s">
        <v>417</v>
      </c>
    </row>
    <row r="256" spans="1:12" x14ac:dyDescent="0.25">
      <c r="A256" t="s">
        <v>981</v>
      </c>
      <c r="B256" t="s">
        <v>26</v>
      </c>
      <c r="C256" t="s">
        <v>163</v>
      </c>
      <c r="D256" s="4" t="s">
        <v>541</v>
      </c>
      <c r="E256" s="4" t="s">
        <v>198</v>
      </c>
      <c r="F256" s="4" t="s">
        <v>1513</v>
      </c>
      <c r="G256" t="s">
        <v>1263</v>
      </c>
      <c r="H256" t="s">
        <v>300</v>
      </c>
      <c r="I256" s="3">
        <f t="shared" si="4"/>
        <v>8.3333333333333329E-2</v>
      </c>
      <c r="J256" s="3">
        <f>D256/(VLOOKUP(B256,'2024 Team'!$B$2:$G$33,2,FALSE))</f>
        <v>3.3333333333333333E-2</v>
      </c>
      <c r="K256" t="s">
        <v>2299</v>
      </c>
      <c r="L256" t="s">
        <v>417</v>
      </c>
    </row>
    <row r="257" spans="1:12" x14ac:dyDescent="0.25">
      <c r="A257" t="s">
        <v>981</v>
      </c>
      <c r="B257" t="s">
        <v>36</v>
      </c>
      <c r="C257" t="s">
        <v>163</v>
      </c>
      <c r="D257" s="4" t="s">
        <v>220</v>
      </c>
      <c r="E257" s="4" t="s">
        <v>300</v>
      </c>
      <c r="F257" s="4" t="s">
        <v>266</v>
      </c>
      <c r="G257" t="s">
        <v>779</v>
      </c>
      <c r="H257" t="s">
        <v>417</v>
      </c>
      <c r="I257" s="3">
        <f t="shared" si="4"/>
        <v>0</v>
      </c>
      <c r="J257" s="3">
        <f>D257/(VLOOKUP(B257,'2024 Team'!$B$2:$G$33,2,FALSE))</f>
        <v>9.1575091575091579E-3</v>
      </c>
      <c r="K257" t="s">
        <v>1543</v>
      </c>
      <c r="L257" t="s">
        <v>417</v>
      </c>
    </row>
    <row r="258" spans="1:12" x14ac:dyDescent="0.25">
      <c r="A258" t="s">
        <v>892</v>
      </c>
      <c r="B258" t="s">
        <v>34</v>
      </c>
      <c r="C258" t="s">
        <v>153</v>
      </c>
      <c r="D258" s="4" t="s">
        <v>514</v>
      </c>
      <c r="E258" s="4" t="s">
        <v>198</v>
      </c>
      <c r="F258" s="4" t="s">
        <v>486</v>
      </c>
      <c r="G258" t="s">
        <v>1236</v>
      </c>
      <c r="H258" t="s">
        <v>300</v>
      </c>
      <c r="I258" s="3">
        <f t="shared" si="4"/>
        <v>8.3333333333333329E-2</v>
      </c>
      <c r="J258" s="3">
        <f>D258/(VLOOKUP(B258,'2024 Team'!$B$2:$G$33,2,FALSE))</f>
        <v>4.2884990253411304E-2</v>
      </c>
      <c r="K258" t="s">
        <v>1532</v>
      </c>
      <c r="L258" t="s">
        <v>417</v>
      </c>
    </row>
    <row r="259" spans="1:12" x14ac:dyDescent="0.25">
      <c r="A259" t="s">
        <v>789</v>
      </c>
      <c r="B259" t="s">
        <v>24</v>
      </c>
      <c r="C259" t="s">
        <v>163</v>
      </c>
      <c r="D259" s="4" t="s">
        <v>639</v>
      </c>
      <c r="E259" s="4" t="s">
        <v>198</v>
      </c>
      <c r="F259" s="4" t="s">
        <v>447</v>
      </c>
      <c r="G259" t="s">
        <v>1292</v>
      </c>
      <c r="H259" t="s">
        <v>300</v>
      </c>
      <c r="I259" s="3">
        <f t="shared" si="4"/>
        <v>8.3333333333333329E-2</v>
      </c>
      <c r="J259" s="3">
        <f>D259/(VLOOKUP(B259,'2024 Team'!$B$2:$G$33,2,FALSE))</f>
        <v>4.709576138147567E-2</v>
      </c>
      <c r="K259" t="s">
        <v>1522</v>
      </c>
      <c r="L259" t="s">
        <v>417</v>
      </c>
    </row>
    <row r="260" spans="1:12" x14ac:dyDescent="0.25">
      <c r="A260" t="s">
        <v>1627</v>
      </c>
      <c r="B260" t="s">
        <v>24</v>
      </c>
      <c r="C260" t="s">
        <v>159</v>
      </c>
      <c r="D260" s="4" t="s">
        <v>557</v>
      </c>
      <c r="E260" s="4" t="s">
        <v>198</v>
      </c>
      <c r="F260" s="4" t="s">
        <v>497</v>
      </c>
      <c r="G260" t="s">
        <v>400</v>
      </c>
      <c r="H260" t="s">
        <v>417</v>
      </c>
      <c r="I260" s="3">
        <f t="shared" si="4"/>
        <v>0</v>
      </c>
      <c r="J260" s="3">
        <f>D260/(VLOOKUP(B260,'2024 Team'!$B$2:$G$33,2,FALSE))</f>
        <v>2.3547880690737835E-2</v>
      </c>
      <c r="K260" t="s">
        <v>1329</v>
      </c>
      <c r="L260" t="s">
        <v>300</v>
      </c>
    </row>
    <row r="261" spans="1:12" x14ac:dyDescent="0.25">
      <c r="A261" t="s">
        <v>1016</v>
      </c>
      <c r="B261" t="s">
        <v>36</v>
      </c>
      <c r="C261" t="s">
        <v>153</v>
      </c>
      <c r="D261" s="4" t="s">
        <v>535</v>
      </c>
      <c r="E261" s="4" t="s">
        <v>198</v>
      </c>
      <c r="F261" s="4" t="s">
        <v>376</v>
      </c>
      <c r="G261" t="s">
        <v>516</v>
      </c>
      <c r="H261" t="s">
        <v>417</v>
      </c>
      <c r="I261" s="3">
        <f t="shared" si="4"/>
        <v>0</v>
      </c>
      <c r="J261" s="3">
        <f>D261/(VLOOKUP(B261,'2024 Team'!$B$2:$G$33,2,FALSE))</f>
        <v>3.1135531135531136E-2</v>
      </c>
      <c r="K261" t="s">
        <v>1408</v>
      </c>
      <c r="L261" t="s">
        <v>417</v>
      </c>
    </row>
    <row r="262" spans="1:12" x14ac:dyDescent="0.25">
      <c r="A262" t="s">
        <v>822</v>
      </c>
      <c r="B262" t="s">
        <v>38</v>
      </c>
      <c r="C262" t="s">
        <v>163</v>
      </c>
      <c r="D262" s="4" t="s">
        <v>344</v>
      </c>
      <c r="E262" s="4" t="s">
        <v>198</v>
      </c>
      <c r="F262" s="4" t="s">
        <v>1209</v>
      </c>
      <c r="G262" t="s">
        <v>726</v>
      </c>
      <c r="H262" t="s">
        <v>417</v>
      </c>
      <c r="I262" s="3">
        <f t="shared" si="4"/>
        <v>0</v>
      </c>
      <c r="J262" s="3">
        <f>D262/(VLOOKUP(B262,'2024 Team'!$B$2:$G$33,2,FALSE))</f>
        <v>2.3333333333333334E-2</v>
      </c>
      <c r="K262" t="s">
        <v>1430</v>
      </c>
      <c r="L262" t="s">
        <v>417</v>
      </c>
    </row>
    <row r="263" spans="1:12" x14ac:dyDescent="0.25">
      <c r="A263" t="s">
        <v>943</v>
      </c>
      <c r="B263" t="s">
        <v>46</v>
      </c>
      <c r="C263" t="s">
        <v>153</v>
      </c>
      <c r="D263" s="4" t="s">
        <v>541</v>
      </c>
      <c r="E263" s="4" t="s">
        <v>198</v>
      </c>
      <c r="F263" s="4" t="s">
        <v>1081</v>
      </c>
      <c r="G263" t="s">
        <v>1383</v>
      </c>
      <c r="H263" t="s">
        <v>417</v>
      </c>
      <c r="I263" s="3">
        <f t="shared" si="4"/>
        <v>0</v>
      </c>
      <c r="J263" s="3">
        <f>D263/(VLOOKUP(B263,'2024 Team'!$B$2:$G$33,2,FALSE))</f>
        <v>3.2148900169204735E-2</v>
      </c>
      <c r="K263" t="s">
        <v>2299</v>
      </c>
      <c r="L263" t="s">
        <v>300</v>
      </c>
    </row>
    <row r="264" spans="1:12" x14ac:dyDescent="0.25">
      <c r="A264" t="s">
        <v>690</v>
      </c>
      <c r="B264" t="s">
        <v>32</v>
      </c>
      <c r="C264" t="s">
        <v>163</v>
      </c>
      <c r="D264" s="4" t="s">
        <v>507</v>
      </c>
      <c r="E264" s="4" t="s">
        <v>198</v>
      </c>
      <c r="F264" s="4" t="s">
        <v>546</v>
      </c>
      <c r="G264" t="s">
        <v>579</v>
      </c>
      <c r="H264" t="s">
        <v>417</v>
      </c>
      <c r="I264" s="3">
        <f t="shared" si="4"/>
        <v>0</v>
      </c>
      <c r="J264" s="3">
        <f>D264/(VLOOKUP(B264,'2024 Team'!$B$2:$G$33,2,FALSE))</f>
        <v>4.5614035087719301E-2</v>
      </c>
      <c r="K264" t="s">
        <v>2066</v>
      </c>
      <c r="L264" t="s">
        <v>417</v>
      </c>
    </row>
    <row r="265" spans="1:12" x14ac:dyDescent="0.25">
      <c r="A265" t="s">
        <v>563</v>
      </c>
      <c r="B265" t="s">
        <v>36</v>
      </c>
      <c r="C265" t="s">
        <v>159</v>
      </c>
      <c r="D265" s="4" t="s">
        <v>541</v>
      </c>
      <c r="E265" s="4" t="s">
        <v>198</v>
      </c>
      <c r="F265" s="4" t="s">
        <v>508</v>
      </c>
      <c r="G265" t="s">
        <v>531</v>
      </c>
      <c r="H265" t="s">
        <v>417</v>
      </c>
      <c r="I265" s="3">
        <f t="shared" si="4"/>
        <v>0</v>
      </c>
      <c r="J265" s="3">
        <f>D265/(VLOOKUP(B265,'2024 Team'!$B$2:$G$33,2,FALSE))</f>
        <v>3.47985347985348E-2</v>
      </c>
      <c r="K265" t="s">
        <v>2299</v>
      </c>
      <c r="L265" t="s">
        <v>417</v>
      </c>
    </row>
    <row r="266" spans="1:12" x14ac:dyDescent="0.25">
      <c r="A266" t="s">
        <v>566</v>
      </c>
      <c r="B266" t="s">
        <v>24</v>
      </c>
      <c r="C266" t="s">
        <v>159</v>
      </c>
      <c r="D266" s="4" t="s">
        <v>193</v>
      </c>
      <c r="E266" s="4" t="s">
        <v>198</v>
      </c>
      <c r="F266" s="4" t="s">
        <v>1134</v>
      </c>
      <c r="G266" t="s">
        <v>676</v>
      </c>
      <c r="H266" t="s">
        <v>417</v>
      </c>
      <c r="I266" s="3">
        <f t="shared" si="4"/>
        <v>0</v>
      </c>
      <c r="J266" s="3">
        <f>D266/(VLOOKUP(B266,'2024 Team'!$B$2:$G$33,2,FALSE))</f>
        <v>2.5117739403453691E-2</v>
      </c>
      <c r="K266" t="s">
        <v>1321</v>
      </c>
      <c r="L266" t="s">
        <v>417</v>
      </c>
    </row>
    <row r="267" spans="1:12" x14ac:dyDescent="0.25">
      <c r="A267" t="s">
        <v>1026</v>
      </c>
      <c r="B267" t="s">
        <v>66</v>
      </c>
      <c r="C267" t="s">
        <v>163</v>
      </c>
      <c r="D267" s="4" t="s">
        <v>524</v>
      </c>
      <c r="E267" s="4" t="s">
        <v>198</v>
      </c>
      <c r="F267" s="4" t="s">
        <v>1922</v>
      </c>
      <c r="G267" t="s">
        <v>1331</v>
      </c>
      <c r="H267" t="s">
        <v>289</v>
      </c>
      <c r="I267" s="3">
        <f t="shared" si="4"/>
        <v>0.16666666666666666</v>
      </c>
      <c r="J267" s="3">
        <f>D267/(VLOOKUP(B267,'2024 Team'!$B$2:$G$33,2,FALSE))</f>
        <v>3.5026269702276708E-2</v>
      </c>
      <c r="K267" t="s">
        <v>1290</v>
      </c>
      <c r="L267" t="s">
        <v>417</v>
      </c>
    </row>
    <row r="268" spans="1:12" x14ac:dyDescent="0.25">
      <c r="A268" t="s">
        <v>1824</v>
      </c>
      <c r="B268" t="s">
        <v>52</v>
      </c>
      <c r="C268" t="s">
        <v>159</v>
      </c>
      <c r="D268" s="4" t="s">
        <v>202</v>
      </c>
      <c r="E268" s="4" t="s">
        <v>198</v>
      </c>
      <c r="F268" s="4" t="s">
        <v>392</v>
      </c>
      <c r="G268" t="s">
        <v>420</v>
      </c>
      <c r="H268" t="s">
        <v>417</v>
      </c>
      <c r="I268" s="3">
        <f t="shared" si="4"/>
        <v>0</v>
      </c>
      <c r="J268" s="3">
        <f>D268/(VLOOKUP(B268,'2024 Team'!$B$2:$G$33,2,FALSE))</f>
        <v>3.2667876588021776E-2</v>
      </c>
      <c r="K268" t="s">
        <v>1297</v>
      </c>
      <c r="L268" t="s">
        <v>417</v>
      </c>
    </row>
    <row r="269" spans="1:12" x14ac:dyDescent="0.25">
      <c r="A269" t="s">
        <v>365</v>
      </c>
      <c r="B269" t="s">
        <v>38</v>
      </c>
      <c r="C269" t="s">
        <v>159</v>
      </c>
      <c r="D269" s="4" t="s">
        <v>193</v>
      </c>
      <c r="E269" s="4" t="s">
        <v>198</v>
      </c>
      <c r="F269" s="4" t="s">
        <v>562</v>
      </c>
      <c r="G269" t="s">
        <v>426</v>
      </c>
      <c r="H269" t="s">
        <v>417</v>
      </c>
      <c r="I269" s="3">
        <f t="shared" si="4"/>
        <v>0</v>
      </c>
      <c r="J269" s="3">
        <f>D269/(VLOOKUP(B269,'2024 Team'!$B$2:$G$33,2,FALSE))</f>
        <v>2.6666666666666668E-2</v>
      </c>
      <c r="K269" t="s">
        <v>1321</v>
      </c>
      <c r="L269" t="s">
        <v>417</v>
      </c>
    </row>
    <row r="270" spans="1:12" x14ac:dyDescent="0.25">
      <c r="A270" t="s">
        <v>1734</v>
      </c>
      <c r="B270" t="s">
        <v>66</v>
      </c>
      <c r="C270" t="s">
        <v>163</v>
      </c>
      <c r="D270" s="4" t="s">
        <v>514</v>
      </c>
      <c r="E270" s="4" t="s">
        <v>198</v>
      </c>
      <c r="F270" s="4" t="s">
        <v>1060</v>
      </c>
      <c r="G270" t="s">
        <v>1225</v>
      </c>
      <c r="H270" t="s">
        <v>300</v>
      </c>
      <c r="I270" s="3">
        <f t="shared" si="4"/>
        <v>8.3333333333333329E-2</v>
      </c>
      <c r="J270" s="3">
        <f>D270/(VLOOKUP(B270,'2024 Team'!$B$2:$G$33,2,FALSE))</f>
        <v>3.8528896672504379E-2</v>
      </c>
      <c r="K270" t="s">
        <v>1532</v>
      </c>
      <c r="L270" t="s">
        <v>300</v>
      </c>
    </row>
    <row r="271" spans="1:12" x14ac:dyDescent="0.25">
      <c r="A271" t="s">
        <v>1674</v>
      </c>
      <c r="B271" t="s">
        <v>60</v>
      </c>
      <c r="C271" t="s">
        <v>159</v>
      </c>
      <c r="D271" s="4" t="s">
        <v>344</v>
      </c>
      <c r="E271" s="4" t="s">
        <v>198</v>
      </c>
      <c r="F271" s="4" t="s">
        <v>1135</v>
      </c>
      <c r="G271" t="s">
        <v>608</v>
      </c>
      <c r="H271" t="s">
        <v>300</v>
      </c>
      <c r="I271" s="3">
        <f t="shared" si="4"/>
        <v>8.3333333333333329E-2</v>
      </c>
      <c r="J271" s="3">
        <f>D271/(VLOOKUP(B271,'2024 Team'!$B$2:$G$33,2,FALSE))</f>
        <v>2.8056112224448898E-2</v>
      </c>
      <c r="K271" t="s">
        <v>1430</v>
      </c>
      <c r="L271" t="s">
        <v>300</v>
      </c>
    </row>
    <row r="272" spans="1:12" x14ac:dyDescent="0.25">
      <c r="A272" t="s">
        <v>959</v>
      </c>
      <c r="B272" t="s">
        <v>52</v>
      </c>
      <c r="C272" t="s">
        <v>163</v>
      </c>
      <c r="D272" s="4" t="s">
        <v>496</v>
      </c>
      <c r="E272" s="4" t="s">
        <v>198</v>
      </c>
      <c r="F272" s="4" t="s">
        <v>1121</v>
      </c>
      <c r="G272" t="s">
        <v>662</v>
      </c>
      <c r="H272" t="s">
        <v>300</v>
      </c>
      <c r="I272" s="3">
        <f t="shared" si="4"/>
        <v>8.3333333333333329E-2</v>
      </c>
      <c r="J272" s="3">
        <f>D272/(VLOOKUP(B272,'2024 Team'!$B$2:$G$33,2,FALSE))</f>
        <v>5.0816696914700546E-2</v>
      </c>
      <c r="K272" t="s">
        <v>1517</v>
      </c>
      <c r="L272" t="s">
        <v>417</v>
      </c>
    </row>
    <row r="273" spans="1:12" x14ac:dyDescent="0.25">
      <c r="A273" t="s">
        <v>2167</v>
      </c>
      <c r="B273" t="s">
        <v>50</v>
      </c>
      <c r="C273" t="s">
        <v>163</v>
      </c>
      <c r="D273" s="4" t="s">
        <v>485</v>
      </c>
      <c r="E273" s="4" t="s">
        <v>198</v>
      </c>
      <c r="F273" s="4" t="s">
        <v>598</v>
      </c>
      <c r="G273" t="s">
        <v>691</v>
      </c>
      <c r="H273" t="s">
        <v>289</v>
      </c>
      <c r="I273" s="3">
        <f t="shared" si="4"/>
        <v>0.16666666666666666</v>
      </c>
      <c r="J273" s="3">
        <f>D273/(VLOOKUP(B273,'2024 Team'!$B$2:$G$33,2,FALSE))</f>
        <v>6.2381852551984876E-2</v>
      </c>
      <c r="K273" t="s">
        <v>2352</v>
      </c>
      <c r="L273" t="s">
        <v>417</v>
      </c>
    </row>
    <row r="274" spans="1:12" x14ac:dyDescent="0.25">
      <c r="A274" t="s">
        <v>954</v>
      </c>
      <c r="B274" t="s">
        <v>52</v>
      </c>
      <c r="C274" t="s">
        <v>163</v>
      </c>
      <c r="D274" s="4" t="s">
        <v>514</v>
      </c>
      <c r="E274" s="4" t="s">
        <v>266</v>
      </c>
      <c r="F274" s="4" t="s">
        <v>465</v>
      </c>
      <c r="G274" t="s">
        <v>1140</v>
      </c>
      <c r="H274" t="s">
        <v>417</v>
      </c>
      <c r="I274" s="3">
        <f t="shared" si="4"/>
        <v>0</v>
      </c>
      <c r="J274" s="3">
        <f>D274/(VLOOKUP(B274,'2024 Team'!$B$2:$G$33,2,FALSE))</f>
        <v>3.9927404718693285E-2</v>
      </c>
      <c r="K274" t="s">
        <v>1356</v>
      </c>
      <c r="L274" t="s">
        <v>300</v>
      </c>
    </row>
    <row r="275" spans="1:12" x14ac:dyDescent="0.25">
      <c r="A275" t="s">
        <v>489</v>
      </c>
      <c r="B275" t="s">
        <v>30</v>
      </c>
      <c r="C275" t="s">
        <v>159</v>
      </c>
      <c r="D275" s="4" t="s">
        <v>234</v>
      </c>
      <c r="E275" s="4" t="s">
        <v>266</v>
      </c>
      <c r="F275" s="4" t="s">
        <v>497</v>
      </c>
      <c r="G275" t="s">
        <v>488</v>
      </c>
      <c r="H275" t="s">
        <v>417</v>
      </c>
      <c r="I275" s="3">
        <f t="shared" si="4"/>
        <v>0</v>
      </c>
      <c r="J275" s="3">
        <f>D275/(VLOOKUP(B275,'2024 Team'!$B$2:$G$33,2,FALSE))</f>
        <v>2.7139874739039668E-2</v>
      </c>
      <c r="K275" t="s">
        <v>1419</v>
      </c>
      <c r="L275" t="s">
        <v>417</v>
      </c>
    </row>
    <row r="276" spans="1:12" x14ac:dyDescent="0.25">
      <c r="A276" t="s">
        <v>395</v>
      </c>
      <c r="B276" t="s">
        <v>8</v>
      </c>
      <c r="C276" t="s">
        <v>159</v>
      </c>
      <c r="D276" s="4" t="s">
        <v>266</v>
      </c>
      <c r="E276" s="4" t="s">
        <v>266</v>
      </c>
      <c r="F276" s="4" t="s">
        <v>436</v>
      </c>
      <c r="G276" t="s">
        <v>194</v>
      </c>
      <c r="H276" t="s">
        <v>417</v>
      </c>
      <c r="I276" s="3">
        <f t="shared" si="4"/>
        <v>0</v>
      </c>
      <c r="J276" s="3">
        <f>D276/(VLOOKUP(B276,'2024 Team'!$B$2:$G$33,2,FALSE))</f>
        <v>2.0257826887661142E-2</v>
      </c>
      <c r="K276" t="s">
        <v>1519</v>
      </c>
      <c r="L276" t="s">
        <v>417</v>
      </c>
    </row>
    <row r="277" spans="1:12" x14ac:dyDescent="0.25">
      <c r="A277" t="s">
        <v>1023</v>
      </c>
      <c r="B277" t="s">
        <v>66</v>
      </c>
      <c r="C277" t="s">
        <v>153</v>
      </c>
      <c r="D277" s="4" t="s">
        <v>344</v>
      </c>
      <c r="E277" s="4" t="s">
        <v>266</v>
      </c>
      <c r="F277" s="4" t="s">
        <v>1500</v>
      </c>
      <c r="G277" t="s">
        <v>605</v>
      </c>
      <c r="H277" t="s">
        <v>289</v>
      </c>
      <c r="I277" s="3">
        <f t="shared" si="4"/>
        <v>0.18181818181818182</v>
      </c>
      <c r="J277" s="3">
        <f>D277/(VLOOKUP(B277,'2024 Team'!$B$2:$G$33,2,FALSE))</f>
        <v>2.4518388791593695E-2</v>
      </c>
      <c r="K277" t="s">
        <v>1520</v>
      </c>
      <c r="L277" t="s">
        <v>300</v>
      </c>
    </row>
    <row r="278" spans="1:12" x14ac:dyDescent="0.25">
      <c r="A278" t="s">
        <v>837</v>
      </c>
      <c r="B278" t="s">
        <v>36</v>
      </c>
      <c r="C278" t="s">
        <v>163</v>
      </c>
      <c r="D278" s="4" t="s">
        <v>193</v>
      </c>
      <c r="E278" s="4" t="s">
        <v>266</v>
      </c>
      <c r="F278" s="4" t="s">
        <v>562</v>
      </c>
      <c r="G278" t="s">
        <v>1458</v>
      </c>
      <c r="H278" t="s">
        <v>417</v>
      </c>
      <c r="I278" s="3">
        <f t="shared" si="4"/>
        <v>0</v>
      </c>
      <c r="J278" s="3">
        <f>D278/(VLOOKUP(B278,'2024 Team'!$B$2:$G$33,2,FALSE))</f>
        <v>2.9304029304029304E-2</v>
      </c>
      <c r="K278" t="s">
        <v>1371</v>
      </c>
      <c r="L278" t="s">
        <v>300</v>
      </c>
    </row>
    <row r="279" spans="1:12" x14ac:dyDescent="0.25">
      <c r="A279" t="s">
        <v>609</v>
      </c>
      <c r="B279" t="s">
        <v>34</v>
      </c>
      <c r="C279" t="s">
        <v>159</v>
      </c>
      <c r="D279" s="4" t="s">
        <v>557</v>
      </c>
      <c r="E279" s="4" t="s">
        <v>266</v>
      </c>
      <c r="F279" s="4" t="s">
        <v>529</v>
      </c>
      <c r="G279" t="s">
        <v>445</v>
      </c>
      <c r="H279" t="s">
        <v>300</v>
      </c>
      <c r="I279" s="3">
        <f t="shared" si="4"/>
        <v>9.0909090909090912E-2</v>
      </c>
      <c r="J279" s="3">
        <f>D279/(VLOOKUP(B279,'2024 Team'!$B$2:$G$33,2,FALSE))</f>
        <v>2.9239766081871343E-2</v>
      </c>
      <c r="K279" t="s">
        <v>1396</v>
      </c>
      <c r="L279" t="s">
        <v>417</v>
      </c>
    </row>
    <row r="280" spans="1:12" x14ac:dyDescent="0.25">
      <c r="A280" t="s">
        <v>695</v>
      </c>
      <c r="B280" t="s">
        <v>46</v>
      </c>
      <c r="C280" t="s">
        <v>613</v>
      </c>
      <c r="D280" s="4" t="s">
        <v>198</v>
      </c>
      <c r="E280" s="4" t="s">
        <v>266</v>
      </c>
      <c r="F280" s="4" t="s">
        <v>508</v>
      </c>
      <c r="G280" t="s">
        <v>1381</v>
      </c>
      <c r="H280" t="s">
        <v>417</v>
      </c>
      <c r="I280" s="3">
        <f t="shared" si="4"/>
        <v>0</v>
      </c>
      <c r="J280" s="3">
        <f>D280/(VLOOKUP(B280,'2024 Team'!$B$2:$G$33,2,FALSE))</f>
        <v>2.030456852791878E-2</v>
      </c>
      <c r="K280" t="s">
        <v>2060</v>
      </c>
      <c r="L280" t="s">
        <v>289</v>
      </c>
    </row>
    <row r="281" spans="1:12" x14ac:dyDescent="0.25">
      <c r="A281" t="s">
        <v>294</v>
      </c>
      <c r="B281" t="s">
        <v>62</v>
      </c>
      <c r="C281" t="s">
        <v>159</v>
      </c>
      <c r="D281" s="4" t="s">
        <v>344</v>
      </c>
      <c r="E281" s="4" t="s">
        <v>266</v>
      </c>
      <c r="F281" s="4" t="s">
        <v>1202</v>
      </c>
      <c r="G281" t="s">
        <v>1383</v>
      </c>
      <c r="H281" t="s">
        <v>417</v>
      </c>
      <c r="I281" s="3">
        <f t="shared" si="4"/>
        <v>0</v>
      </c>
      <c r="J281" s="3">
        <f>D281/(VLOOKUP(B281,'2024 Team'!$B$2:$G$33,2,FALSE))</f>
        <v>2.6266416510318951E-2</v>
      </c>
      <c r="K281" t="s">
        <v>1520</v>
      </c>
      <c r="L281" t="s">
        <v>314</v>
      </c>
    </row>
    <row r="282" spans="1:12" x14ac:dyDescent="0.25">
      <c r="A282" t="s">
        <v>1011</v>
      </c>
      <c r="B282" t="s">
        <v>62</v>
      </c>
      <c r="C282" t="s">
        <v>153</v>
      </c>
      <c r="D282" s="4" t="s">
        <v>344</v>
      </c>
      <c r="E282" s="4" t="s">
        <v>266</v>
      </c>
      <c r="F282" s="4" t="s">
        <v>1512</v>
      </c>
      <c r="G282" t="s">
        <v>1192</v>
      </c>
      <c r="H282" t="s">
        <v>300</v>
      </c>
      <c r="I282" s="3">
        <f t="shared" si="4"/>
        <v>9.0909090909090912E-2</v>
      </c>
      <c r="J282" s="3">
        <f>D282/(VLOOKUP(B282,'2024 Team'!$B$2:$G$33,2,FALSE))</f>
        <v>2.6266416510318951E-2</v>
      </c>
      <c r="K282" t="s">
        <v>1520</v>
      </c>
      <c r="L282" t="s">
        <v>300</v>
      </c>
    </row>
    <row r="283" spans="1:12" x14ac:dyDescent="0.25">
      <c r="A283" t="s">
        <v>818</v>
      </c>
      <c r="B283" t="s">
        <v>12</v>
      </c>
      <c r="C283" t="s">
        <v>163</v>
      </c>
      <c r="D283" s="4" t="s">
        <v>198</v>
      </c>
      <c r="E283" s="4" t="s">
        <v>266</v>
      </c>
      <c r="F283" s="4" t="s">
        <v>457</v>
      </c>
      <c r="G283" t="s">
        <v>1294</v>
      </c>
      <c r="H283" t="s">
        <v>300</v>
      </c>
      <c r="I283" s="3">
        <f t="shared" si="4"/>
        <v>9.0909090909090912E-2</v>
      </c>
      <c r="J283" s="3">
        <f>D283/(VLOOKUP(B283,'2024 Team'!$B$2:$G$33,2,FALSE))</f>
        <v>2.5157232704402517E-2</v>
      </c>
      <c r="K283" t="s">
        <v>2060</v>
      </c>
      <c r="L283" t="s">
        <v>300</v>
      </c>
    </row>
    <row r="284" spans="1:12" x14ac:dyDescent="0.25">
      <c r="A284" t="s">
        <v>327</v>
      </c>
      <c r="B284" t="s">
        <v>30</v>
      </c>
      <c r="C284" t="s">
        <v>159</v>
      </c>
      <c r="D284" s="4" t="s">
        <v>344</v>
      </c>
      <c r="E284" s="4" t="s">
        <v>266</v>
      </c>
      <c r="F284" s="4" t="s">
        <v>450</v>
      </c>
      <c r="G284" t="s">
        <v>230</v>
      </c>
      <c r="H284" t="s">
        <v>300</v>
      </c>
      <c r="I284" s="3">
        <f t="shared" si="4"/>
        <v>9.0909090909090912E-2</v>
      </c>
      <c r="J284" s="3">
        <f>D284/(VLOOKUP(B284,'2024 Team'!$B$2:$G$33,2,FALSE))</f>
        <v>2.9227557411273485E-2</v>
      </c>
      <c r="K284" t="s">
        <v>1520</v>
      </c>
      <c r="L284" t="s">
        <v>417</v>
      </c>
    </row>
    <row r="285" spans="1:12" x14ac:dyDescent="0.25">
      <c r="A285" t="s">
        <v>1714</v>
      </c>
      <c r="B285" t="s">
        <v>26</v>
      </c>
      <c r="C285" t="s">
        <v>613</v>
      </c>
      <c r="D285" s="4" t="s">
        <v>211</v>
      </c>
      <c r="E285" s="4" t="s">
        <v>211</v>
      </c>
      <c r="F285" s="4" t="s">
        <v>422</v>
      </c>
      <c r="G285" t="s">
        <v>539</v>
      </c>
      <c r="H285" t="s">
        <v>300</v>
      </c>
      <c r="I285" s="3">
        <f t="shared" si="4"/>
        <v>0.1</v>
      </c>
      <c r="J285" s="3">
        <f>D285/(VLOOKUP(B285,'2024 Team'!$B$2:$G$33,2,FALSE))</f>
        <v>1.7543859649122806E-2</v>
      </c>
      <c r="K285" t="s">
        <v>1519</v>
      </c>
      <c r="L285" t="s">
        <v>417</v>
      </c>
    </row>
    <row r="286" spans="1:12" x14ac:dyDescent="0.25">
      <c r="A286" t="s">
        <v>671</v>
      </c>
      <c r="B286" t="s">
        <v>24</v>
      </c>
      <c r="C286" t="s">
        <v>163</v>
      </c>
      <c r="D286" s="4" t="s">
        <v>344</v>
      </c>
      <c r="E286" s="4" t="s">
        <v>211</v>
      </c>
      <c r="F286" s="4" t="s">
        <v>1102</v>
      </c>
      <c r="G286" t="s">
        <v>1148</v>
      </c>
      <c r="H286" t="s">
        <v>417</v>
      </c>
      <c r="I286" s="3">
        <f t="shared" si="4"/>
        <v>0</v>
      </c>
      <c r="J286" s="3">
        <f>D286/(VLOOKUP(B286,'2024 Team'!$B$2:$G$33,2,FALSE))</f>
        <v>2.197802197802198E-2</v>
      </c>
      <c r="K286" t="s">
        <v>1363</v>
      </c>
      <c r="L286" t="s">
        <v>300</v>
      </c>
    </row>
    <row r="287" spans="1:12" x14ac:dyDescent="0.25">
      <c r="A287" t="s">
        <v>1698</v>
      </c>
      <c r="B287" t="s">
        <v>54</v>
      </c>
      <c r="C287" t="s">
        <v>159</v>
      </c>
      <c r="D287" s="4" t="s">
        <v>266</v>
      </c>
      <c r="E287" s="4" t="s">
        <v>211</v>
      </c>
      <c r="F287" s="4" t="s">
        <v>390</v>
      </c>
      <c r="G287" t="s">
        <v>1309</v>
      </c>
      <c r="H287" t="s">
        <v>417</v>
      </c>
      <c r="I287" s="3">
        <f t="shared" si="4"/>
        <v>0</v>
      </c>
      <c r="J287" s="3">
        <f>D287/(VLOOKUP(B287,'2024 Team'!$B$2:$G$33,2,FALSE))</f>
        <v>1.8612521150592216E-2</v>
      </c>
      <c r="K287" t="s">
        <v>1530</v>
      </c>
      <c r="L287" t="s">
        <v>314</v>
      </c>
    </row>
    <row r="288" spans="1:12" x14ac:dyDescent="0.25">
      <c r="A288" t="s">
        <v>1803</v>
      </c>
      <c r="B288" t="s">
        <v>50</v>
      </c>
      <c r="C288" t="s">
        <v>159</v>
      </c>
      <c r="D288" s="4" t="s">
        <v>198</v>
      </c>
      <c r="E288" s="4" t="s">
        <v>211</v>
      </c>
      <c r="F288" s="4" t="s">
        <v>398</v>
      </c>
      <c r="G288" t="s">
        <v>420</v>
      </c>
      <c r="H288" t="s">
        <v>300</v>
      </c>
      <c r="I288" s="3">
        <f t="shared" si="4"/>
        <v>0.1</v>
      </c>
      <c r="J288" s="3">
        <f>D288/(VLOOKUP(B288,'2024 Team'!$B$2:$G$33,2,FALSE))</f>
        <v>2.2684310018903593E-2</v>
      </c>
      <c r="K288" t="s">
        <v>1133</v>
      </c>
      <c r="L288" t="s">
        <v>417</v>
      </c>
    </row>
    <row r="289" spans="1:12" x14ac:dyDescent="0.25">
      <c r="A289" t="s">
        <v>881</v>
      </c>
      <c r="B289" t="s">
        <v>30</v>
      </c>
      <c r="C289" t="s">
        <v>163</v>
      </c>
      <c r="D289" s="4" t="s">
        <v>234</v>
      </c>
      <c r="E289" s="4" t="s">
        <v>211</v>
      </c>
      <c r="F289" s="4" t="s">
        <v>1512</v>
      </c>
      <c r="G289" t="s">
        <v>1233</v>
      </c>
      <c r="H289" t="s">
        <v>289</v>
      </c>
      <c r="I289" s="3">
        <f t="shared" si="4"/>
        <v>0.2</v>
      </c>
      <c r="J289" s="3">
        <f>D289/(VLOOKUP(B289,'2024 Team'!$B$2:$G$33,2,FALSE))</f>
        <v>2.7139874739039668E-2</v>
      </c>
      <c r="K289" t="s">
        <v>1397</v>
      </c>
      <c r="L289" t="s">
        <v>417</v>
      </c>
    </row>
    <row r="290" spans="1:12" x14ac:dyDescent="0.25">
      <c r="A290" t="s">
        <v>543</v>
      </c>
      <c r="B290" t="s">
        <v>18</v>
      </c>
      <c r="C290" t="s">
        <v>159</v>
      </c>
      <c r="D290" s="4" t="s">
        <v>289</v>
      </c>
      <c r="E290" s="4" t="s">
        <v>289</v>
      </c>
      <c r="F290" s="4" t="s">
        <v>229</v>
      </c>
      <c r="G290" t="s">
        <v>643</v>
      </c>
      <c r="H290" t="s">
        <v>417</v>
      </c>
      <c r="I290" s="3">
        <f t="shared" si="4"/>
        <v>0</v>
      </c>
      <c r="J290" s="3">
        <f>D290/(VLOOKUP(B290,'2024 Team'!$B$2:$G$33,2,FALSE))</f>
        <v>3.5335689045936395E-3</v>
      </c>
      <c r="K290" t="s">
        <v>1519</v>
      </c>
      <c r="L290" t="s">
        <v>417</v>
      </c>
    </row>
    <row r="291" spans="1:12" x14ac:dyDescent="0.25">
      <c r="A291" t="s">
        <v>543</v>
      </c>
      <c r="B291" t="s">
        <v>20</v>
      </c>
      <c r="C291" t="s">
        <v>159</v>
      </c>
      <c r="D291" s="4" t="s">
        <v>270</v>
      </c>
      <c r="E291" s="4" t="s">
        <v>225</v>
      </c>
      <c r="F291" s="4" t="s">
        <v>528</v>
      </c>
      <c r="G291" t="s">
        <v>603</v>
      </c>
      <c r="H291" t="s">
        <v>417</v>
      </c>
      <c r="I291" s="3">
        <f t="shared" si="4"/>
        <v>0</v>
      </c>
      <c r="J291" s="3">
        <f>D291/(VLOOKUP(B291,'2024 Team'!$B$2:$G$33,2,FALSE))</f>
        <v>1.3803680981595092E-2</v>
      </c>
      <c r="K291" t="s">
        <v>1384</v>
      </c>
      <c r="L291" t="s">
        <v>300</v>
      </c>
    </row>
    <row r="292" spans="1:12" x14ac:dyDescent="0.25">
      <c r="A292" t="s">
        <v>1774</v>
      </c>
      <c r="B292" t="s">
        <v>46</v>
      </c>
      <c r="C292" t="s">
        <v>163</v>
      </c>
      <c r="D292" s="4" t="s">
        <v>202</v>
      </c>
      <c r="E292" s="4" t="s">
        <v>270</v>
      </c>
      <c r="F292" s="4" t="s">
        <v>433</v>
      </c>
      <c r="G292" t="s">
        <v>568</v>
      </c>
      <c r="H292" t="s">
        <v>417</v>
      </c>
      <c r="I292" s="3">
        <f t="shared" si="4"/>
        <v>0</v>
      </c>
      <c r="J292" s="3">
        <f>D292/(VLOOKUP(B292,'2024 Team'!$B$2:$G$33,2,FALSE))</f>
        <v>3.0456852791878174E-2</v>
      </c>
      <c r="K292" t="s">
        <v>1356</v>
      </c>
      <c r="L292" t="s">
        <v>417</v>
      </c>
    </row>
    <row r="293" spans="1:12" x14ac:dyDescent="0.25">
      <c r="A293" t="s">
        <v>907</v>
      </c>
      <c r="B293" t="s">
        <v>38</v>
      </c>
      <c r="C293" t="s">
        <v>163</v>
      </c>
      <c r="D293" s="4" t="s">
        <v>557</v>
      </c>
      <c r="E293" s="4" t="s">
        <v>270</v>
      </c>
      <c r="F293" s="4" t="s">
        <v>1202</v>
      </c>
      <c r="G293" t="s">
        <v>1116</v>
      </c>
      <c r="H293" t="s">
        <v>417</v>
      </c>
      <c r="I293" s="3">
        <f t="shared" si="4"/>
        <v>0</v>
      </c>
      <c r="J293" s="3">
        <f>D293/(VLOOKUP(B293,'2024 Team'!$B$2:$G$33,2,FALSE))</f>
        <v>2.5000000000000001E-2</v>
      </c>
      <c r="K293" t="s">
        <v>1290</v>
      </c>
      <c r="L293" t="s">
        <v>417</v>
      </c>
    </row>
    <row r="294" spans="1:12" x14ac:dyDescent="0.25">
      <c r="A294" t="s">
        <v>886</v>
      </c>
      <c r="B294" t="s">
        <v>40</v>
      </c>
      <c r="C294" t="s">
        <v>153</v>
      </c>
      <c r="D294" s="4" t="s">
        <v>198</v>
      </c>
      <c r="E294" s="4" t="s">
        <v>270</v>
      </c>
      <c r="F294" s="4" t="s">
        <v>371</v>
      </c>
      <c r="G294" t="s">
        <v>1112</v>
      </c>
      <c r="H294" t="s">
        <v>417</v>
      </c>
      <c r="I294" s="3">
        <f t="shared" si="4"/>
        <v>0</v>
      </c>
      <c r="J294" s="3">
        <f>D294/(VLOOKUP(B294,'2024 Team'!$B$2:$G$33,2,FALSE))</f>
        <v>1.889763779527559E-2</v>
      </c>
      <c r="K294" t="s">
        <v>1321</v>
      </c>
      <c r="L294" t="s">
        <v>417</v>
      </c>
    </row>
    <row r="295" spans="1:12" x14ac:dyDescent="0.25">
      <c r="A295" t="s">
        <v>1728</v>
      </c>
      <c r="B295" t="s">
        <v>18</v>
      </c>
      <c r="C295" t="s">
        <v>163</v>
      </c>
      <c r="D295" s="4" t="s">
        <v>344</v>
      </c>
      <c r="E295" s="4" t="s">
        <v>270</v>
      </c>
      <c r="F295" s="4" t="s">
        <v>411</v>
      </c>
      <c r="G295" t="s">
        <v>531</v>
      </c>
      <c r="H295" t="s">
        <v>417</v>
      </c>
      <c r="I295" s="3">
        <f t="shared" si="4"/>
        <v>0</v>
      </c>
      <c r="J295" s="3">
        <f>D295/(VLOOKUP(B295,'2024 Team'!$B$2:$G$33,2,FALSE))</f>
        <v>2.4734982332155476E-2</v>
      </c>
      <c r="K295" t="s">
        <v>1518</v>
      </c>
      <c r="L295" t="s">
        <v>300</v>
      </c>
    </row>
    <row r="296" spans="1:12" x14ac:dyDescent="0.25">
      <c r="A296" t="s">
        <v>1789</v>
      </c>
      <c r="B296" t="s">
        <v>70</v>
      </c>
      <c r="C296" t="s">
        <v>163</v>
      </c>
      <c r="D296" s="4" t="s">
        <v>234</v>
      </c>
      <c r="E296" s="4" t="s">
        <v>270</v>
      </c>
      <c r="F296" s="4" t="s">
        <v>411</v>
      </c>
      <c r="G296" t="s">
        <v>531</v>
      </c>
      <c r="H296" t="s">
        <v>289</v>
      </c>
      <c r="I296" s="3">
        <f t="shared" si="4"/>
        <v>0.22222222222222221</v>
      </c>
      <c r="J296" s="3">
        <f>D296/(VLOOKUP(B296,'2024 Team'!$B$2:$G$33,2,FALSE))</f>
        <v>2.4761904761904763E-2</v>
      </c>
      <c r="K296" t="s">
        <v>1342</v>
      </c>
      <c r="L296" t="s">
        <v>289</v>
      </c>
    </row>
    <row r="297" spans="1:12" x14ac:dyDescent="0.25">
      <c r="A297" t="s">
        <v>443</v>
      </c>
      <c r="B297" t="s">
        <v>56</v>
      </c>
      <c r="C297" t="s">
        <v>159</v>
      </c>
      <c r="D297" s="4" t="s">
        <v>198</v>
      </c>
      <c r="E297" s="4" t="s">
        <v>270</v>
      </c>
      <c r="F297" s="4" t="s">
        <v>536</v>
      </c>
      <c r="G297" t="s">
        <v>1383</v>
      </c>
      <c r="H297" t="s">
        <v>300</v>
      </c>
      <c r="I297" s="3">
        <f t="shared" si="4"/>
        <v>0.1111111111111111</v>
      </c>
      <c r="J297" s="3">
        <f>D297/(VLOOKUP(B297,'2024 Team'!$B$2:$G$33,2,FALSE))</f>
        <v>1.9769357495881382E-2</v>
      </c>
      <c r="K297" t="s">
        <v>1321</v>
      </c>
      <c r="L297" t="s">
        <v>417</v>
      </c>
    </row>
    <row r="298" spans="1:12" x14ac:dyDescent="0.25">
      <c r="A298" t="s">
        <v>1750</v>
      </c>
      <c r="B298" t="s">
        <v>66</v>
      </c>
      <c r="C298" t="s">
        <v>163</v>
      </c>
      <c r="D298" s="4" t="s">
        <v>266</v>
      </c>
      <c r="E298" s="4" t="s">
        <v>270</v>
      </c>
      <c r="F298" s="4" t="s">
        <v>352</v>
      </c>
      <c r="G298" t="s">
        <v>1254</v>
      </c>
      <c r="H298" t="s">
        <v>417</v>
      </c>
      <c r="I298" s="3">
        <f t="shared" si="4"/>
        <v>0</v>
      </c>
      <c r="J298" s="3">
        <f>D298/(VLOOKUP(B298,'2024 Team'!$B$2:$G$33,2,FALSE))</f>
        <v>1.9264448336252189E-2</v>
      </c>
      <c r="K298" t="s">
        <v>1358</v>
      </c>
      <c r="L298" t="s">
        <v>417</v>
      </c>
    </row>
    <row r="299" spans="1:12" x14ac:dyDescent="0.25">
      <c r="A299" t="s">
        <v>814</v>
      </c>
      <c r="B299" t="s">
        <v>12</v>
      </c>
      <c r="C299" t="s">
        <v>153</v>
      </c>
      <c r="D299" s="4" t="s">
        <v>266</v>
      </c>
      <c r="E299" s="4" t="s">
        <v>270</v>
      </c>
      <c r="F299" s="4" t="s">
        <v>349</v>
      </c>
      <c r="G299" t="s">
        <v>1187</v>
      </c>
      <c r="H299" t="s">
        <v>300</v>
      </c>
      <c r="I299" s="3">
        <f t="shared" si="4"/>
        <v>0.1111111111111111</v>
      </c>
      <c r="J299" s="3">
        <f>D299/(VLOOKUP(B299,'2024 Team'!$B$2:$G$33,2,FALSE))</f>
        <v>2.3060796645702306E-2</v>
      </c>
      <c r="K299" t="s">
        <v>1358</v>
      </c>
      <c r="L299" t="s">
        <v>417</v>
      </c>
    </row>
    <row r="300" spans="1:12" x14ac:dyDescent="0.25">
      <c r="A300" t="s">
        <v>439</v>
      </c>
      <c r="B300" t="s">
        <v>70</v>
      </c>
      <c r="C300" t="s">
        <v>159</v>
      </c>
      <c r="D300" s="4" t="s">
        <v>198</v>
      </c>
      <c r="E300" s="4" t="s">
        <v>270</v>
      </c>
      <c r="F300" s="4" t="s">
        <v>490</v>
      </c>
      <c r="G300" t="s">
        <v>502</v>
      </c>
      <c r="H300" t="s">
        <v>417</v>
      </c>
      <c r="I300" s="3">
        <f t="shared" si="4"/>
        <v>0</v>
      </c>
      <c r="J300" s="3">
        <f>D300/(VLOOKUP(B300,'2024 Team'!$B$2:$G$33,2,FALSE))</f>
        <v>2.2857142857142857E-2</v>
      </c>
      <c r="K300" t="s">
        <v>1321</v>
      </c>
      <c r="L300" t="s">
        <v>417</v>
      </c>
    </row>
    <row r="301" spans="1:12" x14ac:dyDescent="0.25">
      <c r="A301" t="s">
        <v>2199</v>
      </c>
      <c r="B301" t="s">
        <v>52</v>
      </c>
      <c r="C301" t="s">
        <v>163</v>
      </c>
      <c r="D301" s="4" t="s">
        <v>557</v>
      </c>
      <c r="E301" s="4" t="s">
        <v>270</v>
      </c>
      <c r="F301" s="4" t="s">
        <v>366</v>
      </c>
      <c r="G301" t="s">
        <v>1100</v>
      </c>
      <c r="H301" t="s">
        <v>300</v>
      </c>
      <c r="I301" s="3">
        <f t="shared" si="4"/>
        <v>0.1111111111111111</v>
      </c>
      <c r="J301" s="3">
        <f>D301/(VLOOKUP(B301,'2024 Team'!$B$2:$G$33,2,FALSE))</f>
        <v>2.7223230490018149E-2</v>
      </c>
      <c r="K301" t="s">
        <v>1290</v>
      </c>
      <c r="L301" t="s">
        <v>417</v>
      </c>
    </row>
    <row r="302" spans="1:12" x14ac:dyDescent="0.25">
      <c r="A302" t="s">
        <v>895</v>
      </c>
      <c r="B302" t="s">
        <v>34</v>
      </c>
      <c r="C302" t="s">
        <v>153</v>
      </c>
      <c r="D302" s="4" t="s">
        <v>344</v>
      </c>
      <c r="E302" s="4" t="s">
        <v>270</v>
      </c>
      <c r="F302" s="4" t="s">
        <v>455</v>
      </c>
      <c r="G302" t="s">
        <v>1350</v>
      </c>
      <c r="H302" t="s">
        <v>300</v>
      </c>
      <c r="I302" s="3">
        <f t="shared" si="4"/>
        <v>0.1111111111111111</v>
      </c>
      <c r="J302" s="3">
        <f>D302/(VLOOKUP(B302,'2024 Team'!$B$2:$G$33,2,FALSE))</f>
        <v>2.7290448343079921E-2</v>
      </c>
      <c r="K302" t="s">
        <v>1518</v>
      </c>
      <c r="L302" t="s">
        <v>417</v>
      </c>
    </row>
    <row r="303" spans="1:12" x14ac:dyDescent="0.25">
      <c r="A303" t="s">
        <v>839</v>
      </c>
      <c r="B303" t="s">
        <v>46</v>
      </c>
      <c r="C303" t="s">
        <v>153</v>
      </c>
      <c r="D303" s="4" t="s">
        <v>535</v>
      </c>
      <c r="E303" s="4" t="s">
        <v>270</v>
      </c>
      <c r="F303" s="4" t="s">
        <v>446</v>
      </c>
      <c r="G303" t="s">
        <v>420</v>
      </c>
      <c r="H303" t="s">
        <v>417</v>
      </c>
      <c r="I303" s="3">
        <f t="shared" si="4"/>
        <v>0</v>
      </c>
      <c r="J303" s="3">
        <f>D303/(VLOOKUP(B303,'2024 Team'!$B$2:$G$33,2,FALSE))</f>
        <v>2.8764805414551606E-2</v>
      </c>
      <c r="K303" t="s">
        <v>1450</v>
      </c>
      <c r="L303" t="s">
        <v>417</v>
      </c>
    </row>
    <row r="304" spans="1:12" x14ac:dyDescent="0.25">
      <c r="A304" t="s">
        <v>861</v>
      </c>
      <c r="B304" t="s">
        <v>24</v>
      </c>
      <c r="C304" t="s">
        <v>153</v>
      </c>
      <c r="D304" s="4" t="s">
        <v>344</v>
      </c>
      <c r="E304" s="4" t="s">
        <v>270</v>
      </c>
      <c r="F304" s="4" t="s">
        <v>1109</v>
      </c>
      <c r="G304" t="s">
        <v>579</v>
      </c>
      <c r="H304" t="s">
        <v>417</v>
      </c>
      <c r="I304" s="3">
        <f t="shared" si="4"/>
        <v>0</v>
      </c>
      <c r="J304" s="3">
        <f>D304/(VLOOKUP(B304,'2024 Team'!$B$2:$G$33,2,FALSE))</f>
        <v>2.197802197802198E-2</v>
      </c>
      <c r="K304" t="s">
        <v>1518</v>
      </c>
      <c r="L304" t="s">
        <v>417</v>
      </c>
    </row>
    <row r="305" spans="1:12" x14ac:dyDescent="0.25">
      <c r="A305" t="s">
        <v>378</v>
      </c>
      <c r="B305" t="s">
        <v>66</v>
      </c>
      <c r="C305" t="s">
        <v>159</v>
      </c>
      <c r="D305" s="4" t="s">
        <v>198</v>
      </c>
      <c r="E305" s="4" t="s">
        <v>270</v>
      </c>
      <c r="F305" s="4" t="s">
        <v>455</v>
      </c>
      <c r="G305" t="s">
        <v>1350</v>
      </c>
      <c r="H305" t="s">
        <v>300</v>
      </c>
      <c r="I305" s="3">
        <f t="shared" si="4"/>
        <v>0.1111111111111111</v>
      </c>
      <c r="J305" s="3">
        <f>D305/(VLOOKUP(B305,'2024 Team'!$B$2:$G$33,2,FALSE))</f>
        <v>2.1015761821366025E-2</v>
      </c>
      <c r="K305" t="s">
        <v>1321</v>
      </c>
      <c r="L305" t="s">
        <v>300</v>
      </c>
    </row>
    <row r="306" spans="1:12" x14ac:dyDescent="0.25">
      <c r="A306" t="s">
        <v>1655</v>
      </c>
      <c r="B306" t="s">
        <v>52</v>
      </c>
      <c r="C306" t="s">
        <v>159</v>
      </c>
      <c r="D306" s="4" t="s">
        <v>266</v>
      </c>
      <c r="E306" s="4" t="s">
        <v>270</v>
      </c>
      <c r="F306" s="4" t="s">
        <v>436</v>
      </c>
      <c r="G306" t="s">
        <v>488</v>
      </c>
      <c r="H306" t="s">
        <v>417</v>
      </c>
      <c r="I306" s="3">
        <f t="shared" si="4"/>
        <v>0</v>
      </c>
      <c r="J306" s="3">
        <f>D306/(VLOOKUP(B306,'2024 Team'!$B$2:$G$33,2,FALSE))</f>
        <v>1.9963702359346643E-2</v>
      </c>
      <c r="K306" t="s">
        <v>1358</v>
      </c>
      <c r="L306" t="s">
        <v>417</v>
      </c>
    </row>
    <row r="307" spans="1:12" x14ac:dyDescent="0.25">
      <c r="A307" t="s">
        <v>1041</v>
      </c>
      <c r="B307" t="s">
        <v>70</v>
      </c>
      <c r="C307" t="s">
        <v>153</v>
      </c>
      <c r="D307" s="4" t="s">
        <v>234</v>
      </c>
      <c r="E307" s="4" t="s">
        <v>225</v>
      </c>
      <c r="F307" s="4" t="s">
        <v>405</v>
      </c>
      <c r="G307" t="s">
        <v>605</v>
      </c>
      <c r="H307" t="s">
        <v>417</v>
      </c>
      <c r="I307" s="3">
        <f t="shared" si="4"/>
        <v>0</v>
      </c>
      <c r="J307" s="3">
        <f>D307/(VLOOKUP(B307,'2024 Team'!$B$2:$G$33,2,FALSE))</f>
        <v>2.4761904761904763E-2</v>
      </c>
      <c r="K307" t="s">
        <v>1947</v>
      </c>
      <c r="L307" t="s">
        <v>300</v>
      </c>
    </row>
    <row r="308" spans="1:12" x14ac:dyDescent="0.25">
      <c r="A308" t="s">
        <v>790</v>
      </c>
      <c r="B308" t="s">
        <v>64</v>
      </c>
      <c r="C308" t="s">
        <v>153</v>
      </c>
      <c r="D308" s="4" t="s">
        <v>198</v>
      </c>
      <c r="E308" s="4" t="s">
        <v>225</v>
      </c>
      <c r="F308" s="4" t="s">
        <v>422</v>
      </c>
      <c r="G308" t="s">
        <v>1328</v>
      </c>
      <c r="H308" t="s">
        <v>417</v>
      </c>
      <c r="I308" s="3">
        <f t="shared" si="4"/>
        <v>0</v>
      </c>
      <c r="J308" s="3">
        <f>D308/(VLOOKUP(B308,'2024 Team'!$B$2:$G$33,2,FALSE))</f>
        <v>2.0236087689713321E-2</v>
      </c>
      <c r="K308" t="s">
        <v>1297</v>
      </c>
      <c r="L308" t="s">
        <v>300</v>
      </c>
    </row>
    <row r="309" spans="1:12" x14ac:dyDescent="0.25">
      <c r="A309" t="s">
        <v>1729</v>
      </c>
      <c r="B309" t="s">
        <v>18</v>
      </c>
      <c r="C309" t="s">
        <v>153</v>
      </c>
      <c r="D309" s="4" t="s">
        <v>234</v>
      </c>
      <c r="E309" s="4" t="s">
        <v>225</v>
      </c>
      <c r="F309" s="4" t="s">
        <v>476</v>
      </c>
      <c r="G309" t="s">
        <v>255</v>
      </c>
      <c r="H309" t="s">
        <v>417</v>
      </c>
      <c r="I309" s="3">
        <f t="shared" si="4"/>
        <v>0</v>
      </c>
      <c r="J309" s="3">
        <f>D309/(VLOOKUP(B309,'2024 Team'!$B$2:$G$33,2,FALSE))</f>
        <v>2.2968197879858657E-2</v>
      </c>
      <c r="K309" t="s">
        <v>1947</v>
      </c>
      <c r="L309" t="s">
        <v>417</v>
      </c>
    </row>
    <row r="310" spans="1:12" x14ac:dyDescent="0.25">
      <c r="A310" t="s">
        <v>927</v>
      </c>
      <c r="B310" t="s">
        <v>44</v>
      </c>
      <c r="C310" t="s">
        <v>153</v>
      </c>
      <c r="D310" s="4" t="s">
        <v>198</v>
      </c>
      <c r="E310" s="4" t="s">
        <v>225</v>
      </c>
      <c r="F310" s="4" t="s">
        <v>1160</v>
      </c>
      <c r="G310" t="s">
        <v>1383</v>
      </c>
      <c r="H310" t="s">
        <v>289</v>
      </c>
      <c r="I310" s="3">
        <f t="shared" si="4"/>
        <v>0.25</v>
      </c>
      <c r="J310" s="3">
        <f>D310/(VLOOKUP(B310,'2024 Team'!$B$2:$G$33,2,FALSE))</f>
        <v>2.1466905187835419E-2</v>
      </c>
      <c r="K310" t="s">
        <v>1297</v>
      </c>
      <c r="L310" t="s">
        <v>417</v>
      </c>
    </row>
    <row r="311" spans="1:12" x14ac:dyDescent="0.25">
      <c r="A311" t="s">
        <v>1806</v>
      </c>
      <c r="B311" t="s">
        <v>42</v>
      </c>
      <c r="C311" t="s">
        <v>153</v>
      </c>
      <c r="D311" s="4" t="s">
        <v>234</v>
      </c>
      <c r="E311" s="4" t="s">
        <v>225</v>
      </c>
      <c r="F311" s="4" t="s">
        <v>511</v>
      </c>
      <c r="G311" t="s">
        <v>622</v>
      </c>
      <c r="H311" t="s">
        <v>417</v>
      </c>
      <c r="I311" s="3">
        <f t="shared" si="4"/>
        <v>0</v>
      </c>
      <c r="J311" s="3">
        <f>D311/(VLOOKUP(B311,'2024 Team'!$B$2:$G$33,2,FALSE))</f>
        <v>2.5490196078431372E-2</v>
      </c>
      <c r="K311" t="s">
        <v>1947</v>
      </c>
      <c r="L311" t="s">
        <v>417</v>
      </c>
    </row>
    <row r="312" spans="1:12" x14ac:dyDescent="0.25">
      <c r="A312" t="s">
        <v>972</v>
      </c>
      <c r="B312" t="s">
        <v>54</v>
      </c>
      <c r="C312" t="s">
        <v>163</v>
      </c>
      <c r="D312" s="4" t="s">
        <v>541</v>
      </c>
      <c r="E312" s="4" t="s">
        <v>225</v>
      </c>
      <c r="F312" s="4" t="s">
        <v>573</v>
      </c>
      <c r="G312" t="s">
        <v>611</v>
      </c>
      <c r="H312" t="s">
        <v>417</v>
      </c>
      <c r="I312" s="3">
        <f t="shared" ref="I312:I375" si="5">H312/E312</f>
        <v>0</v>
      </c>
      <c r="J312" s="3">
        <f>D312/(VLOOKUP(B312,'2024 Team'!$B$2:$G$33,2,FALSE))</f>
        <v>3.2148900169204735E-2</v>
      </c>
      <c r="K312" t="s">
        <v>2061</v>
      </c>
      <c r="L312" t="s">
        <v>417</v>
      </c>
    </row>
    <row r="313" spans="1:12" x14ac:dyDescent="0.25">
      <c r="A313" t="s">
        <v>794</v>
      </c>
      <c r="B313" t="s">
        <v>8</v>
      </c>
      <c r="C313" t="s">
        <v>163</v>
      </c>
      <c r="D313" s="4" t="s">
        <v>266</v>
      </c>
      <c r="E313" s="4" t="s">
        <v>225</v>
      </c>
      <c r="F313" s="4" t="s">
        <v>405</v>
      </c>
      <c r="G313" t="s">
        <v>605</v>
      </c>
      <c r="H313" t="s">
        <v>417</v>
      </c>
      <c r="I313" s="3">
        <f t="shared" si="5"/>
        <v>0</v>
      </c>
      <c r="J313" s="3">
        <f>D313/(VLOOKUP(B313,'2024 Team'!$B$2:$G$33,2,FALSE))</f>
        <v>2.0257826887661142E-2</v>
      </c>
      <c r="K313" t="s">
        <v>1117</v>
      </c>
      <c r="L313" t="s">
        <v>417</v>
      </c>
    </row>
    <row r="314" spans="1:12" x14ac:dyDescent="0.25">
      <c r="A314" t="s">
        <v>646</v>
      </c>
      <c r="B314" t="s">
        <v>30</v>
      </c>
      <c r="C314" t="s">
        <v>163</v>
      </c>
      <c r="D314" s="4" t="s">
        <v>535</v>
      </c>
      <c r="E314" s="4" t="s">
        <v>225</v>
      </c>
      <c r="F314" s="4" t="s">
        <v>1202</v>
      </c>
      <c r="G314" t="s">
        <v>1372</v>
      </c>
      <c r="H314" t="s">
        <v>417</v>
      </c>
      <c r="I314" s="3">
        <f t="shared" si="5"/>
        <v>0</v>
      </c>
      <c r="J314" s="3">
        <f>D314/(VLOOKUP(B314,'2024 Team'!$B$2:$G$33,2,FALSE))</f>
        <v>3.5490605427974949E-2</v>
      </c>
      <c r="K314" t="s">
        <v>2353</v>
      </c>
      <c r="L314" t="s">
        <v>417</v>
      </c>
    </row>
    <row r="315" spans="1:12" x14ac:dyDescent="0.25">
      <c r="A315" t="s">
        <v>797</v>
      </c>
      <c r="B315" t="s">
        <v>48</v>
      </c>
      <c r="C315" t="s">
        <v>163</v>
      </c>
      <c r="D315" s="4" t="s">
        <v>270</v>
      </c>
      <c r="E315" s="4" t="s">
        <v>225</v>
      </c>
      <c r="F315" s="4" t="s">
        <v>381</v>
      </c>
      <c r="G315" t="s">
        <v>1156</v>
      </c>
      <c r="H315" t="s">
        <v>300</v>
      </c>
      <c r="I315" s="3">
        <f t="shared" si="5"/>
        <v>0.125</v>
      </c>
      <c r="J315" s="3">
        <f>D315/(VLOOKUP(B315,'2024 Team'!$B$2:$G$33,2,FALSE))</f>
        <v>1.6423357664233577E-2</v>
      </c>
      <c r="K315" t="s">
        <v>1384</v>
      </c>
      <c r="L315" t="s">
        <v>417</v>
      </c>
    </row>
    <row r="316" spans="1:12" x14ac:dyDescent="0.25">
      <c r="A316" t="s">
        <v>418</v>
      </c>
      <c r="B316" t="s">
        <v>36</v>
      </c>
      <c r="C316" t="s">
        <v>159</v>
      </c>
      <c r="D316" s="4" t="s">
        <v>198</v>
      </c>
      <c r="E316" s="4" t="s">
        <v>207</v>
      </c>
      <c r="F316" s="4" t="s">
        <v>429</v>
      </c>
      <c r="G316" t="s">
        <v>1489</v>
      </c>
      <c r="H316" t="s">
        <v>417</v>
      </c>
      <c r="I316" s="3">
        <f t="shared" si="5"/>
        <v>0</v>
      </c>
      <c r="J316" s="3">
        <f>D316/(VLOOKUP(B316,'2024 Team'!$B$2:$G$33,2,FALSE))</f>
        <v>2.197802197802198E-2</v>
      </c>
      <c r="K316" t="s">
        <v>2063</v>
      </c>
      <c r="L316" t="s">
        <v>229</v>
      </c>
    </row>
    <row r="317" spans="1:12" x14ac:dyDescent="0.25">
      <c r="A317" t="s">
        <v>333</v>
      </c>
      <c r="B317" t="s">
        <v>44</v>
      </c>
      <c r="C317" t="s">
        <v>159</v>
      </c>
      <c r="D317" s="4" t="s">
        <v>225</v>
      </c>
      <c r="E317" s="4" t="s">
        <v>207</v>
      </c>
      <c r="F317" s="4" t="s">
        <v>413</v>
      </c>
      <c r="G317" t="s">
        <v>1383</v>
      </c>
      <c r="H317" t="s">
        <v>417</v>
      </c>
      <c r="I317" s="3">
        <f t="shared" si="5"/>
        <v>0</v>
      </c>
      <c r="J317" s="3">
        <f>D317/(VLOOKUP(B317,'2024 Team'!$B$2:$G$33,2,FALSE))</f>
        <v>1.4311270125223614E-2</v>
      </c>
      <c r="K317" t="s">
        <v>1504</v>
      </c>
      <c r="L317" t="s">
        <v>417</v>
      </c>
    </row>
    <row r="318" spans="1:12" x14ac:dyDescent="0.25">
      <c r="A318" t="s">
        <v>991</v>
      </c>
      <c r="B318" t="s">
        <v>58</v>
      </c>
      <c r="C318" t="s">
        <v>163</v>
      </c>
      <c r="D318" s="4" t="s">
        <v>225</v>
      </c>
      <c r="E318" s="4" t="s">
        <v>207</v>
      </c>
      <c r="F318" s="4" t="s">
        <v>679</v>
      </c>
      <c r="G318" t="s">
        <v>203</v>
      </c>
      <c r="H318" t="s">
        <v>417</v>
      </c>
      <c r="I318" s="3">
        <f t="shared" si="5"/>
        <v>0</v>
      </c>
      <c r="J318" s="3">
        <f>D318/(VLOOKUP(B318,'2024 Team'!$B$2:$G$33,2,FALSE))</f>
        <v>1.7857142857142856E-2</v>
      </c>
      <c r="K318" t="s">
        <v>1504</v>
      </c>
      <c r="L318" t="s">
        <v>417</v>
      </c>
    </row>
    <row r="319" spans="1:12" x14ac:dyDescent="0.25">
      <c r="A319" t="s">
        <v>1788</v>
      </c>
      <c r="B319" t="s">
        <v>46</v>
      </c>
      <c r="C319" t="s">
        <v>163</v>
      </c>
      <c r="D319" s="4" t="s">
        <v>270</v>
      </c>
      <c r="E319" s="4" t="s">
        <v>207</v>
      </c>
      <c r="F319" s="4" t="s">
        <v>1160</v>
      </c>
      <c r="G319" t="s">
        <v>1323</v>
      </c>
      <c r="H319" t="s">
        <v>417</v>
      </c>
      <c r="I319" s="3">
        <f t="shared" si="5"/>
        <v>0</v>
      </c>
      <c r="J319" s="3">
        <f>D319/(VLOOKUP(B319,'2024 Team'!$B$2:$G$33,2,FALSE))</f>
        <v>1.5228426395939087E-2</v>
      </c>
      <c r="K319" t="s">
        <v>1424</v>
      </c>
      <c r="L319" t="s">
        <v>417</v>
      </c>
    </row>
    <row r="320" spans="1:12" x14ac:dyDescent="0.25">
      <c r="A320" t="s">
        <v>918</v>
      </c>
      <c r="B320" t="s">
        <v>42</v>
      </c>
      <c r="C320" t="s">
        <v>153</v>
      </c>
      <c r="D320" s="4" t="s">
        <v>225</v>
      </c>
      <c r="E320" s="4" t="s">
        <v>207</v>
      </c>
      <c r="F320" s="4" t="s">
        <v>470</v>
      </c>
      <c r="G320" t="s">
        <v>516</v>
      </c>
      <c r="H320" t="s">
        <v>417</v>
      </c>
      <c r="I320" s="3">
        <f t="shared" si="5"/>
        <v>0</v>
      </c>
      <c r="J320" s="3">
        <f>D320/(VLOOKUP(B320,'2024 Team'!$B$2:$G$33,2,FALSE))</f>
        <v>1.5686274509803921E-2</v>
      </c>
      <c r="K320" t="s">
        <v>1504</v>
      </c>
      <c r="L320" t="s">
        <v>417</v>
      </c>
    </row>
    <row r="321" spans="1:12" x14ac:dyDescent="0.25">
      <c r="A321" t="s">
        <v>802</v>
      </c>
      <c r="B321" t="s">
        <v>10</v>
      </c>
      <c r="C321" t="s">
        <v>163</v>
      </c>
      <c r="D321" s="4" t="s">
        <v>198</v>
      </c>
      <c r="E321" s="4" t="s">
        <v>207</v>
      </c>
      <c r="F321" s="4" t="s">
        <v>349</v>
      </c>
      <c r="G321" t="s">
        <v>2070</v>
      </c>
      <c r="H321" t="s">
        <v>300</v>
      </c>
      <c r="I321" s="3">
        <f t="shared" si="5"/>
        <v>0.14285714285714285</v>
      </c>
      <c r="J321" s="3">
        <f>D321/(VLOOKUP(B321,'2024 Team'!$B$2:$G$33,2,FALSE))</f>
        <v>2.1466905187835419E-2</v>
      </c>
      <c r="K321" t="s">
        <v>2063</v>
      </c>
      <c r="L321" t="s">
        <v>417</v>
      </c>
    </row>
    <row r="322" spans="1:12" x14ac:dyDescent="0.25">
      <c r="A322" t="s">
        <v>901</v>
      </c>
      <c r="B322" t="s">
        <v>44</v>
      </c>
      <c r="C322" t="s">
        <v>153</v>
      </c>
      <c r="D322" s="4" t="s">
        <v>270</v>
      </c>
      <c r="E322" s="4" t="s">
        <v>207</v>
      </c>
      <c r="F322" s="4" t="s">
        <v>477</v>
      </c>
      <c r="G322" t="s">
        <v>616</v>
      </c>
      <c r="H322" t="s">
        <v>417</v>
      </c>
      <c r="I322" s="3">
        <f t="shared" si="5"/>
        <v>0</v>
      </c>
      <c r="J322" s="3">
        <f>D322/(VLOOKUP(B322,'2024 Team'!$B$2:$G$33,2,FALSE))</f>
        <v>1.6100178890876567E-2</v>
      </c>
      <c r="K322" t="s">
        <v>1424</v>
      </c>
      <c r="L322" t="s">
        <v>417</v>
      </c>
    </row>
    <row r="323" spans="1:12" x14ac:dyDescent="0.25">
      <c r="A323" t="s">
        <v>883</v>
      </c>
      <c r="B323" t="s">
        <v>30</v>
      </c>
      <c r="C323" t="s">
        <v>153</v>
      </c>
      <c r="D323" s="4" t="s">
        <v>211</v>
      </c>
      <c r="E323" s="4" t="s">
        <v>207</v>
      </c>
      <c r="F323" s="4" t="s">
        <v>452</v>
      </c>
      <c r="G323" t="s">
        <v>1687</v>
      </c>
      <c r="H323" t="s">
        <v>417</v>
      </c>
      <c r="I323" s="3">
        <f t="shared" si="5"/>
        <v>0</v>
      </c>
      <c r="J323" s="3">
        <f>D323/(VLOOKUP(B323,'2024 Team'!$B$2:$G$33,2,FALSE))</f>
        <v>2.0876826722338204E-2</v>
      </c>
      <c r="K323" t="s">
        <v>1324</v>
      </c>
      <c r="L323" t="s">
        <v>417</v>
      </c>
    </row>
    <row r="324" spans="1:12" x14ac:dyDescent="0.25">
      <c r="A324" t="s">
        <v>1827</v>
      </c>
      <c r="B324" t="s">
        <v>50</v>
      </c>
      <c r="C324" t="s">
        <v>163</v>
      </c>
      <c r="D324" s="4" t="s">
        <v>202</v>
      </c>
      <c r="E324" s="4" t="s">
        <v>207</v>
      </c>
      <c r="F324" s="4" t="s">
        <v>436</v>
      </c>
      <c r="G324" t="s">
        <v>1328</v>
      </c>
      <c r="H324" t="s">
        <v>300</v>
      </c>
      <c r="I324" s="3">
        <f t="shared" si="5"/>
        <v>0.14285714285714285</v>
      </c>
      <c r="J324" s="3">
        <f>D324/(VLOOKUP(B324,'2024 Team'!$B$2:$G$33,2,FALSE))</f>
        <v>3.4026465028355386E-2</v>
      </c>
      <c r="K324" t="s">
        <v>2354</v>
      </c>
      <c r="L324" t="s">
        <v>417</v>
      </c>
    </row>
    <row r="325" spans="1:12" x14ac:dyDescent="0.25">
      <c r="A325" t="s">
        <v>1720</v>
      </c>
      <c r="B325" t="s">
        <v>48</v>
      </c>
      <c r="C325" t="s">
        <v>163</v>
      </c>
      <c r="D325" s="4" t="s">
        <v>211</v>
      </c>
      <c r="E325" s="4" t="s">
        <v>207</v>
      </c>
      <c r="F325" s="4" t="s">
        <v>392</v>
      </c>
      <c r="G325" t="s">
        <v>1116</v>
      </c>
      <c r="H325" t="s">
        <v>417</v>
      </c>
      <c r="I325" s="3">
        <f t="shared" si="5"/>
        <v>0</v>
      </c>
      <c r="J325" s="3">
        <f>D325/(VLOOKUP(B325,'2024 Team'!$B$2:$G$33,2,FALSE))</f>
        <v>1.824817518248175E-2</v>
      </c>
      <c r="K325" t="s">
        <v>1324</v>
      </c>
      <c r="L325" t="s">
        <v>300</v>
      </c>
    </row>
    <row r="326" spans="1:12" x14ac:dyDescent="0.25">
      <c r="A326" t="s">
        <v>1758</v>
      </c>
      <c r="B326" t="s">
        <v>42</v>
      </c>
      <c r="C326" t="s">
        <v>163</v>
      </c>
      <c r="D326" s="4" t="s">
        <v>198</v>
      </c>
      <c r="E326" s="4" t="s">
        <v>207</v>
      </c>
      <c r="F326" s="4" t="s">
        <v>1081</v>
      </c>
      <c r="G326" t="s">
        <v>1225</v>
      </c>
      <c r="H326" t="s">
        <v>417</v>
      </c>
      <c r="I326" s="3">
        <f t="shared" si="5"/>
        <v>0</v>
      </c>
      <c r="J326" s="3">
        <f>D326/(VLOOKUP(B326,'2024 Team'!$B$2:$G$33,2,FALSE))</f>
        <v>2.3529411764705882E-2</v>
      </c>
      <c r="K326" t="s">
        <v>2063</v>
      </c>
      <c r="L326" t="s">
        <v>300</v>
      </c>
    </row>
    <row r="327" spans="1:12" x14ac:dyDescent="0.25">
      <c r="A327" t="s">
        <v>2155</v>
      </c>
      <c r="B327" t="s">
        <v>58</v>
      </c>
      <c r="C327" t="s">
        <v>163</v>
      </c>
      <c r="D327" s="4" t="s">
        <v>270</v>
      </c>
      <c r="E327" s="4" t="s">
        <v>207</v>
      </c>
      <c r="F327" s="4" t="s">
        <v>454</v>
      </c>
      <c r="G327" t="s">
        <v>420</v>
      </c>
      <c r="H327" t="s">
        <v>300</v>
      </c>
      <c r="I327" s="3">
        <f t="shared" si="5"/>
        <v>0.14285714285714285</v>
      </c>
      <c r="J327" s="3">
        <f>D327/(VLOOKUP(B327,'2024 Team'!$B$2:$G$33,2,FALSE))</f>
        <v>2.0089285714285716E-2</v>
      </c>
      <c r="K327" t="s">
        <v>1424</v>
      </c>
      <c r="L327" t="s">
        <v>417</v>
      </c>
    </row>
    <row r="328" spans="1:12" x14ac:dyDescent="0.25">
      <c r="A328" t="s">
        <v>2131</v>
      </c>
      <c r="B328" t="s">
        <v>38</v>
      </c>
      <c r="C328" t="s">
        <v>159</v>
      </c>
      <c r="D328" s="4" t="s">
        <v>266</v>
      </c>
      <c r="E328" s="4" t="s">
        <v>207</v>
      </c>
      <c r="F328" s="4" t="s">
        <v>507</v>
      </c>
      <c r="G328" t="s">
        <v>221</v>
      </c>
      <c r="H328" t="s">
        <v>417</v>
      </c>
      <c r="I328" s="3">
        <f t="shared" si="5"/>
        <v>0</v>
      </c>
      <c r="J328" s="3">
        <f>D328/(VLOOKUP(B328,'2024 Team'!$B$2:$G$33,2,FALSE))</f>
        <v>1.8333333333333333E-2</v>
      </c>
      <c r="K328" t="s">
        <v>1295</v>
      </c>
      <c r="L328" t="s">
        <v>314</v>
      </c>
    </row>
    <row r="329" spans="1:12" x14ac:dyDescent="0.25">
      <c r="A329" t="s">
        <v>811</v>
      </c>
      <c r="B329" t="s">
        <v>10</v>
      </c>
      <c r="C329" t="s">
        <v>153</v>
      </c>
      <c r="D329" s="4" t="s">
        <v>198</v>
      </c>
      <c r="E329" s="4" t="s">
        <v>207</v>
      </c>
      <c r="F329" s="4" t="s">
        <v>459</v>
      </c>
      <c r="G329" t="s">
        <v>426</v>
      </c>
      <c r="H329" t="s">
        <v>417</v>
      </c>
      <c r="I329" s="3">
        <f t="shared" si="5"/>
        <v>0</v>
      </c>
      <c r="J329" s="3">
        <f>D329/(VLOOKUP(B329,'2024 Team'!$B$2:$G$33,2,FALSE))</f>
        <v>2.1466905187835419E-2</v>
      </c>
      <c r="K329" t="s">
        <v>2063</v>
      </c>
      <c r="L329" t="s">
        <v>417</v>
      </c>
    </row>
    <row r="330" spans="1:12" x14ac:dyDescent="0.25">
      <c r="A330" t="s">
        <v>2216</v>
      </c>
      <c r="B330" t="s">
        <v>22</v>
      </c>
      <c r="C330" t="s">
        <v>163</v>
      </c>
      <c r="D330" s="4" t="s">
        <v>535</v>
      </c>
      <c r="E330" s="4" t="s">
        <v>207</v>
      </c>
      <c r="F330" s="4" t="s">
        <v>422</v>
      </c>
      <c r="G330" t="s">
        <v>676</v>
      </c>
      <c r="H330" t="s">
        <v>417</v>
      </c>
      <c r="I330" s="3">
        <f t="shared" si="5"/>
        <v>0</v>
      </c>
      <c r="J330" s="3">
        <f>D330/(VLOOKUP(B330,'2024 Team'!$B$2:$G$33,2,FALSE))</f>
        <v>2.5718608169440244E-2</v>
      </c>
      <c r="K330" t="s">
        <v>2355</v>
      </c>
      <c r="L330" t="s">
        <v>417</v>
      </c>
    </row>
    <row r="331" spans="1:12" x14ac:dyDescent="0.25">
      <c r="A331" t="s">
        <v>925</v>
      </c>
      <c r="B331" t="s">
        <v>44</v>
      </c>
      <c r="C331" t="s">
        <v>153</v>
      </c>
      <c r="D331" s="4" t="s">
        <v>234</v>
      </c>
      <c r="E331" s="4" t="s">
        <v>247</v>
      </c>
      <c r="F331" s="4" t="s">
        <v>470</v>
      </c>
      <c r="G331" t="s">
        <v>539</v>
      </c>
      <c r="H331" t="s">
        <v>417</v>
      </c>
      <c r="I331" s="3">
        <f t="shared" si="5"/>
        <v>0</v>
      </c>
      <c r="J331" s="3">
        <f>D331/(VLOOKUP(B331,'2024 Team'!$B$2:$G$33,2,FALSE))</f>
        <v>2.3255813953488372E-2</v>
      </c>
      <c r="K331" t="s">
        <v>2066</v>
      </c>
      <c r="L331" t="s">
        <v>417</v>
      </c>
    </row>
    <row r="332" spans="1:12" x14ac:dyDescent="0.25">
      <c r="A332" t="s">
        <v>517</v>
      </c>
      <c r="B332" t="s">
        <v>8</v>
      </c>
      <c r="C332" t="s">
        <v>159</v>
      </c>
      <c r="D332" s="4" t="s">
        <v>247</v>
      </c>
      <c r="E332" s="4" t="s">
        <v>247</v>
      </c>
      <c r="F332" s="4" t="s">
        <v>398</v>
      </c>
      <c r="G332" t="s">
        <v>579</v>
      </c>
      <c r="H332" t="s">
        <v>417</v>
      </c>
      <c r="I332" s="3">
        <f t="shared" si="5"/>
        <v>0</v>
      </c>
      <c r="J332" s="3">
        <f>D332/(VLOOKUP(B332,'2024 Team'!$B$2:$G$33,2,FALSE))</f>
        <v>1.1049723756906077E-2</v>
      </c>
      <c r="K332" t="s">
        <v>1519</v>
      </c>
      <c r="L332" t="s">
        <v>300</v>
      </c>
    </row>
    <row r="333" spans="1:12" x14ac:dyDescent="0.25">
      <c r="A333" t="s">
        <v>1583</v>
      </c>
      <c r="B333" t="s">
        <v>58</v>
      </c>
      <c r="C333" t="s">
        <v>163</v>
      </c>
      <c r="D333" s="4" t="s">
        <v>225</v>
      </c>
      <c r="E333" s="4" t="s">
        <v>247</v>
      </c>
      <c r="F333" s="4" t="s">
        <v>639</v>
      </c>
      <c r="G333" t="s">
        <v>258</v>
      </c>
      <c r="H333" t="s">
        <v>300</v>
      </c>
      <c r="I333" s="3">
        <f t="shared" si="5"/>
        <v>0.16666666666666666</v>
      </c>
      <c r="J333" s="3">
        <f>D333/(VLOOKUP(B333,'2024 Team'!$B$2:$G$33,2,FALSE))</f>
        <v>1.7857142857142856E-2</v>
      </c>
      <c r="K333" t="s">
        <v>1321</v>
      </c>
      <c r="L333" t="s">
        <v>417</v>
      </c>
    </row>
    <row r="334" spans="1:12" x14ac:dyDescent="0.25">
      <c r="A334" t="s">
        <v>540</v>
      </c>
      <c r="B334" t="s">
        <v>48</v>
      </c>
      <c r="C334" t="s">
        <v>159</v>
      </c>
      <c r="D334" s="4" t="s">
        <v>247</v>
      </c>
      <c r="E334" s="4" t="s">
        <v>247</v>
      </c>
      <c r="F334" s="4" t="s">
        <v>1199</v>
      </c>
      <c r="G334" t="s">
        <v>648</v>
      </c>
      <c r="H334" t="s">
        <v>417</v>
      </c>
      <c r="I334" s="3">
        <f t="shared" si="5"/>
        <v>0</v>
      </c>
      <c r="J334" s="3">
        <f>D334/(VLOOKUP(B334,'2024 Team'!$B$2:$G$33,2,FALSE))</f>
        <v>1.0948905109489052E-2</v>
      </c>
      <c r="K334" t="s">
        <v>1519</v>
      </c>
      <c r="L334" t="s">
        <v>417</v>
      </c>
    </row>
    <row r="335" spans="1:12" x14ac:dyDescent="0.25">
      <c r="A335" t="s">
        <v>1785</v>
      </c>
      <c r="B335" t="s">
        <v>62</v>
      </c>
      <c r="C335" t="s">
        <v>163</v>
      </c>
      <c r="D335" s="4" t="s">
        <v>198</v>
      </c>
      <c r="E335" s="4" t="s">
        <v>247</v>
      </c>
      <c r="F335" s="4" t="s">
        <v>533</v>
      </c>
      <c r="G335" t="s">
        <v>1268</v>
      </c>
      <c r="H335" t="s">
        <v>417</v>
      </c>
      <c r="I335" s="3">
        <f t="shared" si="5"/>
        <v>0</v>
      </c>
      <c r="J335" s="3">
        <f>D335/(VLOOKUP(B335,'2024 Team'!$B$2:$G$33,2,FALSE))</f>
        <v>2.2514071294559099E-2</v>
      </c>
      <c r="K335" t="s">
        <v>1356</v>
      </c>
      <c r="L335" t="s">
        <v>417</v>
      </c>
    </row>
    <row r="336" spans="1:12" x14ac:dyDescent="0.25">
      <c r="A336" t="s">
        <v>1796</v>
      </c>
      <c r="B336" t="s">
        <v>42</v>
      </c>
      <c r="C336" t="s">
        <v>163</v>
      </c>
      <c r="D336" s="4" t="s">
        <v>193</v>
      </c>
      <c r="E336" s="4" t="s">
        <v>247</v>
      </c>
      <c r="F336" s="4" t="s">
        <v>491</v>
      </c>
      <c r="G336" t="s">
        <v>2356</v>
      </c>
      <c r="H336" t="s">
        <v>417</v>
      </c>
      <c r="I336" s="3">
        <f t="shared" si="5"/>
        <v>0</v>
      </c>
      <c r="J336" s="3">
        <f>D336/(VLOOKUP(B336,'2024 Team'!$B$2:$G$33,2,FALSE))</f>
        <v>3.1372549019607843E-2</v>
      </c>
      <c r="K336" t="s">
        <v>2071</v>
      </c>
      <c r="L336" t="s">
        <v>417</v>
      </c>
    </row>
    <row r="337" spans="1:12" x14ac:dyDescent="0.25">
      <c r="A337" t="s">
        <v>1651</v>
      </c>
      <c r="B337" t="s">
        <v>22</v>
      </c>
      <c r="C337" t="s">
        <v>159</v>
      </c>
      <c r="D337" s="4" t="s">
        <v>225</v>
      </c>
      <c r="E337" s="4" t="s">
        <v>247</v>
      </c>
      <c r="F337" s="4" t="s">
        <v>429</v>
      </c>
      <c r="G337" t="s">
        <v>732</v>
      </c>
      <c r="H337" t="s">
        <v>417</v>
      </c>
      <c r="I337" s="3">
        <f t="shared" si="5"/>
        <v>0</v>
      </c>
      <c r="J337" s="3">
        <f>D337/(VLOOKUP(B337,'2024 Team'!$B$2:$G$33,2,FALSE))</f>
        <v>1.2102874432677761E-2</v>
      </c>
      <c r="K337" t="s">
        <v>1321</v>
      </c>
      <c r="L337" t="s">
        <v>289</v>
      </c>
    </row>
    <row r="338" spans="1:12" x14ac:dyDescent="0.25">
      <c r="A338" t="s">
        <v>993</v>
      </c>
      <c r="B338" t="s">
        <v>56</v>
      </c>
      <c r="C338" t="s">
        <v>163</v>
      </c>
      <c r="D338" s="4" t="s">
        <v>211</v>
      </c>
      <c r="E338" s="4" t="s">
        <v>247</v>
      </c>
      <c r="F338" s="4" t="s">
        <v>470</v>
      </c>
      <c r="G338" t="s">
        <v>539</v>
      </c>
      <c r="H338" t="s">
        <v>300</v>
      </c>
      <c r="I338" s="3">
        <f t="shared" si="5"/>
        <v>0.16666666666666666</v>
      </c>
      <c r="J338" s="3">
        <f>D338/(VLOOKUP(B338,'2024 Team'!$B$2:$G$33,2,FALSE))</f>
        <v>1.6474464579901153E-2</v>
      </c>
      <c r="K338" t="s">
        <v>1290</v>
      </c>
      <c r="L338" t="s">
        <v>229</v>
      </c>
    </row>
    <row r="339" spans="1:12" x14ac:dyDescent="0.25">
      <c r="A339" t="s">
        <v>556</v>
      </c>
      <c r="B339" t="s">
        <v>60</v>
      </c>
      <c r="C339" t="s">
        <v>153</v>
      </c>
      <c r="D339" s="4" t="s">
        <v>225</v>
      </c>
      <c r="E339" s="4" t="s">
        <v>247</v>
      </c>
      <c r="F339" s="4" t="s">
        <v>592</v>
      </c>
      <c r="G339" t="s">
        <v>608</v>
      </c>
      <c r="H339" t="s">
        <v>300</v>
      </c>
      <c r="I339" s="3">
        <f t="shared" si="5"/>
        <v>0.16666666666666666</v>
      </c>
      <c r="J339" s="3">
        <f>D339/(VLOOKUP(B339,'2024 Team'!$B$2:$G$33,2,FALSE))</f>
        <v>1.6032064128256512E-2</v>
      </c>
      <c r="K339" t="s">
        <v>1321</v>
      </c>
      <c r="L339" t="s">
        <v>417</v>
      </c>
    </row>
    <row r="340" spans="1:12" x14ac:dyDescent="0.25">
      <c r="A340" t="s">
        <v>2135</v>
      </c>
      <c r="B340" t="s">
        <v>40</v>
      </c>
      <c r="C340" t="s">
        <v>159</v>
      </c>
      <c r="D340" s="4" t="s">
        <v>207</v>
      </c>
      <c r="E340" s="4" t="s">
        <v>247</v>
      </c>
      <c r="F340" s="4" t="s">
        <v>503</v>
      </c>
      <c r="G340" t="s">
        <v>251</v>
      </c>
      <c r="H340" t="s">
        <v>417</v>
      </c>
      <c r="I340" s="3">
        <f t="shared" si="5"/>
        <v>0</v>
      </c>
      <c r="J340" s="3">
        <f>D340/(VLOOKUP(B340,'2024 Team'!$B$2:$G$33,2,FALSE))</f>
        <v>1.1023622047244094E-2</v>
      </c>
      <c r="K340" t="s">
        <v>1430</v>
      </c>
      <c r="L340" t="s">
        <v>417</v>
      </c>
    </row>
    <row r="341" spans="1:12" x14ac:dyDescent="0.25">
      <c r="A341" t="s">
        <v>1035</v>
      </c>
      <c r="B341" t="s">
        <v>68</v>
      </c>
      <c r="C341" t="s">
        <v>163</v>
      </c>
      <c r="D341" s="4" t="s">
        <v>270</v>
      </c>
      <c r="E341" s="4" t="s">
        <v>247</v>
      </c>
      <c r="F341" s="4" t="s">
        <v>468</v>
      </c>
      <c r="G341" t="s">
        <v>1930</v>
      </c>
      <c r="H341" t="s">
        <v>417</v>
      </c>
      <c r="I341" s="3">
        <f t="shared" si="5"/>
        <v>0</v>
      </c>
      <c r="J341" s="3">
        <f>D341/(VLOOKUP(B341,'2024 Team'!$B$2:$G$33,2,FALSE))</f>
        <v>1.6981132075471698E-2</v>
      </c>
      <c r="K341" t="s">
        <v>1297</v>
      </c>
      <c r="L341" t="s">
        <v>417</v>
      </c>
    </row>
    <row r="342" spans="1:12" x14ac:dyDescent="0.25">
      <c r="A342" t="s">
        <v>1835</v>
      </c>
      <c r="B342" t="s">
        <v>60</v>
      </c>
      <c r="C342" t="s">
        <v>153</v>
      </c>
      <c r="D342" s="4" t="s">
        <v>211</v>
      </c>
      <c r="E342" s="4" t="s">
        <v>247</v>
      </c>
      <c r="F342" s="4" t="s">
        <v>592</v>
      </c>
      <c r="G342" t="s">
        <v>608</v>
      </c>
      <c r="H342" t="s">
        <v>300</v>
      </c>
      <c r="I342" s="3">
        <f t="shared" si="5"/>
        <v>0.16666666666666666</v>
      </c>
      <c r="J342" s="3">
        <f>D342/(VLOOKUP(B342,'2024 Team'!$B$2:$G$33,2,FALSE))</f>
        <v>2.004008016032064E-2</v>
      </c>
      <c r="K342" t="s">
        <v>1290</v>
      </c>
      <c r="L342" t="s">
        <v>417</v>
      </c>
    </row>
    <row r="343" spans="1:12" x14ac:dyDescent="0.25">
      <c r="A343" t="s">
        <v>796</v>
      </c>
      <c r="B343" t="s">
        <v>8</v>
      </c>
      <c r="C343" t="s">
        <v>153</v>
      </c>
      <c r="D343" s="4" t="s">
        <v>207</v>
      </c>
      <c r="E343" s="4" t="s">
        <v>247</v>
      </c>
      <c r="F343" s="4" t="s">
        <v>461</v>
      </c>
      <c r="G343" t="s">
        <v>574</v>
      </c>
      <c r="H343" t="s">
        <v>417</v>
      </c>
      <c r="I343" s="3">
        <f t="shared" si="5"/>
        <v>0</v>
      </c>
      <c r="J343" s="3">
        <f>D343/(VLOOKUP(B343,'2024 Team'!$B$2:$G$33,2,FALSE))</f>
        <v>1.289134438305709E-2</v>
      </c>
      <c r="K343" t="s">
        <v>1430</v>
      </c>
      <c r="L343" t="s">
        <v>417</v>
      </c>
    </row>
    <row r="344" spans="1:12" x14ac:dyDescent="0.25">
      <c r="A344" t="s">
        <v>576</v>
      </c>
      <c r="B344" t="s">
        <v>40</v>
      </c>
      <c r="C344" t="s">
        <v>159</v>
      </c>
      <c r="D344" s="4" t="s">
        <v>225</v>
      </c>
      <c r="E344" s="4" t="s">
        <v>247</v>
      </c>
      <c r="F344" s="4" t="s">
        <v>639</v>
      </c>
      <c r="G344" t="s">
        <v>258</v>
      </c>
      <c r="H344" t="s">
        <v>417</v>
      </c>
      <c r="I344" s="3">
        <f t="shared" si="5"/>
        <v>0</v>
      </c>
      <c r="J344" s="3">
        <f>D344/(VLOOKUP(B344,'2024 Team'!$B$2:$G$33,2,FALSE))</f>
        <v>1.2598425196850394E-2</v>
      </c>
      <c r="K344" t="s">
        <v>1321</v>
      </c>
      <c r="L344" t="s">
        <v>289</v>
      </c>
    </row>
    <row r="345" spans="1:12" x14ac:dyDescent="0.25">
      <c r="A345" t="s">
        <v>855</v>
      </c>
      <c r="B345" t="s">
        <v>22</v>
      </c>
      <c r="C345" t="s">
        <v>153</v>
      </c>
      <c r="D345" s="4" t="s">
        <v>270</v>
      </c>
      <c r="E345" s="4" t="s">
        <v>247</v>
      </c>
      <c r="F345" s="4" t="s">
        <v>582</v>
      </c>
      <c r="G345" t="s">
        <v>717</v>
      </c>
      <c r="H345" t="s">
        <v>300</v>
      </c>
      <c r="I345" s="3">
        <f t="shared" si="5"/>
        <v>0.16666666666666666</v>
      </c>
      <c r="J345" s="3">
        <f>D345/(VLOOKUP(B345,'2024 Team'!$B$2:$G$33,2,FALSE))</f>
        <v>1.3615733736762481E-2</v>
      </c>
      <c r="K345" t="s">
        <v>1297</v>
      </c>
      <c r="L345" t="s">
        <v>417</v>
      </c>
    </row>
    <row r="346" spans="1:12" x14ac:dyDescent="0.25">
      <c r="A346" t="s">
        <v>356</v>
      </c>
      <c r="B346" t="s">
        <v>22</v>
      </c>
      <c r="C346" t="s">
        <v>159</v>
      </c>
      <c r="D346" s="4" t="s">
        <v>266</v>
      </c>
      <c r="E346" s="4" t="s">
        <v>220</v>
      </c>
      <c r="F346" s="4" t="s">
        <v>493</v>
      </c>
      <c r="G346" t="s">
        <v>574</v>
      </c>
      <c r="H346" t="s">
        <v>300</v>
      </c>
      <c r="I346" s="3">
        <f t="shared" si="5"/>
        <v>0.2</v>
      </c>
      <c r="J346" s="3">
        <f>D346/(VLOOKUP(B346,'2024 Team'!$B$2:$G$33,2,FALSE))</f>
        <v>1.6641452344931921E-2</v>
      </c>
      <c r="K346" t="s">
        <v>1467</v>
      </c>
      <c r="L346" t="s">
        <v>300</v>
      </c>
    </row>
    <row r="347" spans="1:12" x14ac:dyDescent="0.25">
      <c r="A347" t="s">
        <v>1022</v>
      </c>
      <c r="B347" t="s">
        <v>66</v>
      </c>
      <c r="C347" t="s">
        <v>153</v>
      </c>
      <c r="D347" s="4" t="s">
        <v>247</v>
      </c>
      <c r="E347" s="4" t="s">
        <v>220</v>
      </c>
      <c r="F347" s="4" t="s">
        <v>1109</v>
      </c>
      <c r="G347" t="s">
        <v>2357</v>
      </c>
      <c r="H347" t="s">
        <v>417</v>
      </c>
      <c r="I347" s="3">
        <f t="shared" si="5"/>
        <v>0</v>
      </c>
      <c r="J347" s="3">
        <f>D347/(VLOOKUP(B347,'2024 Team'!$B$2:$G$33,2,FALSE))</f>
        <v>1.0507880910683012E-2</v>
      </c>
      <c r="K347" t="s">
        <v>1133</v>
      </c>
      <c r="L347" t="s">
        <v>417</v>
      </c>
    </row>
    <row r="348" spans="1:12" x14ac:dyDescent="0.25">
      <c r="A348" t="s">
        <v>733</v>
      </c>
      <c r="B348" t="s">
        <v>26</v>
      </c>
      <c r="C348" t="s">
        <v>153</v>
      </c>
      <c r="D348" s="4" t="s">
        <v>198</v>
      </c>
      <c r="E348" s="4" t="s">
        <v>220</v>
      </c>
      <c r="F348" s="4" t="s">
        <v>496</v>
      </c>
      <c r="G348" t="s">
        <v>516</v>
      </c>
      <c r="H348" t="s">
        <v>417</v>
      </c>
      <c r="I348" s="3">
        <f t="shared" si="5"/>
        <v>0</v>
      </c>
      <c r="J348" s="3">
        <f>D348/(VLOOKUP(B348,'2024 Team'!$B$2:$G$33,2,FALSE))</f>
        <v>2.1052631578947368E-2</v>
      </c>
      <c r="K348" t="s">
        <v>1527</v>
      </c>
      <c r="L348" t="s">
        <v>417</v>
      </c>
    </row>
    <row r="349" spans="1:12" x14ac:dyDescent="0.25">
      <c r="A349" t="s">
        <v>458</v>
      </c>
      <c r="B349" t="s">
        <v>26</v>
      </c>
      <c r="C349" t="s">
        <v>159</v>
      </c>
      <c r="D349" s="4" t="s">
        <v>220</v>
      </c>
      <c r="E349" s="4" t="s">
        <v>220</v>
      </c>
      <c r="F349" s="4" t="s">
        <v>490</v>
      </c>
      <c r="G349" t="s">
        <v>394</v>
      </c>
      <c r="H349" t="s">
        <v>417</v>
      </c>
      <c r="I349" s="3">
        <f t="shared" si="5"/>
        <v>0</v>
      </c>
      <c r="J349" s="3">
        <f>D349/(VLOOKUP(B349,'2024 Team'!$B$2:$G$33,2,FALSE))</f>
        <v>8.771929824561403E-3</v>
      </c>
      <c r="K349" t="s">
        <v>1519</v>
      </c>
      <c r="L349" t="s">
        <v>289</v>
      </c>
    </row>
    <row r="350" spans="1:12" x14ac:dyDescent="0.25">
      <c r="A350" t="s">
        <v>845</v>
      </c>
      <c r="B350" t="s">
        <v>20</v>
      </c>
      <c r="C350" t="s">
        <v>153</v>
      </c>
      <c r="D350" s="4" t="s">
        <v>220</v>
      </c>
      <c r="E350" s="4" t="s">
        <v>220</v>
      </c>
      <c r="F350" s="4" t="s">
        <v>496</v>
      </c>
      <c r="G350" t="s">
        <v>516</v>
      </c>
      <c r="H350" t="s">
        <v>417</v>
      </c>
      <c r="I350" s="3">
        <f t="shared" si="5"/>
        <v>0</v>
      </c>
      <c r="J350" s="3">
        <f>D350/(VLOOKUP(B350,'2024 Team'!$B$2:$G$33,2,FALSE))</f>
        <v>7.6687116564417178E-3</v>
      </c>
      <c r="K350" t="s">
        <v>1519</v>
      </c>
      <c r="L350" t="s">
        <v>417</v>
      </c>
    </row>
    <row r="351" spans="1:12" x14ac:dyDescent="0.25">
      <c r="A351" t="s">
        <v>674</v>
      </c>
      <c r="B351" t="s">
        <v>48</v>
      </c>
      <c r="C351" t="s">
        <v>613</v>
      </c>
      <c r="D351" s="4" t="s">
        <v>247</v>
      </c>
      <c r="E351" s="4" t="s">
        <v>220</v>
      </c>
      <c r="F351" s="4" t="s">
        <v>467</v>
      </c>
      <c r="G351" t="s">
        <v>648</v>
      </c>
      <c r="H351" t="s">
        <v>417</v>
      </c>
      <c r="I351" s="3">
        <f t="shared" si="5"/>
        <v>0</v>
      </c>
      <c r="J351" s="3">
        <f>D351/(VLOOKUP(B351,'2024 Team'!$B$2:$G$33,2,FALSE))</f>
        <v>1.0948905109489052E-2</v>
      </c>
      <c r="K351" t="s">
        <v>1133</v>
      </c>
      <c r="L351" t="s">
        <v>300</v>
      </c>
    </row>
    <row r="352" spans="1:12" x14ac:dyDescent="0.25">
      <c r="A352" t="s">
        <v>1748</v>
      </c>
      <c r="B352" t="s">
        <v>38</v>
      </c>
      <c r="C352" t="s">
        <v>153</v>
      </c>
      <c r="D352" s="4" t="s">
        <v>220</v>
      </c>
      <c r="E352" s="4" t="s">
        <v>220</v>
      </c>
      <c r="F352" s="4" t="s">
        <v>582</v>
      </c>
      <c r="G352" t="s">
        <v>1148</v>
      </c>
      <c r="H352" t="s">
        <v>417</v>
      </c>
      <c r="I352" s="3">
        <f t="shared" si="5"/>
        <v>0</v>
      </c>
      <c r="J352" s="3">
        <f>D352/(VLOOKUP(B352,'2024 Team'!$B$2:$G$33,2,FALSE))</f>
        <v>8.3333333333333332E-3</v>
      </c>
      <c r="K352" t="s">
        <v>1519</v>
      </c>
      <c r="L352" t="s">
        <v>417</v>
      </c>
    </row>
    <row r="353" spans="1:12" x14ac:dyDescent="0.25">
      <c r="A353" t="s">
        <v>456</v>
      </c>
      <c r="B353" t="s">
        <v>52</v>
      </c>
      <c r="C353" t="s">
        <v>159</v>
      </c>
      <c r="D353" s="4" t="s">
        <v>225</v>
      </c>
      <c r="E353" s="4" t="s">
        <v>220</v>
      </c>
      <c r="F353" s="4" t="s">
        <v>485</v>
      </c>
      <c r="G353" t="s">
        <v>426</v>
      </c>
      <c r="H353" t="s">
        <v>417</v>
      </c>
      <c r="I353" s="3">
        <f t="shared" si="5"/>
        <v>0</v>
      </c>
      <c r="J353" s="3">
        <f>D353/(VLOOKUP(B353,'2024 Team'!$B$2:$G$33,2,FALSE))</f>
        <v>1.4519056261343012E-2</v>
      </c>
      <c r="K353" t="s">
        <v>1185</v>
      </c>
      <c r="L353" t="s">
        <v>417</v>
      </c>
    </row>
    <row r="354" spans="1:12" x14ac:dyDescent="0.25">
      <c r="A354" t="s">
        <v>1001</v>
      </c>
      <c r="B354" t="s">
        <v>60</v>
      </c>
      <c r="C354" t="s">
        <v>163</v>
      </c>
      <c r="D354" s="4" t="s">
        <v>270</v>
      </c>
      <c r="E354" s="4" t="s">
        <v>220</v>
      </c>
      <c r="F354" s="4" t="s">
        <v>497</v>
      </c>
      <c r="G354" t="s">
        <v>1254</v>
      </c>
      <c r="H354" t="s">
        <v>417</v>
      </c>
      <c r="I354" s="3">
        <f t="shared" si="5"/>
        <v>0</v>
      </c>
      <c r="J354" s="3">
        <f>D354/(VLOOKUP(B354,'2024 Team'!$B$2:$G$33,2,FALSE))</f>
        <v>1.8036072144288578E-2</v>
      </c>
      <c r="K354" t="s">
        <v>1496</v>
      </c>
      <c r="L354" t="s">
        <v>417</v>
      </c>
    </row>
    <row r="355" spans="1:12" x14ac:dyDescent="0.25">
      <c r="A355" t="s">
        <v>902</v>
      </c>
      <c r="B355" t="s">
        <v>14</v>
      </c>
      <c r="C355" t="s">
        <v>153</v>
      </c>
      <c r="D355" s="4" t="s">
        <v>225</v>
      </c>
      <c r="E355" s="4" t="s">
        <v>220</v>
      </c>
      <c r="F355" s="4" t="s">
        <v>476</v>
      </c>
      <c r="G355" t="s">
        <v>1458</v>
      </c>
      <c r="H355" t="s">
        <v>300</v>
      </c>
      <c r="I355" s="3">
        <f t="shared" si="5"/>
        <v>0.2</v>
      </c>
      <c r="J355" s="3">
        <f>D355/(VLOOKUP(B355,'2024 Team'!$B$2:$G$33,2,FALSE))</f>
        <v>1.5384615384615385E-2</v>
      </c>
      <c r="K355" t="s">
        <v>1185</v>
      </c>
      <c r="L355" t="s">
        <v>417</v>
      </c>
    </row>
    <row r="356" spans="1:12" x14ac:dyDescent="0.25">
      <c r="A356" t="s">
        <v>620</v>
      </c>
      <c r="B356" t="s">
        <v>44</v>
      </c>
      <c r="C356" t="s">
        <v>159</v>
      </c>
      <c r="D356" s="4" t="s">
        <v>247</v>
      </c>
      <c r="E356" s="4" t="s">
        <v>220</v>
      </c>
      <c r="F356" s="4" t="s">
        <v>679</v>
      </c>
      <c r="G356" t="s">
        <v>1539</v>
      </c>
      <c r="H356" t="s">
        <v>417</v>
      </c>
      <c r="I356" s="3">
        <f t="shared" si="5"/>
        <v>0</v>
      </c>
      <c r="J356" s="3">
        <f>D356/(VLOOKUP(B356,'2024 Team'!$B$2:$G$33,2,FALSE))</f>
        <v>1.0733452593917709E-2</v>
      </c>
      <c r="K356" t="s">
        <v>1133</v>
      </c>
      <c r="L356" t="s">
        <v>417</v>
      </c>
    </row>
    <row r="357" spans="1:12" x14ac:dyDescent="0.25">
      <c r="A357" t="s">
        <v>1705</v>
      </c>
      <c r="B357" t="s">
        <v>64</v>
      </c>
      <c r="C357" t="s">
        <v>163</v>
      </c>
      <c r="D357" s="4" t="s">
        <v>220</v>
      </c>
      <c r="E357" s="4" t="s">
        <v>220</v>
      </c>
      <c r="F357" s="4" t="s">
        <v>476</v>
      </c>
      <c r="G357" t="s">
        <v>1458</v>
      </c>
      <c r="H357" t="s">
        <v>417</v>
      </c>
      <c r="I357" s="3">
        <f t="shared" si="5"/>
        <v>0</v>
      </c>
      <c r="J357" s="3">
        <f>D357/(VLOOKUP(B357,'2024 Team'!$B$2:$G$33,2,FALSE))</f>
        <v>8.4317032040472171E-3</v>
      </c>
      <c r="K357" t="s">
        <v>1519</v>
      </c>
      <c r="L357" t="s">
        <v>289</v>
      </c>
    </row>
    <row r="358" spans="1:12" x14ac:dyDescent="0.25">
      <c r="A358" t="s">
        <v>1049</v>
      </c>
      <c r="B358" t="s">
        <v>70</v>
      </c>
      <c r="C358" t="s">
        <v>153</v>
      </c>
      <c r="D358" s="4" t="s">
        <v>220</v>
      </c>
      <c r="E358" s="4" t="s">
        <v>220</v>
      </c>
      <c r="F358" s="4" t="s">
        <v>496</v>
      </c>
      <c r="G358" t="s">
        <v>516</v>
      </c>
      <c r="H358" t="s">
        <v>300</v>
      </c>
      <c r="I358" s="3">
        <f t="shared" si="5"/>
        <v>0.2</v>
      </c>
      <c r="J358" s="3">
        <f>D358/(VLOOKUP(B358,'2024 Team'!$B$2:$G$33,2,FALSE))</f>
        <v>9.5238095238095247E-3</v>
      </c>
      <c r="K358" t="s">
        <v>1519</v>
      </c>
      <c r="L358" t="s">
        <v>417</v>
      </c>
    </row>
    <row r="359" spans="1:12" x14ac:dyDescent="0.25">
      <c r="A359" t="s">
        <v>1002</v>
      </c>
      <c r="B359" t="s">
        <v>60</v>
      </c>
      <c r="C359" t="s">
        <v>163</v>
      </c>
      <c r="D359" s="4" t="s">
        <v>220</v>
      </c>
      <c r="E359" s="4" t="s">
        <v>220</v>
      </c>
      <c r="F359" s="4" t="s">
        <v>497</v>
      </c>
      <c r="G359" t="s">
        <v>1254</v>
      </c>
      <c r="H359" t="s">
        <v>417</v>
      </c>
      <c r="I359" s="3">
        <f t="shared" si="5"/>
        <v>0</v>
      </c>
      <c r="J359" s="3">
        <f>D359/(VLOOKUP(B359,'2024 Team'!$B$2:$G$33,2,FALSE))</f>
        <v>1.002004008016032E-2</v>
      </c>
      <c r="K359" t="s">
        <v>1519</v>
      </c>
      <c r="L359" t="s">
        <v>417</v>
      </c>
    </row>
    <row r="360" spans="1:12" x14ac:dyDescent="0.25">
      <c r="A360" t="s">
        <v>311</v>
      </c>
      <c r="B360" t="s">
        <v>42</v>
      </c>
      <c r="C360" t="s">
        <v>159</v>
      </c>
      <c r="D360" s="4" t="s">
        <v>270</v>
      </c>
      <c r="E360" s="4" t="s">
        <v>220</v>
      </c>
      <c r="F360" s="4" t="s">
        <v>573</v>
      </c>
      <c r="G360" t="s">
        <v>1360</v>
      </c>
      <c r="H360" t="s">
        <v>300</v>
      </c>
      <c r="I360" s="3">
        <f t="shared" si="5"/>
        <v>0.2</v>
      </c>
      <c r="J360" s="3">
        <f>D360/(VLOOKUP(B360,'2024 Team'!$B$2:$G$33,2,FALSE))</f>
        <v>1.7647058823529412E-2</v>
      </c>
      <c r="K360" t="s">
        <v>1496</v>
      </c>
      <c r="L360" t="s">
        <v>300</v>
      </c>
    </row>
    <row r="361" spans="1:12" x14ac:dyDescent="0.25">
      <c r="A361" t="s">
        <v>2215</v>
      </c>
      <c r="B361" t="s">
        <v>58</v>
      </c>
      <c r="C361" t="s">
        <v>163</v>
      </c>
      <c r="D361" s="4" t="s">
        <v>557</v>
      </c>
      <c r="E361" s="4" t="s">
        <v>220</v>
      </c>
      <c r="F361" s="4" t="s">
        <v>480</v>
      </c>
      <c r="G361" t="s">
        <v>1325</v>
      </c>
      <c r="H361" t="s">
        <v>300</v>
      </c>
      <c r="I361" s="3">
        <f t="shared" si="5"/>
        <v>0.2</v>
      </c>
      <c r="J361" s="3">
        <f>D361/(VLOOKUP(B361,'2024 Team'!$B$2:$G$33,2,FALSE))</f>
        <v>3.3482142857142856E-2</v>
      </c>
      <c r="K361" t="s">
        <v>1446</v>
      </c>
      <c r="L361" t="s">
        <v>417</v>
      </c>
    </row>
    <row r="362" spans="1:12" x14ac:dyDescent="0.25">
      <c r="A362" t="s">
        <v>1866</v>
      </c>
      <c r="B362" t="s">
        <v>56</v>
      </c>
      <c r="C362" t="s">
        <v>153</v>
      </c>
      <c r="D362" s="4" t="s">
        <v>225</v>
      </c>
      <c r="E362" s="4" t="s">
        <v>220</v>
      </c>
      <c r="F362" s="4" t="s">
        <v>438</v>
      </c>
      <c r="G362" t="s">
        <v>1323</v>
      </c>
      <c r="H362" t="s">
        <v>300</v>
      </c>
      <c r="I362" s="3">
        <f t="shared" si="5"/>
        <v>0.2</v>
      </c>
      <c r="J362" s="3">
        <f>D362/(VLOOKUP(B362,'2024 Team'!$B$2:$G$33,2,FALSE))</f>
        <v>1.3179571663920923E-2</v>
      </c>
      <c r="K362" t="s">
        <v>1185</v>
      </c>
      <c r="L362" t="s">
        <v>417</v>
      </c>
    </row>
    <row r="363" spans="1:12" x14ac:dyDescent="0.25">
      <c r="A363" t="s">
        <v>187</v>
      </c>
      <c r="B363" t="s">
        <v>68</v>
      </c>
      <c r="C363" t="s">
        <v>163</v>
      </c>
      <c r="D363" s="4" t="s">
        <v>225</v>
      </c>
      <c r="E363" s="4" t="s">
        <v>229</v>
      </c>
      <c r="F363" s="4" t="s">
        <v>679</v>
      </c>
      <c r="G363" t="s">
        <v>717</v>
      </c>
      <c r="H363" t="s">
        <v>417</v>
      </c>
      <c r="I363" s="3">
        <f t="shared" si="5"/>
        <v>0</v>
      </c>
      <c r="J363" s="3">
        <f>D363/(VLOOKUP(B363,'2024 Team'!$B$2:$G$33,2,FALSE))</f>
        <v>1.509433962264151E-2</v>
      </c>
      <c r="K363" t="s">
        <v>1356</v>
      </c>
      <c r="L363" t="s">
        <v>417</v>
      </c>
    </row>
    <row r="364" spans="1:12" x14ac:dyDescent="0.25">
      <c r="A364" t="s">
        <v>2175</v>
      </c>
      <c r="B364" t="s">
        <v>20</v>
      </c>
      <c r="C364" t="s">
        <v>163</v>
      </c>
      <c r="D364" s="4" t="s">
        <v>344</v>
      </c>
      <c r="E364" s="4" t="s">
        <v>229</v>
      </c>
      <c r="F364" s="4" t="s">
        <v>1146</v>
      </c>
      <c r="G364" t="s">
        <v>1515</v>
      </c>
      <c r="H364" t="s">
        <v>417</v>
      </c>
      <c r="I364" s="3">
        <f t="shared" si="5"/>
        <v>0</v>
      </c>
      <c r="J364" s="3">
        <f>D364/(VLOOKUP(B364,'2024 Team'!$B$2:$G$33,2,FALSE))</f>
        <v>2.1472392638036811E-2</v>
      </c>
      <c r="K364" t="s">
        <v>2062</v>
      </c>
      <c r="L364" t="s">
        <v>417</v>
      </c>
    </row>
    <row r="365" spans="1:12" x14ac:dyDescent="0.25">
      <c r="A365" t="s">
        <v>1781</v>
      </c>
      <c r="B365" t="s">
        <v>42</v>
      </c>
      <c r="C365" t="s">
        <v>163</v>
      </c>
      <c r="D365" s="4" t="s">
        <v>211</v>
      </c>
      <c r="E365" s="4" t="s">
        <v>229</v>
      </c>
      <c r="F365" s="4" t="s">
        <v>493</v>
      </c>
      <c r="G365" t="s">
        <v>611</v>
      </c>
      <c r="H365" t="s">
        <v>300</v>
      </c>
      <c r="I365" s="3">
        <f t="shared" si="5"/>
        <v>0.25</v>
      </c>
      <c r="J365" s="3">
        <f>D365/(VLOOKUP(B365,'2024 Team'!$B$2:$G$33,2,FALSE))</f>
        <v>1.9607843137254902E-2</v>
      </c>
      <c r="K365" t="s">
        <v>1522</v>
      </c>
      <c r="L365" t="s">
        <v>417</v>
      </c>
    </row>
    <row r="366" spans="1:12" x14ac:dyDescent="0.25">
      <c r="A366" t="s">
        <v>2158</v>
      </c>
      <c r="B366" t="s">
        <v>62</v>
      </c>
      <c r="C366" t="s">
        <v>163</v>
      </c>
      <c r="D366" s="4" t="s">
        <v>247</v>
      </c>
      <c r="E366" s="4" t="s">
        <v>229</v>
      </c>
      <c r="F366" s="4" t="s">
        <v>1135</v>
      </c>
      <c r="G366" t="s">
        <v>1543</v>
      </c>
      <c r="H366" t="s">
        <v>417</v>
      </c>
      <c r="I366" s="3">
        <f t="shared" si="5"/>
        <v>0</v>
      </c>
      <c r="J366" s="3">
        <f>D366/(VLOOKUP(B366,'2024 Team'!$B$2:$G$33,2,FALSE))</f>
        <v>1.125703564727955E-2</v>
      </c>
      <c r="K366" t="s">
        <v>1297</v>
      </c>
      <c r="L366" t="s">
        <v>289</v>
      </c>
    </row>
    <row r="367" spans="1:12" x14ac:dyDescent="0.25">
      <c r="A367" t="s">
        <v>894</v>
      </c>
      <c r="B367" t="s">
        <v>34</v>
      </c>
      <c r="C367" t="s">
        <v>153</v>
      </c>
      <c r="D367" s="4" t="s">
        <v>225</v>
      </c>
      <c r="E367" s="4" t="s">
        <v>229</v>
      </c>
      <c r="F367" s="4" t="s">
        <v>503</v>
      </c>
      <c r="G367" t="s">
        <v>691</v>
      </c>
      <c r="H367" t="s">
        <v>417</v>
      </c>
      <c r="I367" s="3">
        <f t="shared" si="5"/>
        <v>0</v>
      </c>
      <c r="J367" s="3">
        <f>D367/(VLOOKUP(B367,'2024 Team'!$B$2:$G$33,2,FALSE))</f>
        <v>1.5594541910331383E-2</v>
      </c>
      <c r="K367" t="s">
        <v>1356</v>
      </c>
      <c r="L367" t="s">
        <v>417</v>
      </c>
    </row>
    <row r="368" spans="1:12" x14ac:dyDescent="0.25">
      <c r="A368" t="s">
        <v>921</v>
      </c>
      <c r="B368" t="s">
        <v>42</v>
      </c>
      <c r="C368" t="s">
        <v>2197</v>
      </c>
      <c r="D368" s="4" t="s">
        <v>220</v>
      </c>
      <c r="E368" s="4" t="s">
        <v>229</v>
      </c>
      <c r="F368" s="4" t="s">
        <v>496</v>
      </c>
      <c r="G368" t="s">
        <v>648</v>
      </c>
      <c r="H368" t="s">
        <v>417</v>
      </c>
      <c r="I368" s="3">
        <f t="shared" si="5"/>
        <v>0</v>
      </c>
      <c r="J368" s="3">
        <f>D368/(VLOOKUP(B368,'2024 Team'!$B$2:$G$33,2,FALSE))</f>
        <v>9.8039215686274508E-3</v>
      </c>
      <c r="K368" t="s">
        <v>1329</v>
      </c>
      <c r="L368" t="s">
        <v>417</v>
      </c>
    </row>
    <row r="369" spans="1:12" x14ac:dyDescent="0.25">
      <c r="A369" t="s">
        <v>553</v>
      </c>
      <c r="B369" t="s">
        <v>58</v>
      </c>
      <c r="C369" t="s">
        <v>159</v>
      </c>
      <c r="D369" s="4" t="s">
        <v>229</v>
      </c>
      <c r="E369" s="4" t="s">
        <v>229</v>
      </c>
      <c r="F369" s="4" t="s">
        <v>467</v>
      </c>
      <c r="G369" t="s">
        <v>1192</v>
      </c>
      <c r="H369" t="s">
        <v>417</v>
      </c>
      <c r="I369" s="3">
        <f t="shared" si="5"/>
        <v>0</v>
      </c>
      <c r="J369" s="3">
        <f>D369/(VLOOKUP(B369,'2024 Team'!$B$2:$G$33,2,FALSE))</f>
        <v>8.9285714285714281E-3</v>
      </c>
      <c r="K369" t="s">
        <v>1519</v>
      </c>
      <c r="L369" t="s">
        <v>417</v>
      </c>
    </row>
    <row r="370" spans="1:12" x14ac:dyDescent="0.25">
      <c r="A370" t="s">
        <v>951</v>
      </c>
      <c r="B370" t="s">
        <v>30</v>
      </c>
      <c r="C370" t="s">
        <v>153</v>
      </c>
      <c r="D370" s="4" t="s">
        <v>220</v>
      </c>
      <c r="E370" s="4" t="s">
        <v>229</v>
      </c>
      <c r="F370" s="4" t="s">
        <v>1199</v>
      </c>
      <c r="G370" t="s">
        <v>605</v>
      </c>
      <c r="H370" t="s">
        <v>417</v>
      </c>
      <c r="I370" s="3">
        <f t="shared" si="5"/>
        <v>0</v>
      </c>
      <c r="J370" s="3">
        <f>D370/(VLOOKUP(B370,'2024 Team'!$B$2:$G$33,2,FALSE))</f>
        <v>1.0438413361169102E-2</v>
      </c>
      <c r="K370" t="s">
        <v>1329</v>
      </c>
      <c r="L370" t="s">
        <v>417</v>
      </c>
    </row>
    <row r="371" spans="1:12" x14ac:dyDescent="0.25">
      <c r="A371" t="s">
        <v>759</v>
      </c>
      <c r="B371" t="s">
        <v>16</v>
      </c>
      <c r="C371" t="s">
        <v>163</v>
      </c>
      <c r="D371" s="4" t="s">
        <v>229</v>
      </c>
      <c r="E371" s="4" t="s">
        <v>229</v>
      </c>
      <c r="F371" s="4" t="s">
        <v>524</v>
      </c>
      <c r="G371" t="s">
        <v>258</v>
      </c>
      <c r="H371" t="s">
        <v>417</v>
      </c>
      <c r="I371" s="3">
        <f t="shared" si="5"/>
        <v>0</v>
      </c>
      <c r="J371" s="3">
        <f>D371/(VLOOKUP(B371,'2024 Team'!$B$2:$G$33,2,FALSE))</f>
        <v>7.3126142595978062E-3</v>
      </c>
      <c r="K371" t="s">
        <v>1519</v>
      </c>
      <c r="L371" t="s">
        <v>417</v>
      </c>
    </row>
    <row r="372" spans="1:12" x14ac:dyDescent="0.25">
      <c r="A372" t="s">
        <v>913</v>
      </c>
      <c r="B372" t="s">
        <v>50</v>
      </c>
      <c r="C372" t="s">
        <v>163</v>
      </c>
      <c r="D372" s="4" t="s">
        <v>225</v>
      </c>
      <c r="E372" s="4" t="s">
        <v>229</v>
      </c>
      <c r="F372" s="4" t="s">
        <v>438</v>
      </c>
      <c r="G372" t="s">
        <v>1355</v>
      </c>
      <c r="H372" t="s">
        <v>417</v>
      </c>
      <c r="I372" s="3">
        <f t="shared" si="5"/>
        <v>0</v>
      </c>
      <c r="J372" s="3">
        <f>D372/(VLOOKUP(B372,'2024 Team'!$B$2:$G$33,2,FALSE))</f>
        <v>1.5122873345935728E-2</v>
      </c>
      <c r="K372" t="s">
        <v>1356</v>
      </c>
      <c r="L372" t="s">
        <v>417</v>
      </c>
    </row>
    <row r="373" spans="1:12" x14ac:dyDescent="0.25">
      <c r="A373" t="s">
        <v>931</v>
      </c>
      <c r="B373" t="s">
        <v>40</v>
      </c>
      <c r="C373" t="s">
        <v>163</v>
      </c>
      <c r="D373" s="4" t="s">
        <v>314</v>
      </c>
      <c r="E373" s="4" t="s">
        <v>314</v>
      </c>
      <c r="F373" s="4" t="s">
        <v>493</v>
      </c>
      <c r="G373" t="s">
        <v>1533</v>
      </c>
      <c r="H373" t="s">
        <v>417</v>
      </c>
      <c r="I373" s="3">
        <f t="shared" si="5"/>
        <v>0</v>
      </c>
      <c r="J373" s="3">
        <f>D373/(VLOOKUP(B373,'2024 Team'!$B$2:$G$33,2,FALSE))</f>
        <v>4.7244094488188976E-3</v>
      </c>
      <c r="K373" t="s">
        <v>1519</v>
      </c>
      <c r="L373" t="s">
        <v>417</v>
      </c>
    </row>
    <row r="374" spans="1:12" x14ac:dyDescent="0.25">
      <c r="A374" t="s">
        <v>627</v>
      </c>
      <c r="B374" t="s">
        <v>26</v>
      </c>
      <c r="C374" t="s">
        <v>159</v>
      </c>
      <c r="D374" s="4" t="s">
        <v>314</v>
      </c>
      <c r="E374" s="4" t="s">
        <v>314</v>
      </c>
      <c r="F374" s="4" t="s">
        <v>649</v>
      </c>
      <c r="G374" t="s">
        <v>584</v>
      </c>
      <c r="H374" t="s">
        <v>417</v>
      </c>
      <c r="I374" s="3">
        <f t="shared" si="5"/>
        <v>0</v>
      </c>
      <c r="J374" s="3">
        <f>D374/(VLOOKUP(B374,'2024 Team'!$B$2:$G$33,2,FALSE))</f>
        <v>5.263157894736842E-3</v>
      </c>
      <c r="K374" t="s">
        <v>1519</v>
      </c>
      <c r="L374" t="s">
        <v>300</v>
      </c>
    </row>
    <row r="375" spans="1:12" x14ac:dyDescent="0.25">
      <c r="A375" t="s">
        <v>1776</v>
      </c>
      <c r="B375" t="s">
        <v>22</v>
      </c>
      <c r="C375" t="s">
        <v>163</v>
      </c>
      <c r="D375" s="4" t="s">
        <v>314</v>
      </c>
      <c r="E375" s="4" t="s">
        <v>314</v>
      </c>
      <c r="F375" s="4" t="s">
        <v>490</v>
      </c>
      <c r="G375" t="s">
        <v>732</v>
      </c>
      <c r="H375" t="s">
        <v>417</v>
      </c>
      <c r="I375" s="3">
        <f t="shared" si="5"/>
        <v>0</v>
      </c>
      <c r="J375" s="3">
        <f>D375/(VLOOKUP(B375,'2024 Team'!$B$2:$G$33,2,FALSE))</f>
        <v>4.5385779122541605E-3</v>
      </c>
      <c r="K375" t="s">
        <v>1519</v>
      </c>
      <c r="L375" t="s">
        <v>417</v>
      </c>
    </row>
    <row r="376" spans="1:12" x14ac:dyDescent="0.25">
      <c r="A376" t="s">
        <v>2142</v>
      </c>
      <c r="B376" t="s">
        <v>16</v>
      </c>
      <c r="C376" t="s">
        <v>159</v>
      </c>
      <c r="D376" s="4" t="s">
        <v>314</v>
      </c>
      <c r="E376" s="4" t="s">
        <v>314</v>
      </c>
      <c r="F376" s="4" t="s">
        <v>510</v>
      </c>
      <c r="G376" t="s">
        <v>1489</v>
      </c>
      <c r="H376" t="s">
        <v>417</v>
      </c>
      <c r="I376" s="3">
        <f t="shared" ref="I376:I439" si="6">H376/E376</f>
        <v>0</v>
      </c>
      <c r="J376" s="3">
        <f>D376/(VLOOKUP(B376,'2024 Team'!$B$2:$G$33,2,FALSE))</f>
        <v>5.4844606946983544E-3</v>
      </c>
      <c r="K376" t="s">
        <v>1519</v>
      </c>
      <c r="L376" t="s">
        <v>417</v>
      </c>
    </row>
    <row r="377" spans="1:12" x14ac:dyDescent="0.25">
      <c r="A377" t="s">
        <v>2177</v>
      </c>
      <c r="B377" t="s">
        <v>16</v>
      </c>
      <c r="C377" t="s">
        <v>163</v>
      </c>
      <c r="D377" s="4" t="s">
        <v>229</v>
      </c>
      <c r="E377" s="4" t="s">
        <v>314</v>
      </c>
      <c r="F377" s="4" t="s">
        <v>461</v>
      </c>
      <c r="G377" t="s">
        <v>1236</v>
      </c>
      <c r="H377" t="s">
        <v>417</v>
      </c>
      <c r="I377" s="3">
        <f t="shared" si="6"/>
        <v>0</v>
      </c>
      <c r="J377" s="3">
        <f>D377/(VLOOKUP(B377,'2024 Team'!$B$2:$G$33,2,FALSE))</f>
        <v>7.3126142595978062E-3</v>
      </c>
      <c r="K377" t="s">
        <v>1321</v>
      </c>
      <c r="L377" t="s">
        <v>417</v>
      </c>
    </row>
    <row r="378" spans="1:12" x14ac:dyDescent="0.25">
      <c r="A378" t="s">
        <v>941</v>
      </c>
      <c r="B378" t="s">
        <v>46</v>
      </c>
      <c r="C378" t="s">
        <v>153</v>
      </c>
      <c r="D378" s="4" t="s">
        <v>229</v>
      </c>
      <c r="E378" s="4" t="s">
        <v>314</v>
      </c>
      <c r="F378" s="4" t="s">
        <v>193</v>
      </c>
      <c r="G378" t="s">
        <v>492</v>
      </c>
      <c r="H378" t="s">
        <v>417</v>
      </c>
      <c r="I378" s="3">
        <f t="shared" si="6"/>
        <v>0</v>
      </c>
      <c r="J378" s="3">
        <f>D378/(VLOOKUP(B378,'2024 Team'!$B$2:$G$33,2,FALSE))</f>
        <v>6.7681895093062603E-3</v>
      </c>
      <c r="K378" t="s">
        <v>1321</v>
      </c>
      <c r="L378" t="s">
        <v>417</v>
      </c>
    </row>
    <row r="379" spans="1:12" x14ac:dyDescent="0.25">
      <c r="A379" t="s">
        <v>577</v>
      </c>
      <c r="B379" t="s">
        <v>56</v>
      </c>
      <c r="C379" t="s">
        <v>163</v>
      </c>
      <c r="D379" s="4" t="s">
        <v>247</v>
      </c>
      <c r="E379" s="4" t="s">
        <v>314</v>
      </c>
      <c r="F379" s="4" t="s">
        <v>193</v>
      </c>
      <c r="G379" t="s">
        <v>492</v>
      </c>
      <c r="H379" t="s">
        <v>417</v>
      </c>
      <c r="I379" s="3">
        <f t="shared" si="6"/>
        <v>0</v>
      </c>
      <c r="J379" s="3">
        <f>D379/(VLOOKUP(B379,'2024 Team'!$B$2:$G$33,2,FALSE))</f>
        <v>9.8846787479406912E-3</v>
      </c>
      <c r="K379" t="s">
        <v>1356</v>
      </c>
      <c r="L379" t="s">
        <v>300</v>
      </c>
    </row>
    <row r="380" spans="1:12" x14ac:dyDescent="0.25">
      <c r="A380" t="s">
        <v>710</v>
      </c>
      <c r="B380" t="s">
        <v>8</v>
      </c>
      <c r="C380" t="s">
        <v>159</v>
      </c>
      <c r="D380" s="4" t="s">
        <v>314</v>
      </c>
      <c r="E380" s="4" t="s">
        <v>314</v>
      </c>
      <c r="F380" s="4" t="s">
        <v>266</v>
      </c>
      <c r="G380" t="s">
        <v>221</v>
      </c>
      <c r="H380" t="s">
        <v>300</v>
      </c>
      <c r="I380" s="3">
        <f t="shared" si="6"/>
        <v>0.33333333333333331</v>
      </c>
      <c r="J380" s="3">
        <f>D380/(VLOOKUP(B380,'2024 Team'!$B$2:$G$33,2,FALSE))</f>
        <v>5.5248618784530384E-3</v>
      </c>
      <c r="K380" t="s">
        <v>1519</v>
      </c>
      <c r="L380" t="s">
        <v>300</v>
      </c>
    </row>
    <row r="381" spans="1:12" x14ac:dyDescent="0.25">
      <c r="A381" t="s">
        <v>791</v>
      </c>
      <c r="B381" t="s">
        <v>36</v>
      </c>
      <c r="C381" t="s">
        <v>153</v>
      </c>
      <c r="D381" s="4" t="s">
        <v>314</v>
      </c>
      <c r="E381" s="4" t="s">
        <v>314</v>
      </c>
      <c r="F381" s="4" t="s">
        <v>344</v>
      </c>
      <c r="G381" t="s">
        <v>362</v>
      </c>
      <c r="H381" t="s">
        <v>417</v>
      </c>
      <c r="I381" s="3">
        <f t="shared" si="6"/>
        <v>0</v>
      </c>
      <c r="J381" s="3">
        <f>D381/(VLOOKUP(B381,'2024 Team'!$B$2:$G$33,2,FALSE))</f>
        <v>5.4945054945054949E-3</v>
      </c>
      <c r="K381" t="s">
        <v>1519</v>
      </c>
      <c r="L381" t="s">
        <v>417</v>
      </c>
    </row>
    <row r="382" spans="1:12" x14ac:dyDescent="0.25">
      <c r="A382" t="s">
        <v>1624</v>
      </c>
      <c r="B382" t="s">
        <v>42</v>
      </c>
      <c r="C382" t="s">
        <v>159</v>
      </c>
      <c r="D382" s="4" t="s">
        <v>220</v>
      </c>
      <c r="E382" s="4" t="s">
        <v>314</v>
      </c>
      <c r="F382" s="4" t="s">
        <v>247</v>
      </c>
      <c r="G382" t="s">
        <v>643</v>
      </c>
      <c r="H382" t="s">
        <v>417</v>
      </c>
      <c r="I382" s="3">
        <f t="shared" si="6"/>
        <v>0</v>
      </c>
      <c r="J382" s="3">
        <f>D382/(VLOOKUP(B382,'2024 Team'!$B$2:$G$33,2,FALSE))</f>
        <v>9.8039215686274508E-3</v>
      </c>
      <c r="K382" t="s">
        <v>1290</v>
      </c>
      <c r="L382" t="s">
        <v>417</v>
      </c>
    </row>
    <row r="383" spans="1:12" x14ac:dyDescent="0.25">
      <c r="A383" t="s">
        <v>635</v>
      </c>
      <c r="B383" t="s">
        <v>52</v>
      </c>
      <c r="C383" t="s">
        <v>159</v>
      </c>
      <c r="D383" s="4" t="s">
        <v>220</v>
      </c>
      <c r="E383" s="4" t="s">
        <v>314</v>
      </c>
      <c r="F383" s="4" t="s">
        <v>487</v>
      </c>
      <c r="G383" t="s">
        <v>531</v>
      </c>
      <c r="H383" t="s">
        <v>417</v>
      </c>
      <c r="I383" s="3">
        <f t="shared" si="6"/>
        <v>0</v>
      </c>
      <c r="J383" s="3">
        <f>D383/(VLOOKUP(B383,'2024 Team'!$B$2:$G$33,2,FALSE))</f>
        <v>9.0744101633393835E-3</v>
      </c>
      <c r="K383" t="s">
        <v>1290</v>
      </c>
      <c r="L383" t="s">
        <v>417</v>
      </c>
    </row>
    <row r="384" spans="1:12" x14ac:dyDescent="0.25">
      <c r="A384" t="s">
        <v>942</v>
      </c>
      <c r="B384" t="s">
        <v>46</v>
      </c>
      <c r="C384" t="s">
        <v>163</v>
      </c>
      <c r="D384" s="4" t="s">
        <v>314</v>
      </c>
      <c r="E384" s="4" t="s">
        <v>314</v>
      </c>
      <c r="F384" s="4" t="s">
        <v>440</v>
      </c>
      <c r="G384" t="s">
        <v>683</v>
      </c>
      <c r="H384" t="s">
        <v>417</v>
      </c>
      <c r="I384" s="3">
        <f t="shared" si="6"/>
        <v>0</v>
      </c>
      <c r="J384" s="3">
        <f>D384/(VLOOKUP(B384,'2024 Team'!$B$2:$G$33,2,FALSE))</f>
        <v>5.076142131979695E-3</v>
      </c>
      <c r="K384" t="s">
        <v>1519</v>
      </c>
      <c r="L384" t="s">
        <v>417</v>
      </c>
    </row>
    <row r="385" spans="1:12" x14ac:dyDescent="0.25">
      <c r="A385" t="s">
        <v>547</v>
      </c>
      <c r="B385" t="s">
        <v>42</v>
      </c>
      <c r="C385" t="s">
        <v>159</v>
      </c>
      <c r="D385" s="4" t="s">
        <v>314</v>
      </c>
      <c r="E385" s="4" t="s">
        <v>314</v>
      </c>
      <c r="F385" s="4" t="s">
        <v>554</v>
      </c>
      <c r="G385" t="s">
        <v>1469</v>
      </c>
      <c r="H385" t="s">
        <v>300</v>
      </c>
      <c r="I385" s="3">
        <f t="shared" si="6"/>
        <v>0.33333333333333331</v>
      </c>
      <c r="J385" s="3">
        <f>D385/(VLOOKUP(B385,'2024 Team'!$B$2:$G$33,2,FALSE))</f>
        <v>5.8823529411764705E-3</v>
      </c>
      <c r="K385" t="s">
        <v>1519</v>
      </c>
      <c r="L385" t="s">
        <v>300</v>
      </c>
    </row>
    <row r="386" spans="1:12" x14ac:dyDescent="0.25">
      <c r="A386" t="s">
        <v>2190</v>
      </c>
      <c r="B386" t="s">
        <v>52</v>
      </c>
      <c r="C386" t="s">
        <v>153</v>
      </c>
      <c r="D386" s="4" t="s">
        <v>229</v>
      </c>
      <c r="E386" s="4" t="s">
        <v>314</v>
      </c>
      <c r="F386" s="4" t="s">
        <v>528</v>
      </c>
      <c r="G386" t="s">
        <v>648</v>
      </c>
      <c r="H386" t="s">
        <v>417</v>
      </c>
      <c r="I386" s="3">
        <f t="shared" si="6"/>
        <v>0</v>
      </c>
      <c r="J386" s="3">
        <f>D386/(VLOOKUP(B386,'2024 Team'!$B$2:$G$33,2,FALSE))</f>
        <v>7.2595281306715061E-3</v>
      </c>
      <c r="K386" t="s">
        <v>1321</v>
      </c>
      <c r="L386" t="s">
        <v>417</v>
      </c>
    </row>
    <row r="387" spans="1:12" x14ac:dyDescent="0.25">
      <c r="A387" t="s">
        <v>767</v>
      </c>
      <c r="B387" t="s">
        <v>18</v>
      </c>
      <c r="C387" t="s">
        <v>159</v>
      </c>
      <c r="D387" s="4" t="s">
        <v>314</v>
      </c>
      <c r="E387" s="4" t="s">
        <v>314</v>
      </c>
      <c r="F387" s="4" t="s">
        <v>266</v>
      </c>
      <c r="G387" t="s">
        <v>221</v>
      </c>
      <c r="H387" t="s">
        <v>417</v>
      </c>
      <c r="I387" s="3">
        <f t="shared" si="6"/>
        <v>0</v>
      </c>
      <c r="J387" s="3">
        <f>D387/(VLOOKUP(B387,'2024 Team'!$B$2:$G$33,2,FALSE))</f>
        <v>5.3003533568904597E-3</v>
      </c>
      <c r="K387" t="s">
        <v>1519</v>
      </c>
      <c r="L387" t="s">
        <v>417</v>
      </c>
    </row>
    <row r="388" spans="1:12" x14ac:dyDescent="0.25">
      <c r="A388" t="s">
        <v>1807</v>
      </c>
      <c r="B388" t="s">
        <v>20</v>
      </c>
      <c r="C388" t="s">
        <v>163</v>
      </c>
      <c r="D388" s="4" t="s">
        <v>211</v>
      </c>
      <c r="E388" s="4" t="s">
        <v>314</v>
      </c>
      <c r="F388" s="4" t="s">
        <v>557</v>
      </c>
      <c r="G388" t="s">
        <v>258</v>
      </c>
      <c r="H388" t="s">
        <v>417</v>
      </c>
      <c r="I388" s="3">
        <f t="shared" si="6"/>
        <v>0</v>
      </c>
      <c r="J388" s="3">
        <f>D388/(VLOOKUP(B388,'2024 Team'!$B$2:$G$33,2,FALSE))</f>
        <v>1.5337423312883436E-2</v>
      </c>
      <c r="K388" t="s">
        <v>1534</v>
      </c>
      <c r="L388" t="s">
        <v>417</v>
      </c>
    </row>
    <row r="389" spans="1:12" x14ac:dyDescent="0.25">
      <c r="A389" t="s">
        <v>900</v>
      </c>
      <c r="B389" t="s">
        <v>36</v>
      </c>
      <c r="C389" t="s">
        <v>163</v>
      </c>
      <c r="D389" s="4" t="s">
        <v>220</v>
      </c>
      <c r="E389" s="4" t="s">
        <v>314</v>
      </c>
      <c r="F389" s="4" t="s">
        <v>454</v>
      </c>
      <c r="G389" t="s">
        <v>1140</v>
      </c>
      <c r="H389" t="s">
        <v>417</v>
      </c>
      <c r="I389" s="3">
        <f t="shared" si="6"/>
        <v>0</v>
      </c>
      <c r="J389" s="3">
        <f>D389/(VLOOKUP(B389,'2024 Team'!$B$2:$G$33,2,FALSE))</f>
        <v>9.1575091575091579E-3</v>
      </c>
      <c r="K389" t="s">
        <v>1290</v>
      </c>
      <c r="L389" t="s">
        <v>417</v>
      </c>
    </row>
    <row r="390" spans="1:12" x14ac:dyDescent="0.25">
      <c r="A390" t="s">
        <v>974</v>
      </c>
      <c r="B390" t="s">
        <v>54</v>
      </c>
      <c r="C390" t="s">
        <v>153</v>
      </c>
      <c r="D390" s="4" t="s">
        <v>229</v>
      </c>
      <c r="E390" s="4" t="s">
        <v>314</v>
      </c>
      <c r="F390" s="4" t="s">
        <v>639</v>
      </c>
      <c r="G390" t="s">
        <v>662</v>
      </c>
      <c r="H390" t="s">
        <v>300</v>
      </c>
      <c r="I390" s="3">
        <f t="shared" si="6"/>
        <v>0.33333333333333331</v>
      </c>
      <c r="J390" s="3">
        <f>D390/(VLOOKUP(B390,'2024 Team'!$B$2:$G$33,2,FALSE))</f>
        <v>6.7681895093062603E-3</v>
      </c>
      <c r="K390" t="s">
        <v>1321</v>
      </c>
      <c r="L390" t="s">
        <v>417</v>
      </c>
    </row>
    <row r="391" spans="1:12" x14ac:dyDescent="0.25">
      <c r="A391" t="s">
        <v>1821</v>
      </c>
      <c r="B391" t="s">
        <v>40</v>
      </c>
      <c r="C391" t="s">
        <v>163</v>
      </c>
      <c r="D391" s="4" t="s">
        <v>247</v>
      </c>
      <c r="E391" s="4" t="s">
        <v>314</v>
      </c>
      <c r="F391" s="4" t="s">
        <v>454</v>
      </c>
      <c r="G391" t="s">
        <v>1140</v>
      </c>
      <c r="H391" t="s">
        <v>417</v>
      </c>
      <c r="I391" s="3">
        <f t="shared" si="6"/>
        <v>0</v>
      </c>
      <c r="J391" s="3">
        <f>D391/(VLOOKUP(B391,'2024 Team'!$B$2:$G$33,2,FALSE))</f>
        <v>9.4488188976377951E-3</v>
      </c>
      <c r="K391" t="s">
        <v>1356</v>
      </c>
      <c r="L391" t="s">
        <v>417</v>
      </c>
    </row>
    <row r="392" spans="1:12" x14ac:dyDescent="0.25">
      <c r="A392" t="s">
        <v>2136</v>
      </c>
      <c r="B392" t="s">
        <v>64</v>
      </c>
      <c r="C392" t="s">
        <v>159</v>
      </c>
      <c r="D392" s="4" t="s">
        <v>229</v>
      </c>
      <c r="E392" s="4" t="s">
        <v>314</v>
      </c>
      <c r="F392" s="4" t="s">
        <v>514</v>
      </c>
      <c r="G392" t="s">
        <v>691</v>
      </c>
      <c r="H392" t="s">
        <v>417</v>
      </c>
      <c r="I392" s="3">
        <f t="shared" si="6"/>
        <v>0</v>
      </c>
      <c r="J392" s="3">
        <f>D392/(VLOOKUP(B392,'2024 Team'!$B$2:$G$33,2,FALSE))</f>
        <v>6.7453625632377737E-3</v>
      </c>
      <c r="K392" t="s">
        <v>1321</v>
      </c>
      <c r="L392" t="s">
        <v>417</v>
      </c>
    </row>
    <row r="393" spans="1:12" x14ac:dyDescent="0.25">
      <c r="A393" t="s">
        <v>1036</v>
      </c>
      <c r="B393" t="s">
        <v>22</v>
      </c>
      <c r="C393" t="s">
        <v>163</v>
      </c>
      <c r="D393" s="4" t="s">
        <v>314</v>
      </c>
      <c r="E393" s="4" t="s">
        <v>314</v>
      </c>
      <c r="F393" s="4" t="s">
        <v>528</v>
      </c>
      <c r="G393" t="s">
        <v>648</v>
      </c>
      <c r="H393" t="s">
        <v>417</v>
      </c>
      <c r="I393" s="3">
        <f t="shared" si="6"/>
        <v>0</v>
      </c>
      <c r="J393" s="3">
        <f>D393/(VLOOKUP(B393,'2024 Team'!$B$2:$G$33,2,FALSE))</f>
        <v>4.5385779122541605E-3</v>
      </c>
      <c r="K393" t="s">
        <v>1519</v>
      </c>
      <c r="L393" t="s">
        <v>300</v>
      </c>
    </row>
    <row r="394" spans="1:12" x14ac:dyDescent="0.25">
      <c r="A394" t="s">
        <v>688</v>
      </c>
      <c r="B394" t="s">
        <v>28</v>
      </c>
      <c r="C394" t="s">
        <v>159</v>
      </c>
      <c r="D394" s="4" t="s">
        <v>220</v>
      </c>
      <c r="E394" s="4" t="s">
        <v>314</v>
      </c>
      <c r="F394" s="4" t="s">
        <v>592</v>
      </c>
      <c r="G394" t="s">
        <v>1075</v>
      </c>
      <c r="H394" t="s">
        <v>417</v>
      </c>
      <c r="I394" s="3">
        <f t="shared" si="6"/>
        <v>0</v>
      </c>
      <c r="J394" s="3">
        <f>D394/(VLOOKUP(B394,'2024 Team'!$B$2:$G$33,2,FALSE))</f>
        <v>9.0744101633393835E-3</v>
      </c>
      <c r="K394" t="s">
        <v>1290</v>
      </c>
      <c r="L394" t="s">
        <v>300</v>
      </c>
    </row>
    <row r="395" spans="1:12" x14ac:dyDescent="0.25">
      <c r="A395" t="s">
        <v>729</v>
      </c>
      <c r="B395" t="s">
        <v>12</v>
      </c>
      <c r="C395" t="s">
        <v>613</v>
      </c>
      <c r="D395" s="4" t="s">
        <v>220</v>
      </c>
      <c r="E395" s="4" t="s">
        <v>314</v>
      </c>
      <c r="F395" s="4" t="s">
        <v>514</v>
      </c>
      <c r="G395" t="s">
        <v>691</v>
      </c>
      <c r="H395" t="s">
        <v>300</v>
      </c>
      <c r="I395" s="3">
        <f t="shared" si="6"/>
        <v>0.33333333333333331</v>
      </c>
      <c r="J395" s="3">
        <f>D395/(VLOOKUP(B395,'2024 Team'!$B$2:$G$33,2,FALSE))</f>
        <v>1.0482180293501049E-2</v>
      </c>
      <c r="K395" t="s">
        <v>1290</v>
      </c>
      <c r="L395" t="s">
        <v>417</v>
      </c>
    </row>
    <row r="396" spans="1:12" x14ac:dyDescent="0.25">
      <c r="A396" t="s">
        <v>1838</v>
      </c>
      <c r="B396" t="s">
        <v>28</v>
      </c>
      <c r="C396" t="s">
        <v>163</v>
      </c>
      <c r="D396" s="4" t="s">
        <v>207</v>
      </c>
      <c r="E396" s="4" t="s">
        <v>314</v>
      </c>
      <c r="F396" s="4" t="s">
        <v>639</v>
      </c>
      <c r="G396" t="s">
        <v>662</v>
      </c>
      <c r="H396" t="s">
        <v>417</v>
      </c>
      <c r="I396" s="3">
        <f t="shared" si="6"/>
        <v>0</v>
      </c>
      <c r="J396" s="3">
        <f>D396/(VLOOKUP(B396,'2024 Team'!$B$2:$G$33,2,FALSE))</f>
        <v>1.2704174228675136E-2</v>
      </c>
      <c r="K396" t="s">
        <v>1517</v>
      </c>
      <c r="L396" t="s">
        <v>417</v>
      </c>
    </row>
    <row r="397" spans="1:12" x14ac:dyDescent="0.25">
      <c r="A397" t="s">
        <v>1683</v>
      </c>
      <c r="B397" t="s">
        <v>62</v>
      </c>
      <c r="C397" t="s">
        <v>159</v>
      </c>
      <c r="D397" s="4" t="s">
        <v>266</v>
      </c>
      <c r="E397" s="4" t="s">
        <v>314</v>
      </c>
      <c r="F397" s="4" t="s">
        <v>500</v>
      </c>
      <c r="G397" t="s">
        <v>1383</v>
      </c>
      <c r="H397" t="s">
        <v>417</v>
      </c>
      <c r="I397" s="3">
        <f t="shared" si="6"/>
        <v>0</v>
      </c>
      <c r="J397" s="3">
        <f>D397/(VLOOKUP(B397,'2024 Team'!$B$2:$G$33,2,FALSE))</f>
        <v>2.0637898686679174E-2</v>
      </c>
      <c r="K397" t="s">
        <v>2358</v>
      </c>
      <c r="L397" t="s">
        <v>417</v>
      </c>
    </row>
    <row r="398" spans="1:12" x14ac:dyDescent="0.25">
      <c r="A398" t="s">
        <v>939</v>
      </c>
      <c r="B398" t="s">
        <v>16</v>
      </c>
      <c r="C398" t="s">
        <v>153</v>
      </c>
      <c r="D398" s="4" t="s">
        <v>247</v>
      </c>
      <c r="E398" s="4" t="s">
        <v>314</v>
      </c>
      <c r="F398" s="4" t="s">
        <v>207</v>
      </c>
      <c r="G398" t="s">
        <v>596</v>
      </c>
      <c r="H398" t="s">
        <v>417</v>
      </c>
      <c r="I398" s="3">
        <f t="shared" si="6"/>
        <v>0</v>
      </c>
      <c r="J398" s="3">
        <f>D398/(VLOOKUP(B398,'2024 Team'!$B$2:$G$33,2,FALSE))</f>
        <v>1.0968921389396709E-2</v>
      </c>
      <c r="K398" t="s">
        <v>1356</v>
      </c>
      <c r="L398" t="s">
        <v>417</v>
      </c>
    </row>
    <row r="399" spans="1:12" x14ac:dyDescent="0.25">
      <c r="A399" t="s">
        <v>853</v>
      </c>
      <c r="B399" t="s">
        <v>22</v>
      </c>
      <c r="C399" t="s">
        <v>163</v>
      </c>
      <c r="D399" s="4" t="s">
        <v>207</v>
      </c>
      <c r="E399" s="4" t="s">
        <v>314</v>
      </c>
      <c r="F399" s="4" t="s">
        <v>514</v>
      </c>
      <c r="G399" t="s">
        <v>691</v>
      </c>
      <c r="H399" t="s">
        <v>417</v>
      </c>
      <c r="I399" s="3">
        <f t="shared" si="6"/>
        <v>0</v>
      </c>
      <c r="J399" s="3">
        <f>D399/(VLOOKUP(B399,'2024 Team'!$B$2:$G$33,2,FALSE))</f>
        <v>1.059001512859304E-2</v>
      </c>
      <c r="K399" t="s">
        <v>1517</v>
      </c>
      <c r="L399" t="s">
        <v>417</v>
      </c>
    </row>
    <row r="400" spans="1:12" x14ac:dyDescent="0.25">
      <c r="A400" t="s">
        <v>776</v>
      </c>
      <c r="B400" t="s">
        <v>28</v>
      </c>
      <c r="C400" t="s">
        <v>159</v>
      </c>
      <c r="D400" s="4" t="s">
        <v>314</v>
      </c>
      <c r="E400" s="4" t="s">
        <v>314</v>
      </c>
      <c r="F400" s="4" t="s">
        <v>461</v>
      </c>
      <c r="G400" t="s">
        <v>1236</v>
      </c>
      <c r="H400" t="s">
        <v>417</v>
      </c>
      <c r="I400" s="3">
        <f t="shared" si="6"/>
        <v>0</v>
      </c>
      <c r="J400" s="3">
        <f>D400/(VLOOKUP(B400,'2024 Team'!$B$2:$G$33,2,FALSE))</f>
        <v>5.4446460980036296E-3</v>
      </c>
      <c r="K400" t="s">
        <v>1519</v>
      </c>
      <c r="L400" t="s">
        <v>417</v>
      </c>
    </row>
    <row r="401" spans="1:12" x14ac:dyDescent="0.25">
      <c r="A401" t="s">
        <v>1693</v>
      </c>
      <c r="B401" t="s">
        <v>24</v>
      </c>
      <c r="C401" t="s">
        <v>159</v>
      </c>
      <c r="D401" s="4" t="s">
        <v>220</v>
      </c>
      <c r="E401" s="4" t="s">
        <v>314</v>
      </c>
      <c r="F401" s="4" t="s">
        <v>202</v>
      </c>
      <c r="G401" t="s">
        <v>389</v>
      </c>
      <c r="H401" t="s">
        <v>417</v>
      </c>
      <c r="I401" s="3">
        <f t="shared" si="6"/>
        <v>0</v>
      </c>
      <c r="J401" s="3">
        <f>D401/(VLOOKUP(B401,'2024 Team'!$B$2:$G$33,2,FALSE))</f>
        <v>7.8492935635792772E-3</v>
      </c>
      <c r="K401" t="s">
        <v>1290</v>
      </c>
      <c r="L401" t="s">
        <v>417</v>
      </c>
    </row>
    <row r="402" spans="1:12" x14ac:dyDescent="0.25">
      <c r="A402" t="s">
        <v>1678</v>
      </c>
      <c r="B402" t="s">
        <v>46</v>
      </c>
      <c r="C402" t="s">
        <v>159</v>
      </c>
      <c r="D402" s="4" t="s">
        <v>314</v>
      </c>
      <c r="E402" s="4" t="s">
        <v>314</v>
      </c>
      <c r="F402" s="4" t="s">
        <v>541</v>
      </c>
      <c r="G402" t="s">
        <v>488</v>
      </c>
      <c r="H402" t="s">
        <v>417</v>
      </c>
      <c r="I402" s="3">
        <f t="shared" si="6"/>
        <v>0</v>
      </c>
      <c r="J402" s="3">
        <f>D402/(VLOOKUP(B402,'2024 Team'!$B$2:$G$33,2,FALSE))</f>
        <v>5.076142131979695E-3</v>
      </c>
      <c r="K402" t="s">
        <v>1519</v>
      </c>
      <c r="L402" t="s">
        <v>417</v>
      </c>
    </row>
    <row r="403" spans="1:12" x14ac:dyDescent="0.25">
      <c r="A403" t="s">
        <v>386</v>
      </c>
      <c r="B403" t="s">
        <v>46</v>
      </c>
      <c r="C403" t="s">
        <v>159</v>
      </c>
      <c r="D403" s="4" t="s">
        <v>247</v>
      </c>
      <c r="E403" s="4" t="s">
        <v>314</v>
      </c>
      <c r="F403" s="4" t="s">
        <v>225</v>
      </c>
      <c r="G403" t="s">
        <v>423</v>
      </c>
      <c r="H403" t="s">
        <v>417</v>
      </c>
      <c r="I403" s="3">
        <f t="shared" si="6"/>
        <v>0</v>
      </c>
      <c r="J403" s="3">
        <f>D403/(VLOOKUP(B403,'2024 Team'!$B$2:$G$33,2,FALSE))</f>
        <v>1.015228426395939E-2</v>
      </c>
      <c r="K403" t="s">
        <v>1356</v>
      </c>
      <c r="L403" t="s">
        <v>300</v>
      </c>
    </row>
    <row r="404" spans="1:12" x14ac:dyDescent="0.25">
      <c r="A404" t="s">
        <v>2172</v>
      </c>
      <c r="B404" t="s">
        <v>50</v>
      </c>
      <c r="C404" t="s">
        <v>153</v>
      </c>
      <c r="D404" s="4" t="s">
        <v>314</v>
      </c>
      <c r="E404" s="4" t="s">
        <v>289</v>
      </c>
      <c r="F404" s="4" t="s">
        <v>524</v>
      </c>
      <c r="G404" t="s">
        <v>662</v>
      </c>
      <c r="H404" t="s">
        <v>417</v>
      </c>
      <c r="I404" s="3">
        <f t="shared" si="6"/>
        <v>0</v>
      </c>
      <c r="J404" s="3">
        <f>D404/(VLOOKUP(B404,'2024 Team'!$B$2:$G$33,2,FALSE))</f>
        <v>5.6710775047258983E-3</v>
      </c>
      <c r="K404" t="s">
        <v>1297</v>
      </c>
      <c r="L404" t="s">
        <v>417</v>
      </c>
    </row>
    <row r="405" spans="1:12" x14ac:dyDescent="0.25">
      <c r="A405" t="s">
        <v>955</v>
      </c>
      <c r="B405" t="s">
        <v>62</v>
      </c>
      <c r="C405" t="s">
        <v>163</v>
      </c>
      <c r="D405" s="4" t="s">
        <v>247</v>
      </c>
      <c r="E405" s="4" t="s">
        <v>289</v>
      </c>
      <c r="F405" s="4" t="s">
        <v>514</v>
      </c>
      <c r="G405" t="s">
        <v>779</v>
      </c>
      <c r="H405" t="s">
        <v>417</v>
      </c>
      <c r="I405" s="3">
        <f t="shared" si="6"/>
        <v>0</v>
      </c>
      <c r="J405" s="3">
        <f>D405/(VLOOKUP(B405,'2024 Team'!$B$2:$G$33,2,FALSE))</f>
        <v>1.125703564727955E-2</v>
      </c>
      <c r="K405" t="s">
        <v>1446</v>
      </c>
      <c r="L405" t="s">
        <v>417</v>
      </c>
    </row>
    <row r="406" spans="1:12" x14ac:dyDescent="0.25">
      <c r="A406" t="s">
        <v>591</v>
      </c>
      <c r="B406" t="s">
        <v>68</v>
      </c>
      <c r="C406" t="s">
        <v>159</v>
      </c>
      <c r="D406" s="4" t="s">
        <v>314</v>
      </c>
      <c r="E406" s="4" t="s">
        <v>289</v>
      </c>
      <c r="F406" s="4" t="s">
        <v>266</v>
      </c>
      <c r="G406" t="s">
        <v>445</v>
      </c>
      <c r="H406" t="s">
        <v>417</v>
      </c>
      <c r="I406" s="3">
        <f t="shared" si="6"/>
        <v>0</v>
      </c>
      <c r="J406" s="3">
        <f>D406/(VLOOKUP(B406,'2024 Team'!$B$2:$G$33,2,FALSE))</f>
        <v>5.6603773584905656E-3</v>
      </c>
      <c r="K406" t="s">
        <v>1297</v>
      </c>
      <c r="L406" t="s">
        <v>417</v>
      </c>
    </row>
    <row r="407" spans="1:12" x14ac:dyDescent="0.25">
      <c r="A407" t="s">
        <v>2185</v>
      </c>
      <c r="B407" t="s">
        <v>46</v>
      </c>
      <c r="C407" t="s">
        <v>163</v>
      </c>
      <c r="D407" s="4" t="s">
        <v>229</v>
      </c>
      <c r="E407" s="4" t="s">
        <v>289</v>
      </c>
      <c r="F407" s="4" t="s">
        <v>266</v>
      </c>
      <c r="G407" t="s">
        <v>445</v>
      </c>
      <c r="H407" t="s">
        <v>417</v>
      </c>
      <c r="I407" s="3">
        <f t="shared" si="6"/>
        <v>0</v>
      </c>
      <c r="J407" s="3">
        <f>D407/(VLOOKUP(B407,'2024 Team'!$B$2:$G$33,2,FALSE))</f>
        <v>6.7681895093062603E-3</v>
      </c>
      <c r="K407" t="s">
        <v>1356</v>
      </c>
      <c r="L407" t="s">
        <v>417</v>
      </c>
    </row>
    <row r="408" spans="1:12" x14ac:dyDescent="0.25">
      <c r="A408" t="s">
        <v>682</v>
      </c>
      <c r="B408" t="s">
        <v>34</v>
      </c>
      <c r="C408" t="s">
        <v>163</v>
      </c>
      <c r="D408" s="4" t="s">
        <v>225</v>
      </c>
      <c r="E408" s="4" t="s">
        <v>289</v>
      </c>
      <c r="F408" s="4" t="s">
        <v>376</v>
      </c>
      <c r="G408" t="s">
        <v>2359</v>
      </c>
      <c r="H408" t="s">
        <v>300</v>
      </c>
      <c r="I408" s="3">
        <f t="shared" si="6"/>
        <v>0.5</v>
      </c>
      <c r="J408" s="3">
        <f>D408/(VLOOKUP(B408,'2024 Team'!$B$2:$G$33,2,FALSE))</f>
        <v>1.5594541910331383E-2</v>
      </c>
      <c r="K408" t="s">
        <v>1542</v>
      </c>
      <c r="L408" t="s">
        <v>417</v>
      </c>
    </row>
    <row r="409" spans="1:12" x14ac:dyDescent="0.25">
      <c r="A409" t="s">
        <v>971</v>
      </c>
      <c r="B409" t="s">
        <v>54</v>
      </c>
      <c r="C409" t="s">
        <v>163</v>
      </c>
      <c r="D409" s="4" t="s">
        <v>289</v>
      </c>
      <c r="E409" s="4" t="s">
        <v>289</v>
      </c>
      <c r="F409" s="4" t="s">
        <v>198</v>
      </c>
      <c r="G409" t="s">
        <v>389</v>
      </c>
      <c r="H409" t="s">
        <v>417</v>
      </c>
      <c r="I409" s="3">
        <f t="shared" si="6"/>
        <v>0</v>
      </c>
      <c r="J409" s="3">
        <f>D409/(VLOOKUP(B409,'2024 Team'!$B$2:$G$33,2,FALSE))</f>
        <v>3.3840947546531302E-3</v>
      </c>
      <c r="K409" t="s">
        <v>1519</v>
      </c>
      <c r="L409" t="s">
        <v>417</v>
      </c>
    </row>
    <row r="410" spans="1:12" x14ac:dyDescent="0.25">
      <c r="A410" t="s">
        <v>1816</v>
      </c>
      <c r="B410" t="s">
        <v>32</v>
      </c>
      <c r="C410" t="s">
        <v>153</v>
      </c>
      <c r="D410" s="4" t="s">
        <v>314</v>
      </c>
      <c r="E410" s="4" t="s">
        <v>289</v>
      </c>
      <c r="F410" s="4" t="s">
        <v>207</v>
      </c>
      <c r="G410" t="s">
        <v>555</v>
      </c>
      <c r="H410" t="s">
        <v>417</v>
      </c>
      <c r="I410" s="3">
        <f t="shared" si="6"/>
        <v>0</v>
      </c>
      <c r="J410" s="3">
        <f>D410/(VLOOKUP(B410,'2024 Team'!$B$2:$G$33,2,FALSE))</f>
        <v>5.263157894736842E-3</v>
      </c>
      <c r="K410" t="s">
        <v>1297</v>
      </c>
      <c r="L410" t="s">
        <v>417</v>
      </c>
    </row>
    <row r="411" spans="1:12" x14ac:dyDescent="0.25">
      <c r="A411" t="s">
        <v>1032</v>
      </c>
      <c r="B411" t="s">
        <v>68</v>
      </c>
      <c r="C411" t="s">
        <v>163</v>
      </c>
      <c r="D411" s="4" t="s">
        <v>289</v>
      </c>
      <c r="E411" s="4" t="s">
        <v>289</v>
      </c>
      <c r="F411" s="4" t="s">
        <v>535</v>
      </c>
      <c r="G411" t="s">
        <v>717</v>
      </c>
      <c r="H411" t="s">
        <v>417</v>
      </c>
      <c r="I411" s="3">
        <f t="shared" si="6"/>
        <v>0</v>
      </c>
      <c r="J411" s="3">
        <f>D411/(VLOOKUP(B411,'2024 Team'!$B$2:$G$33,2,FALSE))</f>
        <v>3.7735849056603774E-3</v>
      </c>
      <c r="K411" t="s">
        <v>1519</v>
      </c>
      <c r="L411" t="s">
        <v>417</v>
      </c>
    </row>
    <row r="412" spans="1:12" x14ac:dyDescent="0.25">
      <c r="A412" t="s">
        <v>602</v>
      </c>
      <c r="B412" t="s">
        <v>32</v>
      </c>
      <c r="C412" t="s">
        <v>159</v>
      </c>
      <c r="D412" s="4" t="s">
        <v>229</v>
      </c>
      <c r="E412" s="4" t="s">
        <v>289</v>
      </c>
      <c r="F412" s="4" t="s">
        <v>289</v>
      </c>
      <c r="G412" t="s">
        <v>614</v>
      </c>
      <c r="H412" t="s">
        <v>417</v>
      </c>
      <c r="I412" s="3">
        <f t="shared" si="6"/>
        <v>0</v>
      </c>
      <c r="J412" s="3">
        <f>D412/(VLOOKUP(B412,'2024 Team'!$B$2:$G$33,2,FALSE))</f>
        <v>7.0175438596491229E-3</v>
      </c>
      <c r="K412" t="s">
        <v>1356</v>
      </c>
      <c r="L412" t="s">
        <v>300</v>
      </c>
    </row>
    <row r="413" spans="1:12" x14ac:dyDescent="0.25">
      <c r="A413" t="s">
        <v>778</v>
      </c>
      <c r="B413" t="s">
        <v>38</v>
      </c>
      <c r="C413" t="s">
        <v>163</v>
      </c>
      <c r="D413" s="4" t="s">
        <v>247</v>
      </c>
      <c r="E413" s="4" t="s">
        <v>289</v>
      </c>
      <c r="F413" s="4" t="s">
        <v>450</v>
      </c>
      <c r="G413" t="s">
        <v>1544</v>
      </c>
      <c r="H413" t="s">
        <v>417</v>
      </c>
      <c r="I413" s="3">
        <f t="shared" si="6"/>
        <v>0</v>
      </c>
      <c r="J413" s="3">
        <f>D413/(VLOOKUP(B413,'2024 Team'!$B$2:$G$33,2,FALSE))</f>
        <v>0.01</v>
      </c>
      <c r="K413" t="s">
        <v>1446</v>
      </c>
      <c r="L413" t="s">
        <v>300</v>
      </c>
    </row>
    <row r="414" spans="1:12" x14ac:dyDescent="0.25">
      <c r="A414" t="s">
        <v>930</v>
      </c>
      <c r="B414" t="s">
        <v>44</v>
      </c>
      <c r="C414" t="s">
        <v>163</v>
      </c>
      <c r="D414" s="4" t="s">
        <v>289</v>
      </c>
      <c r="E414" s="4" t="s">
        <v>289</v>
      </c>
      <c r="F414" s="4" t="s">
        <v>247</v>
      </c>
      <c r="G414" t="s">
        <v>502</v>
      </c>
      <c r="H414" t="s">
        <v>417</v>
      </c>
      <c r="I414" s="3">
        <f t="shared" si="6"/>
        <v>0</v>
      </c>
      <c r="J414" s="3">
        <f>D414/(VLOOKUP(B414,'2024 Team'!$B$2:$G$33,2,FALSE))</f>
        <v>3.5778175313059034E-3</v>
      </c>
      <c r="K414" t="s">
        <v>1519</v>
      </c>
      <c r="L414" t="s">
        <v>417</v>
      </c>
    </row>
    <row r="415" spans="1:12" x14ac:dyDescent="0.25">
      <c r="A415" t="s">
        <v>960</v>
      </c>
      <c r="B415" t="s">
        <v>58</v>
      </c>
      <c r="C415" t="s">
        <v>153</v>
      </c>
      <c r="D415" s="4" t="s">
        <v>314</v>
      </c>
      <c r="E415" s="4" t="s">
        <v>289</v>
      </c>
      <c r="F415" s="4" t="s">
        <v>211</v>
      </c>
      <c r="G415" t="s">
        <v>258</v>
      </c>
      <c r="H415" t="s">
        <v>417</v>
      </c>
      <c r="I415" s="3">
        <f t="shared" si="6"/>
        <v>0</v>
      </c>
      <c r="J415" s="3">
        <f>D415/(VLOOKUP(B415,'2024 Team'!$B$2:$G$33,2,FALSE))</f>
        <v>6.6964285714285711E-3</v>
      </c>
      <c r="K415" t="s">
        <v>1297</v>
      </c>
      <c r="L415" t="s">
        <v>417</v>
      </c>
    </row>
    <row r="416" spans="1:12" x14ac:dyDescent="0.25">
      <c r="A416" t="s">
        <v>2141</v>
      </c>
      <c r="B416" t="s">
        <v>32</v>
      </c>
      <c r="C416" t="s">
        <v>159</v>
      </c>
      <c r="D416" s="4" t="s">
        <v>314</v>
      </c>
      <c r="E416" s="4" t="s">
        <v>289</v>
      </c>
      <c r="F416" s="4" t="s">
        <v>417</v>
      </c>
      <c r="G416" t="s">
        <v>504</v>
      </c>
      <c r="H416" t="s">
        <v>417</v>
      </c>
      <c r="I416" s="3">
        <f t="shared" si="6"/>
        <v>0</v>
      </c>
      <c r="J416" s="3">
        <f>D416/(VLOOKUP(B416,'2024 Team'!$B$2:$G$33,2,FALSE))</f>
        <v>5.263157894736842E-3</v>
      </c>
      <c r="K416" t="s">
        <v>1297</v>
      </c>
      <c r="L416" t="s">
        <v>417</v>
      </c>
    </row>
    <row r="417" spans="1:12" x14ac:dyDescent="0.25">
      <c r="A417" t="s">
        <v>2212</v>
      </c>
      <c r="B417" t="s">
        <v>42</v>
      </c>
      <c r="C417" t="s">
        <v>153</v>
      </c>
      <c r="D417" s="4" t="s">
        <v>229</v>
      </c>
      <c r="E417" s="4" t="s">
        <v>289</v>
      </c>
      <c r="F417" s="4" t="s">
        <v>270</v>
      </c>
      <c r="G417" t="s">
        <v>255</v>
      </c>
      <c r="H417" t="s">
        <v>417</v>
      </c>
      <c r="I417" s="3">
        <f t="shared" si="6"/>
        <v>0</v>
      </c>
      <c r="J417" s="3">
        <f>D417/(VLOOKUP(B417,'2024 Team'!$B$2:$G$33,2,FALSE))</f>
        <v>7.8431372549019607E-3</v>
      </c>
      <c r="K417" t="s">
        <v>1356</v>
      </c>
      <c r="L417" t="s">
        <v>417</v>
      </c>
    </row>
    <row r="418" spans="1:12" x14ac:dyDescent="0.25">
      <c r="A418" t="s">
        <v>906</v>
      </c>
      <c r="B418" t="s">
        <v>36</v>
      </c>
      <c r="C418" t="s">
        <v>163</v>
      </c>
      <c r="D418" s="4" t="s">
        <v>314</v>
      </c>
      <c r="E418" s="4" t="s">
        <v>289</v>
      </c>
      <c r="F418" s="4" t="s">
        <v>592</v>
      </c>
      <c r="G418" t="s">
        <v>1543</v>
      </c>
      <c r="H418" t="s">
        <v>417</v>
      </c>
      <c r="I418" s="3">
        <f t="shared" si="6"/>
        <v>0</v>
      </c>
      <c r="J418" s="3">
        <f>D418/(VLOOKUP(B418,'2024 Team'!$B$2:$G$33,2,FALSE))</f>
        <v>5.4945054945054949E-3</v>
      </c>
      <c r="K418" t="s">
        <v>1297</v>
      </c>
      <c r="L418" t="s">
        <v>300</v>
      </c>
    </row>
    <row r="419" spans="1:12" x14ac:dyDescent="0.25">
      <c r="A419" t="s">
        <v>1012</v>
      </c>
      <c r="B419" t="s">
        <v>64</v>
      </c>
      <c r="C419" t="s">
        <v>163</v>
      </c>
      <c r="D419" s="4" t="s">
        <v>314</v>
      </c>
      <c r="E419" s="4" t="s">
        <v>289</v>
      </c>
      <c r="F419" s="4" t="s">
        <v>440</v>
      </c>
      <c r="G419" t="s">
        <v>2075</v>
      </c>
      <c r="H419" t="s">
        <v>417</v>
      </c>
      <c r="I419" s="3">
        <f t="shared" si="6"/>
        <v>0</v>
      </c>
      <c r="J419" s="3">
        <f>D419/(VLOOKUP(B419,'2024 Team'!$B$2:$G$33,2,FALSE))</f>
        <v>5.0590219224283303E-3</v>
      </c>
      <c r="K419" t="s">
        <v>1297</v>
      </c>
      <c r="L419" t="s">
        <v>417</v>
      </c>
    </row>
    <row r="420" spans="1:12" x14ac:dyDescent="0.25">
      <c r="A420" t="s">
        <v>2214</v>
      </c>
      <c r="B420" t="s">
        <v>40</v>
      </c>
      <c r="C420" t="s">
        <v>163</v>
      </c>
      <c r="D420" s="4" t="s">
        <v>314</v>
      </c>
      <c r="E420" s="4" t="s">
        <v>289</v>
      </c>
      <c r="F420" s="4" t="s">
        <v>202</v>
      </c>
      <c r="G420" t="s">
        <v>732</v>
      </c>
      <c r="H420" t="s">
        <v>300</v>
      </c>
      <c r="I420" s="3">
        <f t="shared" si="6"/>
        <v>0.5</v>
      </c>
      <c r="J420" s="3">
        <f>D420/(VLOOKUP(B420,'2024 Team'!$B$2:$G$33,2,FALSE))</f>
        <v>4.7244094488188976E-3</v>
      </c>
      <c r="K420" t="s">
        <v>1297</v>
      </c>
      <c r="L420" t="s">
        <v>417</v>
      </c>
    </row>
    <row r="421" spans="1:12" x14ac:dyDescent="0.25">
      <c r="A421" t="s">
        <v>180</v>
      </c>
      <c r="B421" t="s">
        <v>28</v>
      </c>
      <c r="C421" t="s">
        <v>163</v>
      </c>
      <c r="D421" s="4" t="s">
        <v>314</v>
      </c>
      <c r="E421" s="4" t="s">
        <v>289</v>
      </c>
      <c r="F421" s="4" t="s">
        <v>247</v>
      </c>
      <c r="G421" t="s">
        <v>502</v>
      </c>
      <c r="H421" t="s">
        <v>417</v>
      </c>
      <c r="I421" s="3">
        <f t="shared" si="6"/>
        <v>0</v>
      </c>
      <c r="J421" s="3">
        <f>D421/(VLOOKUP(B421,'2024 Team'!$B$2:$G$33,2,FALSE))</f>
        <v>5.4446460980036296E-3</v>
      </c>
      <c r="K421" t="s">
        <v>1297</v>
      </c>
      <c r="L421" t="s">
        <v>417</v>
      </c>
    </row>
    <row r="422" spans="1:12" x14ac:dyDescent="0.25">
      <c r="A422" t="s">
        <v>2171</v>
      </c>
      <c r="B422" t="s">
        <v>50</v>
      </c>
      <c r="C422" t="s">
        <v>163</v>
      </c>
      <c r="D422" s="4" t="s">
        <v>229</v>
      </c>
      <c r="E422" s="4" t="s">
        <v>300</v>
      </c>
      <c r="F422" s="4" t="s">
        <v>198</v>
      </c>
      <c r="G422" t="s">
        <v>752</v>
      </c>
      <c r="H422" t="s">
        <v>417</v>
      </c>
      <c r="I422" s="3">
        <f t="shared" si="6"/>
        <v>0</v>
      </c>
      <c r="J422" s="3">
        <f>D422/(VLOOKUP(B422,'2024 Team'!$B$2:$G$33,2,FALSE))</f>
        <v>7.5614366729678641E-3</v>
      </c>
      <c r="K422" t="s">
        <v>1542</v>
      </c>
      <c r="L422" t="s">
        <v>417</v>
      </c>
    </row>
    <row r="423" spans="1:12" x14ac:dyDescent="0.25">
      <c r="A423" t="s">
        <v>2173</v>
      </c>
      <c r="B423" t="s">
        <v>10</v>
      </c>
      <c r="C423" t="s">
        <v>163</v>
      </c>
      <c r="D423" s="4" t="s">
        <v>289</v>
      </c>
      <c r="E423" s="4" t="s">
        <v>300</v>
      </c>
      <c r="F423" s="4" t="s">
        <v>535</v>
      </c>
      <c r="G423" t="s">
        <v>1541</v>
      </c>
      <c r="H423" t="s">
        <v>417</v>
      </c>
      <c r="I423" s="3">
        <f t="shared" si="6"/>
        <v>0</v>
      </c>
      <c r="J423" s="3">
        <f>D423/(VLOOKUP(B423,'2024 Team'!$B$2:$G$33,2,FALSE))</f>
        <v>3.5778175313059034E-3</v>
      </c>
      <c r="K423" t="s">
        <v>1356</v>
      </c>
      <c r="L423" t="s">
        <v>417</v>
      </c>
    </row>
    <row r="424" spans="1:12" x14ac:dyDescent="0.25">
      <c r="A424" t="s">
        <v>1717</v>
      </c>
      <c r="B424" t="s">
        <v>16</v>
      </c>
      <c r="C424" t="s">
        <v>159</v>
      </c>
      <c r="D424" s="4" t="s">
        <v>314</v>
      </c>
      <c r="E424" s="4" t="s">
        <v>300</v>
      </c>
      <c r="F424" s="4" t="s">
        <v>649</v>
      </c>
      <c r="G424" t="s">
        <v>768</v>
      </c>
      <c r="H424" t="s">
        <v>417</v>
      </c>
      <c r="I424" s="3">
        <f t="shared" si="6"/>
        <v>0</v>
      </c>
      <c r="J424" s="3">
        <f>D424/(VLOOKUP(B424,'2024 Team'!$B$2:$G$33,2,FALSE))</f>
        <v>5.4844606946983544E-3</v>
      </c>
      <c r="K424" t="s">
        <v>1446</v>
      </c>
      <c r="L424" t="s">
        <v>417</v>
      </c>
    </row>
    <row r="425" spans="1:12" x14ac:dyDescent="0.25">
      <c r="A425" t="s">
        <v>2176</v>
      </c>
      <c r="B425" t="s">
        <v>38</v>
      </c>
      <c r="C425" t="s">
        <v>998</v>
      </c>
      <c r="D425" s="4" t="s">
        <v>300</v>
      </c>
      <c r="E425" s="4" t="s">
        <v>300</v>
      </c>
      <c r="F425" s="4" t="s">
        <v>220</v>
      </c>
      <c r="G425" t="s">
        <v>258</v>
      </c>
      <c r="H425" t="s">
        <v>417</v>
      </c>
      <c r="I425" s="3">
        <f t="shared" si="6"/>
        <v>0</v>
      </c>
      <c r="J425" s="3">
        <f>D425/(VLOOKUP(B425,'2024 Team'!$B$2:$G$33,2,FALSE))</f>
        <v>1.6666666666666668E-3</v>
      </c>
      <c r="K425" t="s">
        <v>1519</v>
      </c>
      <c r="L425" t="s">
        <v>417</v>
      </c>
    </row>
    <row r="426" spans="1:12" x14ac:dyDescent="0.25">
      <c r="A426" t="s">
        <v>1043</v>
      </c>
      <c r="B426" t="s">
        <v>46</v>
      </c>
      <c r="C426" t="s">
        <v>163</v>
      </c>
      <c r="D426" s="4" t="s">
        <v>229</v>
      </c>
      <c r="E426" s="4" t="s">
        <v>300</v>
      </c>
      <c r="F426" s="4" t="s">
        <v>220</v>
      </c>
      <c r="G426" t="s">
        <v>258</v>
      </c>
      <c r="H426" t="s">
        <v>417</v>
      </c>
      <c r="I426" s="3">
        <f t="shared" si="6"/>
        <v>0</v>
      </c>
      <c r="J426" s="3">
        <f>D426/(VLOOKUP(B426,'2024 Team'!$B$2:$G$33,2,FALSE))</f>
        <v>6.7681895093062603E-3</v>
      </c>
      <c r="K426" t="s">
        <v>1542</v>
      </c>
      <c r="L426" t="s">
        <v>417</v>
      </c>
    </row>
    <row r="427" spans="1:12" x14ac:dyDescent="0.25">
      <c r="A427" t="s">
        <v>2147</v>
      </c>
      <c r="B427" t="s">
        <v>40</v>
      </c>
      <c r="C427" t="s">
        <v>159</v>
      </c>
      <c r="D427" s="4" t="s">
        <v>289</v>
      </c>
      <c r="E427" s="4" t="s">
        <v>300</v>
      </c>
      <c r="F427" s="4" t="s">
        <v>651</v>
      </c>
      <c r="G427" t="s">
        <v>743</v>
      </c>
      <c r="H427" t="s">
        <v>417</v>
      </c>
      <c r="I427" s="3">
        <f t="shared" si="6"/>
        <v>0</v>
      </c>
      <c r="J427" s="3">
        <f>D427/(VLOOKUP(B427,'2024 Team'!$B$2:$G$33,2,FALSE))</f>
        <v>3.1496062992125984E-3</v>
      </c>
      <c r="K427" t="s">
        <v>1356</v>
      </c>
      <c r="L427" t="s">
        <v>417</v>
      </c>
    </row>
    <row r="428" spans="1:12" x14ac:dyDescent="0.25">
      <c r="A428" t="s">
        <v>1669</v>
      </c>
      <c r="B428" t="s">
        <v>24</v>
      </c>
      <c r="C428" t="s">
        <v>159</v>
      </c>
      <c r="D428" s="4" t="s">
        <v>300</v>
      </c>
      <c r="E428" s="4" t="s">
        <v>300</v>
      </c>
      <c r="F428" s="4" t="s">
        <v>211</v>
      </c>
      <c r="G428" t="s">
        <v>662</v>
      </c>
      <c r="H428" t="s">
        <v>417</v>
      </c>
      <c r="I428" s="3">
        <f t="shared" si="6"/>
        <v>0</v>
      </c>
      <c r="J428" s="3">
        <f>D428/(VLOOKUP(B428,'2024 Team'!$B$2:$G$33,2,FALSE))</f>
        <v>1.5698587127158557E-3</v>
      </c>
      <c r="K428" t="s">
        <v>1519</v>
      </c>
      <c r="L428" t="s">
        <v>417</v>
      </c>
    </row>
    <row r="429" spans="1:12" x14ac:dyDescent="0.25">
      <c r="A429" t="s">
        <v>2179</v>
      </c>
      <c r="B429" t="s">
        <v>22</v>
      </c>
      <c r="C429" t="s">
        <v>163</v>
      </c>
      <c r="D429" s="4" t="s">
        <v>300</v>
      </c>
      <c r="E429" s="4" t="s">
        <v>300</v>
      </c>
      <c r="F429" s="4" t="s">
        <v>247</v>
      </c>
      <c r="G429" t="s">
        <v>389</v>
      </c>
      <c r="H429" t="s">
        <v>417</v>
      </c>
      <c r="I429" s="3">
        <f t="shared" si="6"/>
        <v>0</v>
      </c>
      <c r="J429" s="3">
        <f>D429/(VLOOKUP(B429,'2024 Team'!$B$2:$G$33,2,FALSE))</f>
        <v>1.5128593040847202E-3</v>
      </c>
      <c r="K429" t="s">
        <v>1519</v>
      </c>
      <c r="L429" t="s">
        <v>417</v>
      </c>
    </row>
    <row r="430" spans="1:12" x14ac:dyDescent="0.25">
      <c r="A430" t="s">
        <v>2180</v>
      </c>
      <c r="B430" t="s">
        <v>14</v>
      </c>
      <c r="C430" t="s">
        <v>153</v>
      </c>
      <c r="D430" s="4" t="s">
        <v>289</v>
      </c>
      <c r="E430" s="4" t="s">
        <v>300</v>
      </c>
      <c r="F430" s="4" t="s">
        <v>220</v>
      </c>
      <c r="G430" t="s">
        <v>258</v>
      </c>
      <c r="H430" t="s">
        <v>417</v>
      </c>
      <c r="I430" s="3">
        <f t="shared" si="6"/>
        <v>0</v>
      </c>
      <c r="J430" s="3">
        <f>D430/(VLOOKUP(B430,'2024 Team'!$B$2:$G$33,2,FALSE))</f>
        <v>3.8461538461538464E-3</v>
      </c>
      <c r="K430" t="s">
        <v>1356</v>
      </c>
      <c r="L430" t="s">
        <v>417</v>
      </c>
    </row>
    <row r="431" spans="1:12" x14ac:dyDescent="0.25">
      <c r="A431" t="s">
        <v>2181</v>
      </c>
      <c r="B431" t="s">
        <v>40</v>
      </c>
      <c r="C431" t="s">
        <v>2182</v>
      </c>
      <c r="D431" s="4" t="s">
        <v>300</v>
      </c>
      <c r="E431" s="4" t="s">
        <v>300</v>
      </c>
      <c r="F431" s="4" t="s">
        <v>679</v>
      </c>
      <c r="G431" t="s">
        <v>2360</v>
      </c>
      <c r="H431" t="s">
        <v>417</v>
      </c>
      <c r="I431" s="3">
        <f t="shared" si="6"/>
        <v>0</v>
      </c>
      <c r="J431" s="3">
        <f>D431/(VLOOKUP(B431,'2024 Team'!$B$2:$G$33,2,FALSE))</f>
        <v>1.5748031496062992E-3</v>
      </c>
      <c r="K431" t="s">
        <v>1519</v>
      </c>
      <c r="L431" t="s">
        <v>417</v>
      </c>
    </row>
    <row r="432" spans="1:12" x14ac:dyDescent="0.25">
      <c r="A432" t="s">
        <v>870</v>
      </c>
      <c r="B432" t="s">
        <v>10</v>
      </c>
      <c r="C432" t="s">
        <v>153</v>
      </c>
      <c r="D432" s="4" t="s">
        <v>300</v>
      </c>
      <c r="E432" s="4" t="s">
        <v>300</v>
      </c>
      <c r="F432" s="4" t="s">
        <v>220</v>
      </c>
      <c r="G432" t="s">
        <v>258</v>
      </c>
      <c r="H432" t="s">
        <v>417</v>
      </c>
      <c r="I432" s="3">
        <f t="shared" si="6"/>
        <v>0</v>
      </c>
      <c r="J432" s="3">
        <f>D432/(VLOOKUP(B432,'2024 Team'!$B$2:$G$33,2,FALSE))</f>
        <v>1.7889087656529517E-3</v>
      </c>
      <c r="K432" t="s">
        <v>1519</v>
      </c>
      <c r="L432" t="s">
        <v>417</v>
      </c>
    </row>
    <row r="433" spans="1:12" x14ac:dyDescent="0.25">
      <c r="A433" t="s">
        <v>880</v>
      </c>
      <c r="B433" t="s">
        <v>30</v>
      </c>
      <c r="C433" t="s">
        <v>153</v>
      </c>
      <c r="D433" s="4" t="s">
        <v>300</v>
      </c>
      <c r="E433" s="4" t="s">
        <v>300</v>
      </c>
      <c r="F433" s="4" t="s">
        <v>289</v>
      </c>
      <c r="G433" t="s">
        <v>643</v>
      </c>
      <c r="H433" t="s">
        <v>417</v>
      </c>
      <c r="I433" s="3">
        <f t="shared" si="6"/>
        <v>0</v>
      </c>
      <c r="J433" s="3">
        <f>D433/(VLOOKUP(B433,'2024 Team'!$B$2:$G$33,2,FALSE))</f>
        <v>2.0876826722338203E-3</v>
      </c>
      <c r="K433" t="s">
        <v>1519</v>
      </c>
      <c r="L433" t="s">
        <v>417</v>
      </c>
    </row>
    <row r="434" spans="1:12" x14ac:dyDescent="0.25">
      <c r="A434" t="s">
        <v>2186</v>
      </c>
      <c r="B434" t="s">
        <v>38</v>
      </c>
      <c r="C434" t="s">
        <v>153</v>
      </c>
      <c r="D434" s="4" t="s">
        <v>314</v>
      </c>
      <c r="E434" s="4" t="s">
        <v>300</v>
      </c>
      <c r="F434" s="4" t="s">
        <v>220</v>
      </c>
      <c r="G434" t="s">
        <v>258</v>
      </c>
      <c r="H434" t="s">
        <v>417</v>
      </c>
      <c r="I434" s="3">
        <f t="shared" si="6"/>
        <v>0</v>
      </c>
      <c r="J434" s="3">
        <f>D434/(VLOOKUP(B434,'2024 Team'!$B$2:$G$33,2,FALSE))</f>
        <v>5.0000000000000001E-3</v>
      </c>
      <c r="K434" t="s">
        <v>1446</v>
      </c>
      <c r="L434" t="s">
        <v>417</v>
      </c>
    </row>
    <row r="435" spans="1:12" x14ac:dyDescent="0.25">
      <c r="A435" t="s">
        <v>705</v>
      </c>
      <c r="B435" t="s">
        <v>16</v>
      </c>
      <c r="C435" t="s">
        <v>153</v>
      </c>
      <c r="D435" s="4" t="s">
        <v>314</v>
      </c>
      <c r="E435" s="4" t="s">
        <v>300</v>
      </c>
      <c r="F435" s="4" t="s">
        <v>198</v>
      </c>
      <c r="G435" t="s">
        <v>752</v>
      </c>
      <c r="H435" t="s">
        <v>417</v>
      </c>
      <c r="I435" s="3">
        <f t="shared" si="6"/>
        <v>0</v>
      </c>
      <c r="J435" s="3">
        <f>D435/(VLOOKUP(B435,'2024 Team'!$B$2:$G$33,2,FALSE))</f>
        <v>5.4844606946983544E-3</v>
      </c>
      <c r="K435" t="s">
        <v>1446</v>
      </c>
      <c r="L435" t="s">
        <v>417</v>
      </c>
    </row>
    <row r="436" spans="1:12" x14ac:dyDescent="0.25">
      <c r="A436" t="s">
        <v>672</v>
      </c>
      <c r="B436" t="s">
        <v>48</v>
      </c>
      <c r="C436" t="s">
        <v>159</v>
      </c>
      <c r="D436" s="4" t="s">
        <v>300</v>
      </c>
      <c r="E436" s="4" t="s">
        <v>300</v>
      </c>
      <c r="F436" s="4" t="s">
        <v>266</v>
      </c>
      <c r="G436" t="s">
        <v>779</v>
      </c>
      <c r="H436" t="s">
        <v>417</v>
      </c>
      <c r="I436" s="3">
        <f t="shared" si="6"/>
        <v>0</v>
      </c>
      <c r="J436" s="3">
        <f>D436/(VLOOKUP(B436,'2024 Team'!$B$2:$G$33,2,FALSE))</f>
        <v>1.8248175182481751E-3</v>
      </c>
      <c r="K436" t="s">
        <v>1519</v>
      </c>
      <c r="L436" t="s">
        <v>417</v>
      </c>
    </row>
    <row r="437" spans="1:12" x14ac:dyDescent="0.25">
      <c r="A437" t="s">
        <v>85</v>
      </c>
      <c r="B437" t="s">
        <v>28</v>
      </c>
      <c r="C437" t="s">
        <v>82</v>
      </c>
      <c r="D437" s="4" t="s">
        <v>300</v>
      </c>
      <c r="E437" s="4" t="s">
        <v>300</v>
      </c>
      <c r="F437" s="4" t="s">
        <v>207</v>
      </c>
      <c r="G437" t="s">
        <v>648</v>
      </c>
      <c r="H437" t="s">
        <v>300</v>
      </c>
      <c r="I437" s="3">
        <f t="shared" si="6"/>
        <v>1</v>
      </c>
      <c r="J437" s="3">
        <f>D437/(VLOOKUP(B437,'2024 Team'!$B$2:$G$33,2,FALSE))</f>
        <v>1.8148820326678765E-3</v>
      </c>
      <c r="K437" t="s">
        <v>1519</v>
      </c>
      <c r="L437" t="s">
        <v>247</v>
      </c>
    </row>
    <row r="438" spans="1:12" x14ac:dyDescent="0.25">
      <c r="A438" t="s">
        <v>893</v>
      </c>
      <c r="B438" t="s">
        <v>34</v>
      </c>
      <c r="C438" t="s">
        <v>163</v>
      </c>
      <c r="D438" s="4" t="s">
        <v>300</v>
      </c>
      <c r="E438" s="4" t="s">
        <v>300</v>
      </c>
      <c r="F438" s="4" t="s">
        <v>510</v>
      </c>
      <c r="G438" t="s">
        <v>1759</v>
      </c>
      <c r="H438" t="s">
        <v>417</v>
      </c>
      <c r="I438" s="3">
        <f t="shared" si="6"/>
        <v>0</v>
      </c>
      <c r="J438" s="3">
        <f>D438/(VLOOKUP(B438,'2024 Team'!$B$2:$G$33,2,FALSE))</f>
        <v>1.9493177387914229E-3</v>
      </c>
      <c r="K438" t="s">
        <v>1519</v>
      </c>
      <c r="L438" t="s">
        <v>417</v>
      </c>
    </row>
    <row r="439" spans="1:12" x14ac:dyDescent="0.25">
      <c r="A439" t="s">
        <v>513</v>
      </c>
      <c r="B439" t="s">
        <v>64</v>
      </c>
      <c r="C439" t="s">
        <v>159</v>
      </c>
      <c r="D439" s="4" t="s">
        <v>300</v>
      </c>
      <c r="E439" s="4" t="s">
        <v>300</v>
      </c>
      <c r="F439" s="4" t="s">
        <v>663</v>
      </c>
      <c r="G439" t="s">
        <v>652</v>
      </c>
      <c r="H439" t="s">
        <v>417</v>
      </c>
      <c r="I439" s="3">
        <f t="shared" si="6"/>
        <v>0</v>
      </c>
      <c r="J439" s="3">
        <f>D439/(VLOOKUP(B439,'2024 Team'!$B$2:$G$33,2,FALSE))</f>
        <v>1.6863406408094434E-3</v>
      </c>
      <c r="K439" t="s">
        <v>1519</v>
      </c>
      <c r="L439" t="s">
        <v>417</v>
      </c>
    </row>
    <row r="440" spans="1:12" x14ac:dyDescent="0.25">
      <c r="A440" t="s">
        <v>2191</v>
      </c>
      <c r="B440" t="s">
        <v>20</v>
      </c>
      <c r="C440" t="s">
        <v>2192</v>
      </c>
      <c r="D440" s="4" t="s">
        <v>300</v>
      </c>
      <c r="E440" s="4" t="s">
        <v>300</v>
      </c>
      <c r="F440" s="4" t="s">
        <v>289</v>
      </c>
      <c r="G440" t="s">
        <v>643</v>
      </c>
      <c r="H440" t="s">
        <v>300</v>
      </c>
      <c r="I440" s="3">
        <f t="shared" ref="I440:I500" si="7">H440/E440</f>
        <v>1</v>
      </c>
      <c r="J440" s="3">
        <f>D440/(VLOOKUP(B440,'2024 Team'!$B$2:$G$33,2,FALSE))</f>
        <v>1.5337423312883436E-3</v>
      </c>
      <c r="K440" t="s">
        <v>1519</v>
      </c>
      <c r="L440" t="s">
        <v>417</v>
      </c>
    </row>
    <row r="441" spans="1:12" x14ac:dyDescent="0.25">
      <c r="A441" t="s">
        <v>2162</v>
      </c>
      <c r="B441" t="s">
        <v>68</v>
      </c>
      <c r="C441" t="s">
        <v>163</v>
      </c>
      <c r="D441" s="4" t="s">
        <v>314</v>
      </c>
      <c r="E441" s="4" t="s">
        <v>300</v>
      </c>
      <c r="F441" s="4" t="s">
        <v>225</v>
      </c>
      <c r="G441" t="s">
        <v>531</v>
      </c>
      <c r="H441" t="s">
        <v>417</v>
      </c>
      <c r="I441" s="3">
        <f t="shared" si="7"/>
        <v>0</v>
      </c>
      <c r="J441" s="3">
        <f>D441/(VLOOKUP(B441,'2024 Team'!$B$2:$G$33,2,FALSE))</f>
        <v>5.6603773584905656E-3</v>
      </c>
      <c r="K441" t="s">
        <v>1446</v>
      </c>
      <c r="L441" t="s">
        <v>220</v>
      </c>
    </row>
    <row r="442" spans="1:12" x14ac:dyDescent="0.25">
      <c r="A442" t="s">
        <v>2144</v>
      </c>
      <c r="B442" t="s">
        <v>28</v>
      </c>
      <c r="C442" t="s">
        <v>159</v>
      </c>
      <c r="D442" s="4" t="s">
        <v>300</v>
      </c>
      <c r="E442" s="4" t="s">
        <v>300</v>
      </c>
      <c r="F442" s="4" t="s">
        <v>211</v>
      </c>
      <c r="G442" t="s">
        <v>662</v>
      </c>
      <c r="H442" t="s">
        <v>417</v>
      </c>
      <c r="I442" s="3">
        <f t="shared" si="7"/>
        <v>0</v>
      </c>
      <c r="J442" s="3">
        <f>D442/(VLOOKUP(B442,'2024 Team'!$B$2:$G$33,2,FALSE))</f>
        <v>1.8148820326678765E-3</v>
      </c>
      <c r="K442" t="s">
        <v>1519</v>
      </c>
      <c r="L442" t="s">
        <v>417</v>
      </c>
    </row>
    <row r="443" spans="1:12" x14ac:dyDescent="0.25">
      <c r="A443" t="s">
        <v>2193</v>
      </c>
      <c r="B443" t="s">
        <v>58</v>
      </c>
      <c r="C443" t="s">
        <v>153</v>
      </c>
      <c r="D443" s="4" t="s">
        <v>289</v>
      </c>
      <c r="E443" s="4" t="s">
        <v>300</v>
      </c>
      <c r="F443" s="4" t="s">
        <v>207</v>
      </c>
      <c r="G443" t="s">
        <v>648</v>
      </c>
      <c r="H443" t="s">
        <v>300</v>
      </c>
      <c r="I443" s="3">
        <f t="shared" si="7"/>
        <v>1</v>
      </c>
      <c r="J443" s="3">
        <f>D443/(VLOOKUP(B443,'2024 Team'!$B$2:$G$33,2,FALSE))</f>
        <v>4.464285714285714E-3</v>
      </c>
      <c r="K443" t="s">
        <v>1356</v>
      </c>
      <c r="L443" t="s">
        <v>417</v>
      </c>
    </row>
    <row r="444" spans="1:12" x14ac:dyDescent="0.25">
      <c r="A444" t="s">
        <v>1810</v>
      </c>
      <c r="B444" t="s">
        <v>60</v>
      </c>
      <c r="C444" t="s">
        <v>163</v>
      </c>
      <c r="D444" s="4" t="s">
        <v>300</v>
      </c>
      <c r="E444" s="4" t="s">
        <v>300</v>
      </c>
      <c r="F444" s="4" t="s">
        <v>270</v>
      </c>
      <c r="G444" t="s">
        <v>732</v>
      </c>
      <c r="H444" t="s">
        <v>417</v>
      </c>
      <c r="I444" s="3">
        <f t="shared" si="7"/>
        <v>0</v>
      </c>
      <c r="J444" s="3">
        <f>D444/(VLOOKUP(B444,'2024 Team'!$B$2:$G$33,2,FALSE))</f>
        <v>2.004008016032064E-3</v>
      </c>
      <c r="K444" t="s">
        <v>1519</v>
      </c>
      <c r="L444" t="s">
        <v>417</v>
      </c>
    </row>
    <row r="445" spans="1:12" x14ac:dyDescent="0.25">
      <c r="A445" t="s">
        <v>1811</v>
      </c>
      <c r="B445" t="s">
        <v>18</v>
      </c>
      <c r="C445" t="s">
        <v>163</v>
      </c>
      <c r="D445" s="4" t="s">
        <v>289</v>
      </c>
      <c r="E445" s="4" t="s">
        <v>300</v>
      </c>
      <c r="F445" s="4" t="s">
        <v>247</v>
      </c>
      <c r="G445" t="s">
        <v>389</v>
      </c>
      <c r="H445" t="s">
        <v>417</v>
      </c>
      <c r="I445" s="3">
        <f t="shared" si="7"/>
        <v>0</v>
      </c>
      <c r="J445" s="3">
        <f>D445/(VLOOKUP(B445,'2024 Team'!$B$2:$G$33,2,FALSE))</f>
        <v>3.5335689045936395E-3</v>
      </c>
      <c r="K445" t="s">
        <v>1356</v>
      </c>
      <c r="L445" t="s">
        <v>417</v>
      </c>
    </row>
    <row r="446" spans="1:12" x14ac:dyDescent="0.25">
      <c r="A446" t="s">
        <v>848</v>
      </c>
      <c r="B446" t="s">
        <v>20</v>
      </c>
      <c r="C446" t="s">
        <v>163</v>
      </c>
      <c r="D446" s="4" t="s">
        <v>300</v>
      </c>
      <c r="E446" s="4" t="s">
        <v>300</v>
      </c>
      <c r="F446" s="4" t="s">
        <v>220</v>
      </c>
      <c r="G446" t="s">
        <v>258</v>
      </c>
      <c r="H446" t="s">
        <v>417</v>
      </c>
      <c r="I446" s="3">
        <f t="shared" si="7"/>
        <v>0</v>
      </c>
      <c r="J446" s="3">
        <f>D446/(VLOOKUP(B446,'2024 Team'!$B$2:$G$33,2,FALSE))</f>
        <v>1.5337423312883436E-3</v>
      </c>
      <c r="K446" t="s">
        <v>1519</v>
      </c>
      <c r="L446" t="s">
        <v>289</v>
      </c>
    </row>
    <row r="447" spans="1:12" x14ac:dyDescent="0.25">
      <c r="A447" t="s">
        <v>2163</v>
      </c>
      <c r="B447" t="s">
        <v>50</v>
      </c>
      <c r="C447" t="s">
        <v>647</v>
      </c>
      <c r="D447" s="4" t="s">
        <v>300</v>
      </c>
      <c r="E447" s="4" t="s">
        <v>300</v>
      </c>
      <c r="F447" s="4" t="s">
        <v>202</v>
      </c>
      <c r="G447" t="s">
        <v>1742</v>
      </c>
      <c r="H447" t="s">
        <v>417</v>
      </c>
      <c r="I447" s="3">
        <f t="shared" si="7"/>
        <v>0</v>
      </c>
      <c r="J447" s="3">
        <f>D447/(VLOOKUP(B447,'2024 Team'!$B$2:$G$33,2,FALSE))</f>
        <v>1.890359168241966E-3</v>
      </c>
      <c r="K447" t="s">
        <v>1519</v>
      </c>
      <c r="L447" t="s">
        <v>289</v>
      </c>
    </row>
    <row r="448" spans="1:12" x14ac:dyDescent="0.25">
      <c r="A448" t="s">
        <v>658</v>
      </c>
      <c r="B448" t="s">
        <v>18</v>
      </c>
      <c r="C448" t="s">
        <v>163</v>
      </c>
      <c r="D448" s="4" t="s">
        <v>300</v>
      </c>
      <c r="E448" s="4" t="s">
        <v>300</v>
      </c>
      <c r="F448" s="4" t="s">
        <v>225</v>
      </c>
      <c r="G448" t="s">
        <v>531</v>
      </c>
      <c r="H448" t="s">
        <v>417</v>
      </c>
      <c r="I448" s="3">
        <f t="shared" si="7"/>
        <v>0</v>
      </c>
      <c r="J448" s="3">
        <f>D448/(VLOOKUP(B448,'2024 Team'!$B$2:$G$33,2,FALSE))</f>
        <v>1.7667844522968198E-3</v>
      </c>
      <c r="K448" t="s">
        <v>1519</v>
      </c>
      <c r="L448" t="s">
        <v>300</v>
      </c>
    </row>
    <row r="449" spans="1:12" x14ac:dyDescent="0.25">
      <c r="A449" t="s">
        <v>658</v>
      </c>
      <c r="B449" t="s">
        <v>16</v>
      </c>
      <c r="C449" t="s">
        <v>163</v>
      </c>
      <c r="D449" s="4" t="s">
        <v>417</v>
      </c>
      <c r="E449" s="4" t="s">
        <v>417</v>
      </c>
      <c r="F449" s="4" t="s">
        <v>417</v>
      </c>
      <c r="H449" t="s">
        <v>417</v>
      </c>
      <c r="I449" s="3" t="e">
        <f t="shared" si="7"/>
        <v>#DIV/0!</v>
      </c>
      <c r="J449" s="3">
        <f>D449/(VLOOKUP(B449,'2024 Team'!$B$2:$G$33,2,FALSE))</f>
        <v>0</v>
      </c>
      <c r="L449" t="s">
        <v>417</v>
      </c>
    </row>
    <row r="450" spans="1:12" x14ac:dyDescent="0.25">
      <c r="A450" t="s">
        <v>2194</v>
      </c>
      <c r="B450" t="s">
        <v>40</v>
      </c>
      <c r="C450" t="s">
        <v>163</v>
      </c>
      <c r="D450" s="4" t="s">
        <v>314</v>
      </c>
      <c r="E450" s="4" t="s">
        <v>300</v>
      </c>
      <c r="F450" s="4" t="s">
        <v>207</v>
      </c>
      <c r="G450" t="s">
        <v>648</v>
      </c>
      <c r="H450" t="s">
        <v>417</v>
      </c>
      <c r="I450" s="3">
        <f t="shared" si="7"/>
        <v>0</v>
      </c>
      <c r="J450" s="3">
        <f>D450/(VLOOKUP(B450,'2024 Team'!$B$2:$G$33,2,FALSE))</f>
        <v>4.7244094488188976E-3</v>
      </c>
      <c r="K450" t="s">
        <v>1446</v>
      </c>
      <c r="L450" t="s">
        <v>417</v>
      </c>
    </row>
    <row r="451" spans="1:12" x14ac:dyDescent="0.25">
      <c r="A451" t="s">
        <v>2149</v>
      </c>
      <c r="B451" t="s">
        <v>22</v>
      </c>
      <c r="C451" t="s">
        <v>159</v>
      </c>
      <c r="D451" s="4" t="s">
        <v>314</v>
      </c>
      <c r="E451" s="4" t="s">
        <v>300</v>
      </c>
      <c r="F451" s="4" t="s">
        <v>557</v>
      </c>
      <c r="G451" t="s">
        <v>1212</v>
      </c>
      <c r="H451" t="s">
        <v>417</v>
      </c>
      <c r="I451" s="3">
        <f t="shared" si="7"/>
        <v>0</v>
      </c>
      <c r="J451" s="3">
        <f>D451/(VLOOKUP(B451,'2024 Team'!$B$2:$G$33,2,FALSE))</f>
        <v>4.5385779122541605E-3</v>
      </c>
      <c r="K451" t="s">
        <v>1446</v>
      </c>
      <c r="L451" t="s">
        <v>417</v>
      </c>
    </row>
    <row r="452" spans="1:12" x14ac:dyDescent="0.25">
      <c r="A452" t="s">
        <v>2195</v>
      </c>
      <c r="B452" t="s">
        <v>68</v>
      </c>
      <c r="C452" t="s">
        <v>2184</v>
      </c>
      <c r="D452" s="4" t="s">
        <v>300</v>
      </c>
      <c r="E452" s="4" t="s">
        <v>300</v>
      </c>
      <c r="F452" s="4" t="s">
        <v>417</v>
      </c>
      <c r="G452" t="s">
        <v>504</v>
      </c>
      <c r="H452" t="s">
        <v>417</v>
      </c>
      <c r="I452" s="3">
        <f t="shared" si="7"/>
        <v>0</v>
      </c>
      <c r="J452" s="3">
        <f>D452/(VLOOKUP(B452,'2024 Team'!$B$2:$G$33,2,FALSE))</f>
        <v>1.8867924528301887E-3</v>
      </c>
      <c r="K452" t="s">
        <v>1519</v>
      </c>
      <c r="L452" t="s">
        <v>417</v>
      </c>
    </row>
    <row r="453" spans="1:12" x14ac:dyDescent="0.25">
      <c r="A453" t="s">
        <v>1820</v>
      </c>
      <c r="B453" t="s">
        <v>18</v>
      </c>
      <c r="C453" t="s">
        <v>153</v>
      </c>
      <c r="D453" s="4" t="s">
        <v>289</v>
      </c>
      <c r="E453" s="4" t="s">
        <v>300</v>
      </c>
      <c r="F453" s="4" t="s">
        <v>289</v>
      </c>
      <c r="G453" t="s">
        <v>643</v>
      </c>
      <c r="H453" t="s">
        <v>417</v>
      </c>
      <c r="I453" s="3">
        <f t="shared" si="7"/>
        <v>0</v>
      </c>
      <c r="J453" s="3">
        <f>D453/(VLOOKUP(B453,'2024 Team'!$B$2:$G$33,2,FALSE))</f>
        <v>3.5335689045936395E-3</v>
      </c>
      <c r="K453" t="s">
        <v>1356</v>
      </c>
      <c r="L453" t="s">
        <v>417</v>
      </c>
    </row>
    <row r="454" spans="1:12" x14ac:dyDescent="0.25">
      <c r="A454" t="s">
        <v>2145</v>
      </c>
      <c r="B454" t="s">
        <v>30</v>
      </c>
      <c r="C454" t="s">
        <v>159</v>
      </c>
      <c r="D454" s="4" t="s">
        <v>300</v>
      </c>
      <c r="E454" s="4" t="s">
        <v>300</v>
      </c>
      <c r="F454" s="4" t="s">
        <v>314</v>
      </c>
      <c r="G454" t="s">
        <v>502</v>
      </c>
      <c r="H454" t="s">
        <v>417</v>
      </c>
      <c r="I454" s="3">
        <f t="shared" si="7"/>
        <v>0</v>
      </c>
      <c r="J454" s="3">
        <f>D454/(VLOOKUP(B454,'2024 Team'!$B$2:$G$33,2,FALSE))</f>
        <v>2.0876826722338203E-3</v>
      </c>
      <c r="K454" t="s">
        <v>1519</v>
      </c>
      <c r="L454" t="s">
        <v>417</v>
      </c>
    </row>
    <row r="455" spans="1:12" x14ac:dyDescent="0.25">
      <c r="A455" t="s">
        <v>2196</v>
      </c>
      <c r="B455" t="s">
        <v>50</v>
      </c>
      <c r="C455" t="s">
        <v>2184</v>
      </c>
      <c r="D455" s="4" t="s">
        <v>300</v>
      </c>
      <c r="E455" s="4" t="s">
        <v>300</v>
      </c>
      <c r="F455" s="4" t="s">
        <v>229</v>
      </c>
      <c r="G455" t="s">
        <v>235</v>
      </c>
      <c r="H455" t="s">
        <v>300</v>
      </c>
      <c r="I455" s="3">
        <f t="shared" si="7"/>
        <v>1</v>
      </c>
      <c r="J455" s="3">
        <f>D455/(VLOOKUP(B455,'2024 Team'!$B$2:$G$33,2,FALSE))</f>
        <v>1.890359168241966E-3</v>
      </c>
      <c r="K455" t="s">
        <v>1519</v>
      </c>
      <c r="L455" t="s">
        <v>417</v>
      </c>
    </row>
    <row r="456" spans="1:12" x14ac:dyDescent="0.25">
      <c r="A456" t="s">
        <v>91</v>
      </c>
      <c r="B456" t="s">
        <v>38</v>
      </c>
      <c r="C456" t="s">
        <v>82</v>
      </c>
      <c r="D456" s="4" t="s">
        <v>300</v>
      </c>
      <c r="E456" s="4" t="s">
        <v>300</v>
      </c>
      <c r="F456" s="4" t="s">
        <v>289</v>
      </c>
      <c r="G456" t="s">
        <v>643</v>
      </c>
      <c r="H456" t="s">
        <v>417</v>
      </c>
      <c r="I456" s="3">
        <f t="shared" si="7"/>
        <v>0</v>
      </c>
      <c r="J456" s="3">
        <f>D456/(VLOOKUP(B456,'2024 Team'!$B$2:$G$33,2,FALSE))</f>
        <v>1.6666666666666668E-3</v>
      </c>
      <c r="K456" t="s">
        <v>1519</v>
      </c>
      <c r="L456" t="s">
        <v>289</v>
      </c>
    </row>
    <row r="457" spans="1:12" x14ac:dyDescent="0.25">
      <c r="A457" t="s">
        <v>1046</v>
      </c>
      <c r="B457" t="s">
        <v>68</v>
      </c>
      <c r="C457" t="s">
        <v>163</v>
      </c>
      <c r="D457" s="4" t="s">
        <v>289</v>
      </c>
      <c r="E457" s="4" t="s">
        <v>300</v>
      </c>
      <c r="F457" s="4" t="s">
        <v>554</v>
      </c>
      <c r="G457" t="s">
        <v>2361</v>
      </c>
      <c r="H457" t="s">
        <v>300</v>
      </c>
      <c r="I457" s="3">
        <f t="shared" si="7"/>
        <v>1</v>
      </c>
      <c r="J457" s="3">
        <f>D457/(VLOOKUP(B457,'2024 Team'!$B$2:$G$33,2,FALSE))</f>
        <v>3.7735849056603774E-3</v>
      </c>
      <c r="K457" t="s">
        <v>1356</v>
      </c>
      <c r="L457" t="s">
        <v>417</v>
      </c>
    </row>
    <row r="458" spans="1:12" x14ac:dyDescent="0.25">
      <c r="A458" t="s">
        <v>1033</v>
      </c>
      <c r="B458" t="s">
        <v>68</v>
      </c>
      <c r="C458" t="s">
        <v>153</v>
      </c>
      <c r="D458" s="4" t="s">
        <v>289</v>
      </c>
      <c r="E458" s="4" t="s">
        <v>300</v>
      </c>
      <c r="F458" s="4" t="s">
        <v>247</v>
      </c>
      <c r="G458" t="s">
        <v>389</v>
      </c>
      <c r="H458" t="s">
        <v>417</v>
      </c>
      <c r="I458" s="3">
        <f t="shared" si="7"/>
        <v>0</v>
      </c>
      <c r="J458" s="3">
        <f>D458/(VLOOKUP(B458,'2024 Team'!$B$2:$G$33,2,FALSE))</f>
        <v>3.7735849056603774E-3</v>
      </c>
      <c r="K458" t="s">
        <v>1356</v>
      </c>
      <c r="L458" t="s">
        <v>417</v>
      </c>
    </row>
    <row r="459" spans="1:12" x14ac:dyDescent="0.25">
      <c r="A459" t="s">
        <v>2200</v>
      </c>
      <c r="B459" t="s">
        <v>12</v>
      </c>
      <c r="C459" t="s">
        <v>163</v>
      </c>
      <c r="D459" s="4" t="s">
        <v>300</v>
      </c>
      <c r="E459" s="4" t="s">
        <v>300</v>
      </c>
      <c r="F459" s="4" t="s">
        <v>193</v>
      </c>
      <c r="G459" t="s">
        <v>1537</v>
      </c>
      <c r="H459" t="s">
        <v>417</v>
      </c>
      <c r="I459" s="3">
        <f t="shared" si="7"/>
        <v>0</v>
      </c>
      <c r="J459" s="3">
        <f>D459/(VLOOKUP(B459,'2024 Team'!$B$2:$G$33,2,FALSE))</f>
        <v>2.0964360587002098E-3</v>
      </c>
      <c r="K459" t="s">
        <v>1519</v>
      </c>
      <c r="L459" t="s">
        <v>417</v>
      </c>
    </row>
    <row r="460" spans="1:12" x14ac:dyDescent="0.25">
      <c r="A460" t="s">
        <v>397</v>
      </c>
      <c r="B460" t="s">
        <v>12</v>
      </c>
      <c r="C460" t="s">
        <v>159</v>
      </c>
      <c r="D460" s="4" t="s">
        <v>300</v>
      </c>
      <c r="E460" s="4" t="s">
        <v>300</v>
      </c>
      <c r="F460" s="4" t="s">
        <v>496</v>
      </c>
      <c r="G460" t="s">
        <v>2362</v>
      </c>
      <c r="H460" t="s">
        <v>417</v>
      </c>
      <c r="I460" s="3">
        <f t="shared" si="7"/>
        <v>0</v>
      </c>
      <c r="J460" s="3">
        <f>D460/(VLOOKUP(B460,'2024 Team'!$B$2:$G$33,2,FALSE))</f>
        <v>2.0964360587002098E-3</v>
      </c>
      <c r="K460" t="s">
        <v>1519</v>
      </c>
      <c r="L460" t="s">
        <v>417</v>
      </c>
    </row>
    <row r="461" spans="1:12" x14ac:dyDescent="0.25">
      <c r="A461" t="s">
        <v>2201</v>
      </c>
      <c r="B461" t="s">
        <v>38</v>
      </c>
      <c r="C461" t="s">
        <v>2184</v>
      </c>
      <c r="D461" s="4" t="s">
        <v>300</v>
      </c>
      <c r="E461" s="4" t="s">
        <v>300</v>
      </c>
      <c r="F461" s="4" t="s">
        <v>300</v>
      </c>
      <c r="G461" t="s">
        <v>614</v>
      </c>
      <c r="H461" t="s">
        <v>300</v>
      </c>
      <c r="I461" s="3">
        <f t="shared" si="7"/>
        <v>1</v>
      </c>
      <c r="J461" s="3">
        <f>D461/(VLOOKUP(B461,'2024 Team'!$B$2:$G$33,2,FALSE))</f>
        <v>1.6666666666666668E-3</v>
      </c>
      <c r="K461" t="s">
        <v>1519</v>
      </c>
      <c r="L461" t="s">
        <v>417</v>
      </c>
    </row>
    <row r="462" spans="1:12" x14ac:dyDescent="0.25">
      <c r="A462" t="s">
        <v>81</v>
      </c>
      <c r="B462" t="s">
        <v>26</v>
      </c>
      <c r="C462" t="s">
        <v>82</v>
      </c>
      <c r="D462" s="4" t="s">
        <v>300</v>
      </c>
      <c r="E462" s="4" t="s">
        <v>300</v>
      </c>
      <c r="F462" s="4" t="s">
        <v>289</v>
      </c>
      <c r="G462" t="s">
        <v>643</v>
      </c>
      <c r="H462" t="s">
        <v>300</v>
      </c>
      <c r="I462" s="3">
        <f t="shared" si="7"/>
        <v>1</v>
      </c>
      <c r="J462" s="3">
        <f>D462/(VLOOKUP(B462,'2024 Team'!$B$2:$G$33,2,FALSE))</f>
        <v>1.7543859649122807E-3</v>
      </c>
      <c r="K462" t="s">
        <v>1519</v>
      </c>
      <c r="L462" t="s">
        <v>314</v>
      </c>
    </row>
    <row r="463" spans="1:12" x14ac:dyDescent="0.25">
      <c r="A463" t="s">
        <v>2203</v>
      </c>
      <c r="B463" t="s">
        <v>20</v>
      </c>
      <c r="C463" t="s">
        <v>163</v>
      </c>
      <c r="D463" s="4" t="s">
        <v>300</v>
      </c>
      <c r="E463" s="4" t="s">
        <v>300</v>
      </c>
      <c r="F463" s="4" t="s">
        <v>270</v>
      </c>
      <c r="G463" t="s">
        <v>732</v>
      </c>
      <c r="H463" t="s">
        <v>417</v>
      </c>
      <c r="I463" s="3">
        <f t="shared" si="7"/>
        <v>0</v>
      </c>
      <c r="J463" s="3">
        <f>D463/(VLOOKUP(B463,'2024 Team'!$B$2:$G$33,2,FALSE))</f>
        <v>1.5337423312883436E-3</v>
      </c>
      <c r="K463" t="s">
        <v>1519</v>
      </c>
      <c r="L463" t="s">
        <v>417</v>
      </c>
    </row>
    <row r="464" spans="1:12" x14ac:dyDescent="0.25">
      <c r="A464" t="s">
        <v>161</v>
      </c>
      <c r="B464" t="s">
        <v>34</v>
      </c>
      <c r="C464" t="s">
        <v>82</v>
      </c>
      <c r="D464" s="4" t="s">
        <v>300</v>
      </c>
      <c r="E464" s="4" t="s">
        <v>300</v>
      </c>
      <c r="F464" s="4" t="s">
        <v>663</v>
      </c>
      <c r="G464" t="s">
        <v>652</v>
      </c>
      <c r="H464" t="s">
        <v>417</v>
      </c>
      <c r="I464" s="3">
        <f t="shared" si="7"/>
        <v>0</v>
      </c>
      <c r="J464" s="3">
        <f>D464/(VLOOKUP(B464,'2024 Team'!$B$2:$G$33,2,FALSE))</f>
        <v>1.9493177387914229E-3</v>
      </c>
      <c r="K464" t="s">
        <v>1519</v>
      </c>
      <c r="L464" t="s">
        <v>270</v>
      </c>
    </row>
    <row r="465" spans="1:12" x14ac:dyDescent="0.25">
      <c r="A465" t="s">
        <v>336</v>
      </c>
      <c r="B465" t="s">
        <v>70</v>
      </c>
      <c r="C465" t="s">
        <v>159</v>
      </c>
      <c r="D465" s="4" t="s">
        <v>300</v>
      </c>
      <c r="E465" s="4" t="s">
        <v>300</v>
      </c>
      <c r="F465" s="4" t="s">
        <v>198</v>
      </c>
      <c r="G465" t="s">
        <v>752</v>
      </c>
      <c r="H465" t="s">
        <v>417</v>
      </c>
      <c r="I465" s="3">
        <f t="shared" si="7"/>
        <v>0</v>
      </c>
      <c r="J465" s="3">
        <f>D465/(VLOOKUP(B465,'2024 Team'!$B$2:$G$33,2,FALSE))</f>
        <v>1.9047619047619048E-3</v>
      </c>
      <c r="K465" t="s">
        <v>1519</v>
      </c>
      <c r="L465" t="s">
        <v>417</v>
      </c>
    </row>
    <row r="466" spans="1:12" x14ac:dyDescent="0.25">
      <c r="A466" t="s">
        <v>2206</v>
      </c>
      <c r="B466" t="s">
        <v>58</v>
      </c>
      <c r="C466" t="s">
        <v>163</v>
      </c>
      <c r="D466" s="4" t="s">
        <v>289</v>
      </c>
      <c r="E466" s="4" t="s">
        <v>300</v>
      </c>
      <c r="F466" s="4" t="s">
        <v>247</v>
      </c>
      <c r="G466" t="s">
        <v>389</v>
      </c>
      <c r="H466" t="s">
        <v>417</v>
      </c>
      <c r="I466" s="3">
        <f t="shared" si="7"/>
        <v>0</v>
      </c>
      <c r="J466" s="3">
        <f>D466/(VLOOKUP(B466,'2024 Team'!$B$2:$G$33,2,FALSE))</f>
        <v>4.464285714285714E-3</v>
      </c>
      <c r="K466" t="s">
        <v>1356</v>
      </c>
      <c r="L466" t="s">
        <v>417</v>
      </c>
    </row>
    <row r="467" spans="1:12" x14ac:dyDescent="0.25">
      <c r="A467" t="s">
        <v>2168</v>
      </c>
      <c r="B467" t="s">
        <v>44</v>
      </c>
      <c r="C467" t="s">
        <v>159</v>
      </c>
      <c r="D467" s="4" t="s">
        <v>300</v>
      </c>
      <c r="E467" s="4" t="s">
        <v>300</v>
      </c>
      <c r="F467" s="4" t="s">
        <v>247</v>
      </c>
      <c r="G467" t="s">
        <v>389</v>
      </c>
      <c r="H467" t="s">
        <v>417</v>
      </c>
      <c r="I467" s="3">
        <f t="shared" si="7"/>
        <v>0</v>
      </c>
      <c r="J467" s="3">
        <f>D467/(VLOOKUP(B467,'2024 Team'!$B$2:$G$33,2,FALSE))</f>
        <v>1.7889087656529517E-3</v>
      </c>
      <c r="K467" t="s">
        <v>1519</v>
      </c>
      <c r="L467" t="s">
        <v>417</v>
      </c>
    </row>
    <row r="468" spans="1:12" x14ac:dyDescent="0.25">
      <c r="A468" t="s">
        <v>2207</v>
      </c>
      <c r="B468" t="s">
        <v>70</v>
      </c>
      <c r="C468" t="s">
        <v>805</v>
      </c>
      <c r="D468" s="4" t="s">
        <v>300</v>
      </c>
      <c r="E468" s="4" t="s">
        <v>300</v>
      </c>
      <c r="F468" s="4" t="s">
        <v>300</v>
      </c>
      <c r="G468" t="s">
        <v>614</v>
      </c>
      <c r="H468" t="s">
        <v>300</v>
      </c>
      <c r="I468" s="3">
        <f t="shared" si="7"/>
        <v>1</v>
      </c>
      <c r="J468" s="3">
        <f>D468/(VLOOKUP(B468,'2024 Team'!$B$2:$G$33,2,FALSE))</f>
        <v>1.9047619047619048E-3</v>
      </c>
      <c r="K468" t="s">
        <v>1519</v>
      </c>
      <c r="L468" t="s">
        <v>417</v>
      </c>
    </row>
    <row r="469" spans="1:12" x14ac:dyDescent="0.25">
      <c r="A469" t="s">
        <v>1715</v>
      </c>
      <c r="B469" t="s">
        <v>18</v>
      </c>
      <c r="C469" t="s">
        <v>163</v>
      </c>
      <c r="D469" s="4" t="s">
        <v>300</v>
      </c>
      <c r="E469" s="4" t="s">
        <v>300</v>
      </c>
      <c r="F469" s="4" t="s">
        <v>220</v>
      </c>
      <c r="G469" t="s">
        <v>258</v>
      </c>
      <c r="H469" t="s">
        <v>417</v>
      </c>
      <c r="I469" s="3">
        <f t="shared" si="7"/>
        <v>0</v>
      </c>
      <c r="J469" s="3">
        <f>D469/(VLOOKUP(B469,'2024 Team'!$B$2:$G$33,2,FALSE))</f>
        <v>1.7667844522968198E-3</v>
      </c>
      <c r="K469" t="s">
        <v>1519</v>
      </c>
      <c r="L469" t="s">
        <v>417</v>
      </c>
    </row>
    <row r="470" spans="1:12" x14ac:dyDescent="0.25">
      <c r="A470" t="s">
        <v>829</v>
      </c>
      <c r="B470" t="s">
        <v>14</v>
      </c>
      <c r="C470" t="s">
        <v>163</v>
      </c>
      <c r="D470" s="4" t="s">
        <v>300</v>
      </c>
      <c r="E470" s="4" t="s">
        <v>300</v>
      </c>
      <c r="F470" s="4" t="s">
        <v>497</v>
      </c>
      <c r="G470" t="s">
        <v>1179</v>
      </c>
      <c r="H470" t="s">
        <v>300</v>
      </c>
      <c r="I470" s="3">
        <f t="shared" si="7"/>
        <v>1</v>
      </c>
      <c r="J470" s="3">
        <f>D470/(VLOOKUP(B470,'2024 Team'!$B$2:$G$33,2,FALSE))</f>
        <v>1.9230769230769232E-3</v>
      </c>
      <c r="K470" t="s">
        <v>1519</v>
      </c>
      <c r="L470" t="s">
        <v>417</v>
      </c>
    </row>
    <row r="471" spans="1:12" x14ac:dyDescent="0.25">
      <c r="A471" t="s">
        <v>2208</v>
      </c>
      <c r="B471" t="s">
        <v>40</v>
      </c>
      <c r="C471" t="s">
        <v>153</v>
      </c>
      <c r="D471" s="4" t="s">
        <v>300</v>
      </c>
      <c r="E471" s="4" t="s">
        <v>300</v>
      </c>
      <c r="F471" s="4" t="s">
        <v>207</v>
      </c>
      <c r="G471" t="s">
        <v>648</v>
      </c>
      <c r="H471" t="s">
        <v>417</v>
      </c>
      <c r="I471" s="3">
        <f t="shared" si="7"/>
        <v>0</v>
      </c>
      <c r="J471" s="3">
        <f>D471/(VLOOKUP(B471,'2024 Team'!$B$2:$G$33,2,FALSE))</f>
        <v>1.5748031496062992E-3</v>
      </c>
      <c r="K471" t="s">
        <v>1519</v>
      </c>
      <c r="L471" t="s">
        <v>417</v>
      </c>
    </row>
    <row r="472" spans="1:12" x14ac:dyDescent="0.25">
      <c r="A472" t="s">
        <v>1842</v>
      </c>
      <c r="B472" t="s">
        <v>28</v>
      </c>
      <c r="C472" t="s">
        <v>805</v>
      </c>
      <c r="D472" s="4" t="s">
        <v>300</v>
      </c>
      <c r="E472" s="4" t="s">
        <v>300</v>
      </c>
      <c r="F472" s="4" t="s">
        <v>270</v>
      </c>
      <c r="G472" t="s">
        <v>732</v>
      </c>
      <c r="H472" t="s">
        <v>300</v>
      </c>
      <c r="I472" s="3">
        <f t="shared" si="7"/>
        <v>1</v>
      </c>
      <c r="J472" s="3">
        <f>D472/(VLOOKUP(B472,'2024 Team'!$B$2:$G$33,2,FALSE))</f>
        <v>1.8148820326678765E-3</v>
      </c>
      <c r="K472" t="s">
        <v>1519</v>
      </c>
      <c r="L472" t="s">
        <v>417</v>
      </c>
    </row>
    <row r="473" spans="1:12" x14ac:dyDescent="0.25">
      <c r="A473" t="s">
        <v>2209</v>
      </c>
      <c r="B473" t="s">
        <v>24</v>
      </c>
      <c r="C473" t="s">
        <v>2210</v>
      </c>
      <c r="D473" s="4" t="s">
        <v>300</v>
      </c>
      <c r="E473" s="4" t="s">
        <v>300</v>
      </c>
      <c r="F473" s="4" t="s">
        <v>417</v>
      </c>
      <c r="G473" t="s">
        <v>504</v>
      </c>
      <c r="H473" t="s">
        <v>417</v>
      </c>
      <c r="I473" s="3">
        <f t="shared" si="7"/>
        <v>0</v>
      </c>
      <c r="J473" s="3">
        <f>D473/(VLOOKUP(B473,'2024 Team'!$B$2:$G$33,2,FALSE))</f>
        <v>1.5698587127158557E-3</v>
      </c>
      <c r="K473" t="s">
        <v>1519</v>
      </c>
      <c r="L473" t="s">
        <v>417</v>
      </c>
    </row>
    <row r="474" spans="1:12" x14ac:dyDescent="0.25">
      <c r="A474" t="s">
        <v>1851</v>
      </c>
      <c r="B474" t="s">
        <v>22</v>
      </c>
      <c r="C474" t="s">
        <v>153</v>
      </c>
      <c r="D474" s="4" t="s">
        <v>300</v>
      </c>
      <c r="E474" s="4" t="s">
        <v>300</v>
      </c>
      <c r="F474" s="4" t="s">
        <v>207</v>
      </c>
      <c r="G474" t="s">
        <v>648</v>
      </c>
      <c r="H474" t="s">
        <v>417</v>
      </c>
      <c r="I474" s="3">
        <f t="shared" si="7"/>
        <v>0</v>
      </c>
      <c r="J474" s="3">
        <f>D474/(VLOOKUP(B474,'2024 Team'!$B$2:$G$33,2,FALSE))</f>
        <v>1.5128593040847202E-3</v>
      </c>
      <c r="K474" t="s">
        <v>1519</v>
      </c>
      <c r="L474" t="s">
        <v>417</v>
      </c>
    </row>
    <row r="475" spans="1:12" x14ac:dyDescent="0.25">
      <c r="A475" t="s">
        <v>1762</v>
      </c>
      <c r="B475" t="s">
        <v>62</v>
      </c>
      <c r="C475" t="s">
        <v>163</v>
      </c>
      <c r="D475" s="4" t="s">
        <v>300</v>
      </c>
      <c r="E475" s="4" t="s">
        <v>300</v>
      </c>
      <c r="F475" s="4" t="s">
        <v>266</v>
      </c>
      <c r="G475" t="s">
        <v>779</v>
      </c>
      <c r="H475" t="s">
        <v>417</v>
      </c>
      <c r="I475" s="3">
        <f t="shared" si="7"/>
        <v>0</v>
      </c>
      <c r="J475" s="3">
        <f>D475/(VLOOKUP(B475,'2024 Team'!$B$2:$G$33,2,FALSE))</f>
        <v>1.876172607879925E-3</v>
      </c>
      <c r="K475" t="s">
        <v>1519</v>
      </c>
      <c r="L475" t="s">
        <v>417</v>
      </c>
    </row>
    <row r="476" spans="1:12" x14ac:dyDescent="0.25">
      <c r="A476" t="s">
        <v>2211</v>
      </c>
      <c r="B476" t="s">
        <v>24</v>
      </c>
      <c r="C476" t="s">
        <v>755</v>
      </c>
      <c r="D476" s="4" t="s">
        <v>300</v>
      </c>
      <c r="E476" s="4" t="s">
        <v>300</v>
      </c>
      <c r="F476" s="4" t="s">
        <v>229</v>
      </c>
      <c r="G476" t="s">
        <v>235</v>
      </c>
      <c r="H476" t="s">
        <v>417</v>
      </c>
      <c r="I476" s="3">
        <f t="shared" si="7"/>
        <v>0</v>
      </c>
      <c r="J476" s="3">
        <f>D476/(VLOOKUP(B476,'2024 Team'!$B$2:$G$33,2,FALSE))</f>
        <v>1.5698587127158557E-3</v>
      </c>
      <c r="K476" t="s">
        <v>1519</v>
      </c>
      <c r="L476" t="s">
        <v>417</v>
      </c>
    </row>
    <row r="477" spans="1:12" x14ac:dyDescent="0.25">
      <c r="A477" t="s">
        <v>835</v>
      </c>
      <c r="B477" t="s">
        <v>70</v>
      </c>
      <c r="C477" t="s">
        <v>163</v>
      </c>
      <c r="D477" s="4" t="s">
        <v>300</v>
      </c>
      <c r="E477" s="4" t="s">
        <v>300</v>
      </c>
      <c r="F477" s="4" t="s">
        <v>649</v>
      </c>
      <c r="G477" t="s">
        <v>768</v>
      </c>
      <c r="H477" t="s">
        <v>417</v>
      </c>
      <c r="I477" s="3">
        <f t="shared" si="7"/>
        <v>0</v>
      </c>
      <c r="J477" s="3">
        <f>D477/(VLOOKUP(B477,'2024 Team'!$B$2:$G$33,2,FALSE))</f>
        <v>1.9047619047619048E-3</v>
      </c>
      <c r="K477" t="s">
        <v>1519</v>
      </c>
      <c r="L477" t="s">
        <v>417</v>
      </c>
    </row>
    <row r="478" spans="1:12" x14ac:dyDescent="0.25">
      <c r="A478" t="s">
        <v>2213</v>
      </c>
      <c r="B478" t="s">
        <v>58</v>
      </c>
      <c r="C478" t="s">
        <v>186</v>
      </c>
      <c r="D478" s="4" t="s">
        <v>300</v>
      </c>
      <c r="E478" s="4" t="s">
        <v>300</v>
      </c>
      <c r="F478" s="4" t="s">
        <v>417</v>
      </c>
      <c r="G478" t="s">
        <v>504</v>
      </c>
      <c r="H478" t="s">
        <v>417</v>
      </c>
      <c r="I478" s="3">
        <f t="shared" si="7"/>
        <v>0</v>
      </c>
      <c r="J478" s="3">
        <f>D478/(VLOOKUP(B478,'2024 Team'!$B$2:$G$33,2,FALSE))</f>
        <v>2.232142857142857E-3</v>
      </c>
      <c r="K478" t="s">
        <v>1519</v>
      </c>
      <c r="L478" t="s">
        <v>417</v>
      </c>
    </row>
    <row r="479" spans="1:12" x14ac:dyDescent="0.25">
      <c r="A479" t="s">
        <v>817</v>
      </c>
      <c r="B479" t="s">
        <v>12</v>
      </c>
      <c r="C479" t="s">
        <v>163</v>
      </c>
      <c r="D479" s="4" t="s">
        <v>314</v>
      </c>
      <c r="E479" s="4" t="s">
        <v>300</v>
      </c>
      <c r="F479" s="4" t="s">
        <v>528</v>
      </c>
      <c r="G479" t="s">
        <v>1479</v>
      </c>
      <c r="H479" t="s">
        <v>300</v>
      </c>
      <c r="I479" s="3">
        <f t="shared" si="7"/>
        <v>1</v>
      </c>
      <c r="J479" s="3">
        <f>D479/(VLOOKUP(B479,'2024 Team'!$B$2:$G$33,2,FALSE))</f>
        <v>6.2893081761006293E-3</v>
      </c>
      <c r="K479" t="s">
        <v>1446</v>
      </c>
      <c r="L479" t="s">
        <v>417</v>
      </c>
    </row>
    <row r="480" spans="1:12" x14ac:dyDescent="0.25">
      <c r="A480" t="s">
        <v>810</v>
      </c>
      <c r="B480" t="s">
        <v>10</v>
      </c>
      <c r="C480" t="s">
        <v>163</v>
      </c>
      <c r="D480" s="4" t="s">
        <v>289</v>
      </c>
      <c r="E480" s="4" t="s">
        <v>300</v>
      </c>
      <c r="F480" s="4" t="s">
        <v>344</v>
      </c>
      <c r="G480" t="s">
        <v>696</v>
      </c>
      <c r="H480" t="s">
        <v>417</v>
      </c>
      <c r="I480" s="3">
        <f t="shared" si="7"/>
        <v>0</v>
      </c>
      <c r="J480" s="3">
        <f>D480/(VLOOKUP(B480,'2024 Team'!$B$2:$G$33,2,FALSE))</f>
        <v>3.5778175313059034E-3</v>
      </c>
      <c r="K480" t="s">
        <v>1356</v>
      </c>
      <c r="L480" t="s">
        <v>417</v>
      </c>
    </row>
    <row r="481" spans="1:12" x14ac:dyDescent="0.25">
      <c r="A481" t="s">
        <v>2152</v>
      </c>
      <c r="B481" t="s">
        <v>26</v>
      </c>
      <c r="C481" t="s">
        <v>159</v>
      </c>
      <c r="D481" s="4" t="s">
        <v>289</v>
      </c>
      <c r="E481" s="4" t="s">
        <v>300</v>
      </c>
      <c r="F481" s="4" t="s">
        <v>234</v>
      </c>
      <c r="G481" t="s">
        <v>1466</v>
      </c>
      <c r="H481" t="s">
        <v>417</v>
      </c>
      <c r="I481" s="3">
        <f t="shared" si="7"/>
        <v>0</v>
      </c>
      <c r="J481" s="3">
        <f>D481/(VLOOKUP(B481,'2024 Team'!$B$2:$G$33,2,FALSE))</f>
        <v>3.5087719298245615E-3</v>
      </c>
      <c r="K481" t="s">
        <v>1356</v>
      </c>
      <c r="L481" t="s">
        <v>417</v>
      </c>
    </row>
    <row r="482" spans="1:12" x14ac:dyDescent="0.25">
      <c r="A482" t="s">
        <v>915</v>
      </c>
      <c r="B482" t="s">
        <v>38</v>
      </c>
      <c r="C482" t="s">
        <v>153</v>
      </c>
      <c r="D482" s="4" t="s">
        <v>300</v>
      </c>
      <c r="E482" s="4" t="s">
        <v>300</v>
      </c>
      <c r="F482" s="4" t="s">
        <v>207</v>
      </c>
      <c r="G482" t="s">
        <v>648</v>
      </c>
      <c r="H482" t="s">
        <v>417</v>
      </c>
      <c r="I482" s="3">
        <f t="shared" si="7"/>
        <v>0</v>
      </c>
      <c r="J482" s="3">
        <f>D482/(VLOOKUP(B482,'2024 Team'!$B$2:$G$33,2,FALSE))</f>
        <v>1.6666666666666668E-3</v>
      </c>
      <c r="K482" t="s">
        <v>1519</v>
      </c>
      <c r="L482" t="s">
        <v>417</v>
      </c>
    </row>
    <row r="483" spans="1:12" x14ac:dyDescent="0.25">
      <c r="A483" t="s">
        <v>877</v>
      </c>
      <c r="B483" t="s">
        <v>28</v>
      </c>
      <c r="C483" t="s">
        <v>153</v>
      </c>
      <c r="D483" s="4" t="s">
        <v>300</v>
      </c>
      <c r="E483" s="4" t="s">
        <v>300</v>
      </c>
      <c r="F483" s="4" t="s">
        <v>514</v>
      </c>
      <c r="G483" t="s">
        <v>2075</v>
      </c>
      <c r="H483" t="s">
        <v>417</v>
      </c>
      <c r="I483" s="3">
        <f t="shared" si="7"/>
        <v>0</v>
      </c>
      <c r="J483" s="3">
        <f>D483/(VLOOKUP(B483,'2024 Team'!$B$2:$G$33,2,FALSE))</f>
        <v>1.8148820326678765E-3</v>
      </c>
      <c r="K483" t="s">
        <v>1519</v>
      </c>
      <c r="L483" t="s">
        <v>417</v>
      </c>
    </row>
    <row r="484" spans="1:12" x14ac:dyDescent="0.25">
      <c r="A484" t="s">
        <v>606</v>
      </c>
      <c r="B484" t="s">
        <v>12</v>
      </c>
      <c r="C484" t="s">
        <v>159</v>
      </c>
      <c r="D484" s="4" t="s">
        <v>289</v>
      </c>
      <c r="E484" s="4" t="s">
        <v>417</v>
      </c>
      <c r="F484" s="4" t="s">
        <v>417</v>
      </c>
      <c r="H484" t="s">
        <v>417</v>
      </c>
      <c r="I484" s="3" t="e">
        <f t="shared" si="7"/>
        <v>#DIV/0!</v>
      </c>
      <c r="J484" s="3">
        <f>D484/(VLOOKUP(B484,'2024 Team'!$B$2:$G$33,2,FALSE))</f>
        <v>4.1928721174004195E-3</v>
      </c>
      <c r="K484" t="s">
        <v>504</v>
      </c>
      <c r="L484" t="s">
        <v>417</v>
      </c>
    </row>
    <row r="485" spans="1:12" x14ac:dyDescent="0.25">
      <c r="A485" t="s">
        <v>143</v>
      </c>
      <c r="B485" t="s">
        <v>62</v>
      </c>
      <c r="C485" t="s">
        <v>82</v>
      </c>
      <c r="D485" s="4" t="s">
        <v>417</v>
      </c>
      <c r="E485" s="4" t="s">
        <v>417</v>
      </c>
      <c r="F485" s="4" t="s">
        <v>417</v>
      </c>
      <c r="H485" t="s">
        <v>417</v>
      </c>
      <c r="I485" s="3" t="e">
        <f t="shared" si="7"/>
        <v>#DIV/0!</v>
      </c>
      <c r="J485" s="3">
        <f>D485/(VLOOKUP(B485,'2024 Team'!$B$2:$G$33,2,FALSE))</f>
        <v>0</v>
      </c>
      <c r="L485" t="s">
        <v>289</v>
      </c>
    </row>
    <row r="486" spans="1:12" x14ac:dyDescent="0.25">
      <c r="A486" t="s">
        <v>97</v>
      </c>
      <c r="B486" t="s">
        <v>14</v>
      </c>
      <c r="C486" t="s">
        <v>82</v>
      </c>
      <c r="D486" s="4" t="s">
        <v>417</v>
      </c>
      <c r="E486" s="4" t="s">
        <v>417</v>
      </c>
      <c r="F486" s="4" t="s">
        <v>207</v>
      </c>
      <c r="H486" t="s">
        <v>300</v>
      </c>
      <c r="I486" s="3" t="e">
        <f t="shared" si="7"/>
        <v>#DIV/0!</v>
      </c>
      <c r="J486" s="3">
        <f>D486/(VLOOKUP(B486,'2024 Team'!$B$2:$G$33,2,FALSE))</f>
        <v>0</v>
      </c>
      <c r="L486" t="s">
        <v>220</v>
      </c>
    </row>
    <row r="487" spans="1:12" x14ac:dyDescent="0.25">
      <c r="A487" t="s">
        <v>154</v>
      </c>
      <c r="B487" t="s">
        <v>18</v>
      </c>
      <c r="C487" t="s">
        <v>82</v>
      </c>
      <c r="D487" s="4" t="s">
        <v>417</v>
      </c>
      <c r="E487" s="4" t="s">
        <v>417</v>
      </c>
      <c r="F487" s="4" t="s">
        <v>417</v>
      </c>
      <c r="H487" t="s">
        <v>417</v>
      </c>
      <c r="I487" s="3" t="e">
        <f t="shared" si="7"/>
        <v>#DIV/0!</v>
      </c>
      <c r="J487" s="3">
        <f>D487/(VLOOKUP(B487,'2024 Team'!$B$2:$G$33,2,FALSE))</f>
        <v>0</v>
      </c>
      <c r="L487" t="s">
        <v>417</v>
      </c>
    </row>
    <row r="488" spans="1:12" x14ac:dyDescent="0.25">
      <c r="A488" t="s">
        <v>2156</v>
      </c>
      <c r="B488" t="s">
        <v>46</v>
      </c>
      <c r="C488" t="s">
        <v>165</v>
      </c>
      <c r="D488" s="4" t="s">
        <v>417</v>
      </c>
      <c r="E488" s="4" t="s">
        <v>417</v>
      </c>
      <c r="F488" s="4" t="s">
        <v>417</v>
      </c>
      <c r="H488" t="s">
        <v>417</v>
      </c>
      <c r="I488" s="3" t="e">
        <f t="shared" si="7"/>
        <v>#DIV/0!</v>
      </c>
      <c r="J488" s="3">
        <f>D488/(VLOOKUP(B488,'2024 Team'!$B$2:$G$33,2,FALSE))</f>
        <v>0</v>
      </c>
      <c r="L488" t="s">
        <v>300</v>
      </c>
    </row>
    <row r="489" spans="1:12" x14ac:dyDescent="0.25">
      <c r="A489" t="s">
        <v>850</v>
      </c>
      <c r="B489" t="s">
        <v>22</v>
      </c>
      <c r="C489" t="s">
        <v>153</v>
      </c>
      <c r="D489" s="4" t="s">
        <v>300</v>
      </c>
      <c r="E489" s="4" t="s">
        <v>417</v>
      </c>
      <c r="F489" s="4" t="s">
        <v>417</v>
      </c>
      <c r="H489" t="s">
        <v>417</v>
      </c>
      <c r="I489" s="3" t="e">
        <f t="shared" si="7"/>
        <v>#DIV/0!</v>
      </c>
      <c r="J489" s="3">
        <f>D489/(VLOOKUP(B489,'2024 Team'!$B$2:$G$33,2,FALSE))</f>
        <v>1.5128593040847202E-3</v>
      </c>
      <c r="K489" t="s">
        <v>504</v>
      </c>
      <c r="L489" t="s">
        <v>417</v>
      </c>
    </row>
    <row r="490" spans="1:12" x14ac:dyDescent="0.25">
      <c r="A490" t="s">
        <v>741</v>
      </c>
      <c r="B490" t="s">
        <v>30</v>
      </c>
      <c r="C490" t="s">
        <v>613</v>
      </c>
      <c r="D490" s="4" t="s">
        <v>300</v>
      </c>
      <c r="E490" s="4" t="s">
        <v>417</v>
      </c>
      <c r="F490" s="4" t="s">
        <v>417</v>
      </c>
      <c r="H490" t="s">
        <v>417</v>
      </c>
      <c r="I490" s="3" t="e">
        <f t="shared" si="7"/>
        <v>#DIV/0!</v>
      </c>
      <c r="J490" s="3">
        <f>D490/(VLOOKUP(B490,'2024 Team'!$B$2:$G$33,2,FALSE))</f>
        <v>2.0876826722338203E-3</v>
      </c>
      <c r="K490" t="s">
        <v>504</v>
      </c>
      <c r="L490" t="s">
        <v>417</v>
      </c>
    </row>
    <row r="491" spans="1:12" x14ac:dyDescent="0.25">
      <c r="A491" t="s">
        <v>741</v>
      </c>
      <c r="B491" t="s">
        <v>32</v>
      </c>
      <c r="C491" t="s">
        <v>613</v>
      </c>
      <c r="D491" s="4" t="s">
        <v>300</v>
      </c>
      <c r="E491" s="4" t="s">
        <v>417</v>
      </c>
      <c r="F491" s="4" t="s">
        <v>417</v>
      </c>
      <c r="H491" t="s">
        <v>417</v>
      </c>
      <c r="I491" s="3" t="e">
        <f t="shared" si="7"/>
        <v>#DIV/0!</v>
      </c>
      <c r="J491" s="3">
        <f>D491/(VLOOKUP(B491,'2024 Team'!$B$2:$G$33,2,FALSE))</f>
        <v>1.7543859649122807E-3</v>
      </c>
      <c r="K491" t="s">
        <v>504</v>
      </c>
      <c r="L491" t="s">
        <v>417</v>
      </c>
    </row>
    <row r="492" spans="1:12" x14ac:dyDescent="0.25">
      <c r="A492" t="s">
        <v>2157</v>
      </c>
      <c r="B492" t="s">
        <v>54</v>
      </c>
      <c r="C492" t="s">
        <v>755</v>
      </c>
      <c r="D492" s="4" t="s">
        <v>417</v>
      </c>
      <c r="E492" s="4" t="s">
        <v>417</v>
      </c>
      <c r="F492" s="4" t="s">
        <v>417</v>
      </c>
      <c r="H492" t="s">
        <v>417</v>
      </c>
      <c r="I492" s="3" t="e">
        <f t="shared" si="7"/>
        <v>#DIV/0!</v>
      </c>
      <c r="J492" s="3">
        <f>D492/(VLOOKUP(B492,'2024 Team'!$B$2:$G$33,2,FALSE))</f>
        <v>0</v>
      </c>
      <c r="L492" t="s">
        <v>417</v>
      </c>
    </row>
    <row r="493" spans="1:12" x14ac:dyDescent="0.25">
      <c r="A493" t="s">
        <v>885</v>
      </c>
      <c r="B493" t="s">
        <v>46</v>
      </c>
      <c r="C493" t="s">
        <v>163</v>
      </c>
      <c r="D493" s="4" t="s">
        <v>229</v>
      </c>
      <c r="E493" s="4" t="s">
        <v>417</v>
      </c>
      <c r="F493" s="4" t="s">
        <v>417</v>
      </c>
      <c r="H493" t="s">
        <v>417</v>
      </c>
      <c r="I493" s="3" t="e">
        <f t="shared" si="7"/>
        <v>#DIV/0!</v>
      </c>
      <c r="J493" s="3">
        <f>D493/(VLOOKUP(B493,'2024 Team'!$B$2:$G$33,2,FALSE))</f>
        <v>6.7681895093062603E-3</v>
      </c>
      <c r="K493" t="s">
        <v>504</v>
      </c>
      <c r="L493" t="s">
        <v>417</v>
      </c>
    </row>
    <row r="494" spans="1:12" x14ac:dyDescent="0.25">
      <c r="A494" t="s">
        <v>1701</v>
      </c>
      <c r="B494" t="s">
        <v>16</v>
      </c>
      <c r="C494" t="s">
        <v>159</v>
      </c>
      <c r="D494" s="4" t="s">
        <v>417</v>
      </c>
      <c r="E494" s="4" t="s">
        <v>417</v>
      </c>
      <c r="F494" s="4" t="s">
        <v>417</v>
      </c>
      <c r="H494" t="s">
        <v>417</v>
      </c>
      <c r="I494" s="3" t="e">
        <f t="shared" si="7"/>
        <v>#DIV/0!</v>
      </c>
      <c r="J494" s="3">
        <f>D494/(VLOOKUP(B494,'2024 Team'!$B$2:$G$33,2,FALSE))</f>
        <v>0</v>
      </c>
      <c r="L494" t="s">
        <v>289</v>
      </c>
    </row>
    <row r="495" spans="1:12" x14ac:dyDescent="0.25">
      <c r="A495" t="s">
        <v>1564</v>
      </c>
      <c r="B495" t="s">
        <v>46</v>
      </c>
      <c r="C495" t="s">
        <v>82</v>
      </c>
      <c r="D495" s="4" t="s">
        <v>417</v>
      </c>
      <c r="E495" s="4" t="s">
        <v>417</v>
      </c>
      <c r="F495" s="4" t="s">
        <v>417</v>
      </c>
      <c r="H495" t="s">
        <v>417</v>
      </c>
      <c r="I495" s="3" t="e">
        <f t="shared" si="7"/>
        <v>#DIV/0!</v>
      </c>
      <c r="J495" s="3">
        <f>D495/(VLOOKUP(B495,'2024 Team'!$B$2:$G$33,2,FALSE))</f>
        <v>0</v>
      </c>
      <c r="L495" t="s">
        <v>417</v>
      </c>
    </row>
    <row r="496" spans="1:12" x14ac:dyDescent="0.25">
      <c r="A496" t="s">
        <v>1564</v>
      </c>
      <c r="B496" t="s">
        <v>54</v>
      </c>
      <c r="C496" t="s">
        <v>82</v>
      </c>
      <c r="D496" s="4" t="s">
        <v>417</v>
      </c>
      <c r="E496" s="4" t="s">
        <v>417</v>
      </c>
      <c r="F496" s="4" t="s">
        <v>417</v>
      </c>
      <c r="H496" t="s">
        <v>417</v>
      </c>
      <c r="I496" s="3" t="e">
        <f t="shared" si="7"/>
        <v>#DIV/0!</v>
      </c>
      <c r="J496" s="3">
        <f>D496/(VLOOKUP(B496,'2024 Team'!$B$2:$G$33,2,FALSE))</f>
        <v>0</v>
      </c>
      <c r="L496" t="s">
        <v>417</v>
      </c>
    </row>
    <row r="497" spans="1:12" x14ac:dyDescent="0.25">
      <c r="A497" t="s">
        <v>2174</v>
      </c>
      <c r="B497" t="s">
        <v>62</v>
      </c>
      <c r="C497" t="s">
        <v>857</v>
      </c>
      <c r="D497" s="4" t="s">
        <v>417</v>
      </c>
      <c r="E497" s="4" t="s">
        <v>417</v>
      </c>
      <c r="F497" s="4" t="s">
        <v>289</v>
      </c>
      <c r="H497" t="s">
        <v>417</v>
      </c>
      <c r="I497" s="3" t="e">
        <f t="shared" si="7"/>
        <v>#DIV/0!</v>
      </c>
      <c r="J497" s="3">
        <f>D497/(VLOOKUP(B497,'2024 Team'!$B$2:$G$33,2,FALSE))</f>
        <v>0</v>
      </c>
      <c r="L497" t="s">
        <v>300</v>
      </c>
    </row>
    <row r="498" spans="1:12" x14ac:dyDescent="0.25">
      <c r="A498" t="s">
        <v>94</v>
      </c>
      <c r="B498" t="s">
        <v>50</v>
      </c>
      <c r="C498" t="s">
        <v>82</v>
      </c>
      <c r="D498" s="4" t="s">
        <v>417</v>
      </c>
      <c r="E498" s="4" t="s">
        <v>417</v>
      </c>
      <c r="F498" s="4" t="s">
        <v>417</v>
      </c>
      <c r="H498" t="s">
        <v>417</v>
      </c>
      <c r="I498" s="3" t="e">
        <f t="shared" si="7"/>
        <v>#DIV/0!</v>
      </c>
      <c r="J498" s="3">
        <f>D498/(VLOOKUP(B498,'2024 Team'!$B$2:$G$33,2,FALSE))</f>
        <v>0</v>
      </c>
      <c r="L498" t="s">
        <v>229</v>
      </c>
    </row>
    <row r="499" spans="1:12" x14ac:dyDescent="0.25">
      <c r="A499" t="s">
        <v>551</v>
      </c>
      <c r="B499" t="s">
        <v>32</v>
      </c>
      <c r="C499" t="s">
        <v>159</v>
      </c>
      <c r="D499" s="4" t="s">
        <v>417</v>
      </c>
      <c r="E499" s="4" t="s">
        <v>417</v>
      </c>
      <c r="F499" s="4" t="s">
        <v>417</v>
      </c>
      <c r="H499" t="s">
        <v>417</v>
      </c>
      <c r="I499" s="3" t="e">
        <f t="shared" si="7"/>
        <v>#DIV/0!</v>
      </c>
      <c r="J499" s="3">
        <f>D499/(VLOOKUP(B499,'2024 Team'!$B$2:$G$33,2,FALSE))</f>
        <v>0</v>
      </c>
      <c r="L499" t="s">
        <v>417</v>
      </c>
    </row>
    <row r="500" spans="1:12" x14ac:dyDescent="0.25">
      <c r="A500" t="s">
        <v>125</v>
      </c>
      <c r="B500" t="s">
        <v>20</v>
      </c>
      <c r="C500" t="s">
        <v>82</v>
      </c>
      <c r="D500" s="4" t="s">
        <v>417</v>
      </c>
      <c r="E500" s="4" t="s">
        <v>417</v>
      </c>
      <c r="F500" s="4" t="s">
        <v>417</v>
      </c>
      <c r="H500" t="s">
        <v>417</v>
      </c>
      <c r="I500" s="3" t="e">
        <f t="shared" si="7"/>
        <v>#DIV/0!</v>
      </c>
      <c r="J500" s="3">
        <f>D500/(VLOOKUP(B500,'2024 Team'!$B$2:$G$33,2,FALSE))</f>
        <v>0</v>
      </c>
      <c r="L500" t="s">
        <v>417</v>
      </c>
    </row>
    <row r="501" spans="1:12" x14ac:dyDescent="0.25">
      <c r="A501" t="s">
        <v>111</v>
      </c>
      <c r="B501" t="s">
        <v>20</v>
      </c>
      <c r="C501" t="s">
        <v>82</v>
      </c>
      <c r="D501" s="4" t="s">
        <v>417</v>
      </c>
      <c r="E501" s="4" t="s">
        <v>417</v>
      </c>
      <c r="F501" s="4" t="s">
        <v>417</v>
      </c>
      <c r="H501" t="s">
        <v>417</v>
      </c>
      <c r="I501" s="3" t="e">
        <f t="shared" ref="I501:I564" si="8">H501/E501</f>
        <v>#DIV/0!</v>
      </c>
      <c r="J501" s="3">
        <f>D501/(VLOOKUP(B501,'2024 Team'!$B$2:$G$33,2,FALSE))</f>
        <v>0</v>
      </c>
      <c r="L501" t="s">
        <v>266</v>
      </c>
    </row>
    <row r="502" spans="1:12" x14ac:dyDescent="0.25">
      <c r="A502" t="s">
        <v>1552</v>
      </c>
      <c r="B502" t="s">
        <v>52</v>
      </c>
      <c r="C502" t="s">
        <v>82</v>
      </c>
      <c r="D502" s="4" t="s">
        <v>417</v>
      </c>
      <c r="E502" s="4" t="s">
        <v>417</v>
      </c>
      <c r="F502" s="4" t="s">
        <v>417</v>
      </c>
      <c r="H502" t="s">
        <v>417</v>
      </c>
      <c r="I502" s="3" t="e">
        <f t="shared" si="8"/>
        <v>#DIV/0!</v>
      </c>
      <c r="J502" s="3">
        <f>D502/(VLOOKUP(B502,'2024 Team'!$B$2:$G$33,2,FALSE))</f>
        <v>0</v>
      </c>
      <c r="L502" t="s">
        <v>314</v>
      </c>
    </row>
    <row r="503" spans="1:12" x14ac:dyDescent="0.25">
      <c r="A503" t="s">
        <v>1782</v>
      </c>
      <c r="B503" t="s">
        <v>56</v>
      </c>
      <c r="C503" t="s">
        <v>163</v>
      </c>
      <c r="D503" s="4" t="s">
        <v>300</v>
      </c>
      <c r="E503" s="4" t="s">
        <v>417</v>
      </c>
      <c r="F503" s="4" t="s">
        <v>417</v>
      </c>
      <c r="H503" t="s">
        <v>417</v>
      </c>
      <c r="I503" s="3" t="e">
        <f t="shared" si="8"/>
        <v>#DIV/0!</v>
      </c>
      <c r="J503" s="3">
        <f>D503/(VLOOKUP(B503,'2024 Team'!$B$2:$G$33,2,FALSE))</f>
        <v>1.6474464579901153E-3</v>
      </c>
      <c r="K503" t="s">
        <v>504</v>
      </c>
      <c r="L503" t="s">
        <v>417</v>
      </c>
    </row>
    <row r="504" spans="1:12" x14ac:dyDescent="0.25">
      <c r="A504" t="s">
        <v>110</v>
      </c>
      <c r="B504" t="s">
        <v>10</v>
      </c>
      <c r="C504" t="s">
        <v>82</v>
      </c>
      <c r="D504" s="4" t="s">
        <v>417</v>
      </c>
      <c r="E504" s="4" t="s">
        <v>417</v>
      </c>
      <c r="F504" s="4" t="s">
        <v>417</v>
      </c>
      <c r="H504" t="s">
        <v>417</v>
      </c>
      <c r="I504" s="3" t="e">
        <f t="shared" si="8"/>
        <v>#DIV/0!</v>
      </c>
      <c r="J504" s="3">
        <f>D504/(VLOOKUP(B504,'2024 Team'!$B$2:$G$33,2,FALSE))</f>
        <v>0</v>
      </c>
      <c r="L504" t="s">
        <v>234</v>
      </c>
    </row>
    <row r="505" spans="1:12" x14ac:dyDescent="0.25">
      <c r="A505" t="s">
        <v>2178</v>
      </c>
      <c r="B505" t="s">
        <v>38</v>
      </c>
      <c r="C505" t="s">
        <v>153</v>
      </c>
      <c r="D505" s="4" t="s">
        <v>300</v>
      </c>
      <c r="E505" s="4" t="s">
        <v>417</v>
      </c>
      <c r="F505" s="4" t="s">
        <v>417</v>
      </c>
      <c r="H505" t="s">
        <v>417</v>
      </c>
      <c r="I505" s="3" t="e">
        <f t="shared" si="8"/>
        <v>#DIV/0!</v>
      </c>
      <c r="J505" s="3">
        <f>D505/(VLOOKUP(B505,'2024 Team'!$B$2:$G$33,2,FALSE))</f>
        <v>1.6666666666666668E-3</v>
      </c>
      <c r="K505" t="s">
        <v>504</v>
      </c>
      <c r="L505" t="s">
        <v>417</v>
      </c>
    </row>
    <row r="506" spans="1:12" x14ac:dyDescent="0.25">
      <c r="A506" t="s">
        <v>140</v>
      </c>
      <c r="B506" t="s">
        <v>16</v>
      </c>
      <c r="C506" t="s">
        <v>82</v>
      </c>
      <c r="D506" s="4" t="s">
        <v>417</v>
      </c>
      <c r="E506" s="4" t="s">
        <v>417</v>
      </c>
      <c r="F506" s="4" t="s">
        <v>417</v>
      </c>
      <c r="H506" t="s">
        <v>417</v>
      </c>
      <c r="I506" s="3" t="e">
        <f t="shared" si="8"/>
        <v>#DIV/0!</v>
      </c>
      <c r="J506" s="3">
        <f>D506/(VLOOKUP(B506,'2024 Team'!$B$2:$G$33,2,FALSE))</f>
        <v>0</v>
      </c>
      <c r="L506" t="s">
        <v>289</v>
      </c>
    </row>
    <row r="507" spans="1:12" x14ac:dyDescent="0.25">
      <c r="A507" t="s">
        <v>118</v>
      </c>
      <c r="B507" t="s">
        <v>70</v>
      </c>
      <c r="C507" t="s">
        <v>82</v>
      </c>
      <c r="D507" s="4" t="s">
        <v>417</v>
      </c>
      <c r="E507" s="4" t="s">
        <v>417</v>
      </c>
      <c r="F507" s="4" t="s">
        <v>417</v>
      </c>
      <c r="H507" t="s">
        <v>417</v>
      </c>
      <c r="I507" s="3" t="e">
        <f t="shared" si="8"/>
        <v>#DIV/0!</v>
      </c>
      <c r="J507" s="3">
        <f>D507/(VLOOKUP(B507,'2024 Team'!$B$2:$G$33,2,FALSE))</f>
        <v>0</v>
      </c>
      <c r="L507" t="s">
        <v>220</v>
      </c>
    </row>
    <row r="508" spans="1:12" x14ac:dyDescent="0.25">
      <c r="A508" t="s">
        <v>96</v>
      </c>
      <c r="B508" t="s">
        <v>48</v>
      </c>
      <c r="C508" t="s">
        <v>82</v>
      </c>
      <c r="D508" s="4" t="s">
        <v>417</v>
      </c>
      <c r="E508" s="4" t="s">
        <v>417</v>
      </c>
      <c r="F508" s="4" t="s">
        <v>417</v>
      </c>
      <c r="H508" t="s">
        <v>417</v>
      </c>
      <c r="I508" s="3" t="e">
        <f t="shared" si="8"/>
        <v>#DIV/0!</v>
      </c>
      <c r="J508" s="3">
        <f>D508/(VLOOKUP(B508,'2024 Team'!$B$2:$G$33,2,FALSE))</f>
        <v>0</v>
      </c>
      <c r="L508" t="s">
        <v>225</v>
      </c>
    </row>
    <row r="509" spans="1:12" x14ac:dyDescent="0.25">
      <c r="A509" t="s">
        <v>1737</v>
      </c>
      <c r="B509" t="s">
        <v>56</v>
      </c>
      <c r="C509" t="s">
        <v>755</v>
      </c>
      <c r="D509" s="4" t="s">
        <v>417</v>
      </c>
      <c r="E509" s="4" t="s">
        <v>417</v>
      </c>
      <c r="F509" s="4" t="s">
        <v>417</v>
      </c>
      <c r="H509" t="s">
        <v>417</v>
      </c>
      <c r="I509" s="3" t="e">
        <f t="shared" si="8"/>
        <v>#DIV/0!</v>
      </c>
      <c r="J509" s="3">
        <f>D509/(VLOOKUP(B509,'2024 Team'!$B$2:$G$33,2,FALSE))</f>
        <v>0</v>
      </c>
      <c r="L509" t="s">
        <v>417</v>
      </c>
    </row>
    <row r="510" spans="1:12" x14ac:dyDescent="0.25">
      <c r="A510" t="s">
        <v>1716</v>
      </c>
      <c r="B510" t="s">
        <v>58</v>
      </c>
      <c r="C510" t="s">
        <v>159</v>
      </c>
      <c r="D510" s="4" t="s">
        <v>417</v>
      </c>
      <c r="E510" s="4" t="s">
        <v>417</v>
      </c>
      <c r="F510" s="4" t="s">
        <v>417</v>
      </c>
      <c r="H510" t="s">
        <v>417</v>
      </c>
      <c r="I510" s="3" t="e">
        <f t="shared" si="8"/>
        <v>#DIV/0!</v>
      </c>
      <c r="J510" s="3">
        <f>D510/(VLOOKUP(B510,'2024 Team'!$B$2:$G$33,2,FALSE))</f>
        <v>0</v>
      </c>
      <c r="L510" t="s">
        <v>417</v>
      </c>
    </row>
    <row r="511" spans="1:12" x14ac:dyDescent="0.25">
      <c r="A511" t="s">
        <v>2183</v>
      </c>
      <c r="B511" t="s">
        <v>28</v>
      </c>
      <c r="C511" t="s">
        <v>2184</v>
      </c>
      <c r="D511" s="4" t="s">
        <v>300</v>
      </c>
      <c r="E511" s="4" t="s">
        <v>417</v>
      </c>
      <c r="F511" s="4" t="s">
        <v>417</v>
      </c>
      <c r="H511" t="s">
        <v>417</v>
      </c>
      <c r="I511" s="3" t="e">
        <f t="shared" si="8"/>
        <v>#DIV/0!</v>
      </c>
      <c r="J511" s="3">
        <f>D511/(VLOOKUP(B511,'2024 Team'!$B$2:$G$33,2,FALSE))</f>
        <v>1.8148820326678765E-3</v>
      </c>
      <c r="K511" t="s">
        <v>504</v>
      </c>
      <c r="L511" t="s">
        <v>417</v>
      </c>
    </row>
    <row r="512" spans="1:12" x14ac:dyDescent="0.25">
      <c r="A512" t="s">
        <v>1559</v>
      </c>
      <c r="B512" t="s">
        <v>54</v>
      </c>
      <c r="C512" t="s">
        <v>82</v>
      </c>
      <c r="D512" s="4" t="s">
        <v>417</v>
      </c>
      <c r="E512" s="4" t="s">
        <v>417</v>
      </c>
      <c r="F512" s="4" t="s">
        <v>417</v>
      </c>
      <c r="H512" t="s">
        <v>417</v>
      </c>
      <c r="I512" s="3" t="e">
        <f t="shared" si="8"/>
        <v>#DIV/0!</v>
      </c>
      <c r="J512" s="3">
        <f>D512/(VLOOKUP(B512,'2024 Team'!$B$2:$G$33,2,FALSE))</f>
        <v>0</v>
      </c>
      <c r="L512" t="s">
        <v>417</v>
      </c>
    </row>
    <row r="513" spans="1:12" x14ac:dyDescent="0.25">
      <c r="A513" t="s">
        <v>151</v>
      </c>
      <c r="B513" t="s">
        <v>62</v>
      </c>
      <c r="C513" t="s">
        <v>82</v>
      </c>
      <c r="D513" s="4" t="s">
        <v>417</v>
      </c>
      <c r="E513" s="4" t="s">
        <v>417</v>
      </c>
      <c r="F513" s="4" t="s">
        <v>417</v>
      </c>
      <c r="H513" t="s">
        <v>417</v>
      </c>
      <c r="I513" s="3" t="e">
        <f t="shared" si="8"/>
        <v>#DIV/0!</v>
      </c>
      <c r="J513" s="3">
        <f>D513/(VLOOKUP(B513,'2024 Team'!$B$2:$G$33,2,FALSE))</f>
        <v>0</v>
      </c>
      <c r="L513" t="s">
        <v>289</v>
      </c>
    </row>
    <row r="514" spans="1:12" x14ac:dyDescent="0.25">
      <c r="A514" t="s">
        <v>1684</v>
      </c>
      <c r="B514" t="s">
        <v>18</v>
      </c>
      <c r="C514" t="s">
        <v>159</v>
      </c>
      <c r="D514" s="4" t="s">
        <v>417</v>
      </c>
      <c r="E514" s="4" t="s">
        <v>417</v>
      </c>
      <c r="F514" s="4" t="s">
        <v>417</v>
      </c>
      <c r="H514" t="s">
        <v>417</v>
      </c>
      <c r="I514" s="3" t="e">
        <f t="shared" si="8"/>
        <v>#DIV/0!</v>
      </c>
      <c r="J514" s="3">
        <f>D514/(VLOOKUP(B514,'2024 Team'!$B$2:$G$33,2,FALSE))</f>
        <v>0</v>
      </c>
      <c r="L514" t="s">
        <v>417</v>
      </c>
    </row>
    <row r="515" spans="1:12" x14ac:dyDescent="0.25">
      <c r="A515" t="s">
        <v>1719</v>
      </c>
      <c r="B515" t="s">
        <v>46</v>
      </c>
      <c r="C515" t="s">
        <v>163</v>
      </c>
      <c r="D515" s="4" t="s">
        <v>289</v>
      </c>
      <c r="E515" s="4" t="s">
        <v>417</v>
      </c>
      <c r="F515" s="4" t="s">
        <v>417</v>
      </c>
      <c r="H515" t="s">
        <v>417</v>
      </c>
      <c r="I515" s="3" t="e">
        <f t="shared" si="8"/>
        <v>#DIV/0!</v>
      </c>
      <c r="J515" s="3">
        <f>D515/(VLOOKUP(B515,'2024 Team'!$B$2:$G$33,2,FALSE))</f>
        <v>3.3840947546531302E-3</v>
      </c>
      <c r="K515" t="s">
        <v>504</v>
      </c>
      <c r="L515" t="s">
        <v>417</v>
      </c>
    </row>
    <row r="516" spans="1:12" x14ac:dyDescent="0.25">
      <c r="A516" t="s">
        <v>117</v>
      </c>
      <c r="B516" t="s">
        <v>60</v>
      </c>
      <c r="C516" t="s">
        <v>82</v>
      </c>
      <c r="D516" s="4" t="s">
        <v>417</v>
      </c>
      <c r="E516" s="4" t="s">
        <v>417</v>
      </c>
      <c r="F516" s="4" t="s">
        <v>417</v>
      </c>
      <c r="H516" t="s">
        <v>417</v>
      </c>
      <c r="I516" s="3" t="e">
        <f t="shared" si="8"/>
        <v>#DIV/0!</v>
      </c>
      <c r="J516" s="3">
        <f>D516/(VLOOKUP(B516,'2024 Team'!$B$2:$G$33,2,FALSE))</f>
        <v>0</v>
      </c>
      <c r="L516" t="s">
        <v>247</v>
      </c>
    </row>
    <row r="517" spans="1:12" x14ac:dyDescent="0.25">
      <c r="A517" t="s">
        <v>113</v>
      </c>
      <c r="B517" t="s">
        <v>34</v>
      </c>
      <c r="C517" t="s">
        <v>82</v>
      </c>
      <c r="D517" s="4" t="s">
        <v>417</v>
      </c>
      <c r="E517" s="4" t="s">
        <v>417</v>
      </c>
      <c r="F517" s="4" t="s">
        <v>417</v>
      </c>
      <c r="H517" t="s">
        <v>417</v>
      </c>
      <c r="I517" s="3" t="e">
        <f t="shared" si="8"/>
        <v>#DIV/0!</v>
      </c>
      <c r="J517" s="3">
        <f>D517/(VLOOKUP(B517,'2024 Team'!$B$2:$G$33,2,FALSE))</f>
        <v>0</v>
      </c>
      <c r="L517" t="s">
        <v>229</v>
      </c>
    </row>
    <row r="518" spans="1:12" x14ac:dyDescent="0.25">
      <c r="A518" t="s">
        <v>2187</v>
      </c>
      <c r="B518" t="s">
        <v>16</v>
      </c>
      <c r="C518" t="s">
        <v>755</v>
      </c>
      <c r="D518" s="4" t="s">
        <v>300</v>
      </c>
      <c r="E518" s="4" t="s">
        <v>417</v>
      </c>
      <c r="F518" s="4" t="s">
        <v>417</v>
      </c>
      <c r="H518" t="s">
        <v>417</v>
      </c>
      <c r="I518" s="3" t="e">
        <f t="shared" si="8"/>
        <v>#DIV/0!</v>
      </c>
      <c r="J518" s="3">
        <f>D518/(VLOOKUP(B518,'2024 Team'!$B$2:$G$33,2,FALSE))</f>
        <v>1.8281535648994515E-3</v>
      </c>
      <c r="K518" t="s">
        <v>504</v>
      </c>
      <c r="L518" t="s">
        <v>417</v>
      </c>
    </row>
    <row r="519" spans="1:12" x14ac:dyDescent="0.25">
      <c r="A519" t="s">
        <v>2188</v>
      </c>
      <c r="B519" t="s">
        <v>60</v>
      </c>
      <c r="C519" t="s">
        <v>857</v>
      </c>
      <c r="D519" s="4" t="s">
        <v>417</v>
      </c>
      <c r="E519" s="4" t="s">
        <v>417</v>
      </c>
      <c r="F519" s="4" t="s">
        <v>649</v>
      </c>
      <c r="H519" t="s">
        <v>417</v>
      </c>
      <c r="I519" s="3" t="e">
        <f t="shared" si="8"/>
        <v>#DIV/0!</v>
      </c>
      <c r="J519" s="3">
        <f>D519/(VLOOKUP(B519,'2024 Team'!$B$2:$G$33,2,FALSE))</f>
        <v>0</v>
      </c>
      <c r="L519" t="s">
        <v>300</v>
      </c>
    </row>
    <row r="520" spans="1:12" x14ac:dyDescent="0.25">
      <c r="A520" t="s">
        <v>617</v>
      </c>
      <c r="B520" t="s">
        <v>44</v>
      </c>
      <c r="C520" t="s">
        <v>82</v>
      </c>
      <c r="D520" s="4" t="s">
        <v>417</v>
      </c>
      <c r="E520" s="4" t="s">
        <v>417</v>
      </c>
      <c r="F520" s="4" t="s">
        <v>417</v>
      </c>
      <c r="H520" t="s">
        <v>417</v>
      </c>
      <c r="I520" s="3" t="e">
        <f t="shared" si="8"/>
        <v>#DIV/0!</v>
      </c>
      <c r="J520" s="3">
        <f>D520/(VLOOKUP(B520,'2024 Team'!$B$2:$G$33,2,FALSE))</f>
        <v>0</v>
      </c>
      <c r="L520" t="s">
        <v>417</v>
      </c>
    </row>
    <row r="521" spans="1:12" x14ac:dyDescent="0.25">
      <c r="A521" t="s">
        <v>702</v>
      </c>
      <c r="B521" t="s">
        <v>14</v>
      </c>
      <c r="C521" t="s">
        <v>613</v>
      </c>
      <c r="D521" s="4" t="s">
        <v>417</v>
      </c>
      <c r="E521" s="4" t="s">
        <v>417</v>
      </c>
      <c r="F521" s="4" t="s">
        <v>417</v>
      </c>
      <c r="H521" t="s">
        <v>417</v>
      </c>
      <c r="I521" s="3" t="e">
        <f t="shared" si="8"/>
        <v>#DIV/0!</v>
      </c>
      <c r="J521" s="3">
        <f>D521/(VLOOKUP(B521,'2024 Team'!$B$2:$G$33,2,FALSE))</f>
        <v>0</v>
      </c>
      <c r="L521" t="s">
        <v>417</v>
      </c>
    </row>
    <row r="522" spans="1:12" x14ac:dyDescent="0.25">
      <c r="A522" t="s">
        <v>2189</v>
      </c>
      <c r="B522" t="s">
        <v>24</v>
      </c>
      <c r="C522" t="s">
        <v>647</v>
      </c>
      <c r="D522" s="4" t="s">
        <v>300</v>
      </c>
      <c r="E522" s="4" t="s">
        <v>417</v>
      </c>
      <c r="F522" s="4" t="s">
        <v>417</v>
      </c>
      <c r="H522" t="s">
        <v>417</v>
      </c>
      <c r="I522" s="3" t="e">
        <f t="shared" si="8"/>
        <v>#DIV/0!</v>
      </c>
      <c r="J522" s="3">
        <f>D522/(VLOOKUP(B522,'2024 Team'!$B$2:$G$33,2,FALSE))</f>
        <v>1.5698587127158557E-3</v>
      </c>
      <c r="K522" t="s">
        <v>504</v>
      </c>
      <c r="L522" t="s">
        <v>417</v>
      </c>
    </row>
    <row r="523" spans="1:12" x14ac:dyDescent="0.25">
      <c r="A523" t="s">
        <v>2077</v>
      </c>
      <c r="B523" t="s">
        <v>52</v>
      </c>
      <c r="C523" t="s">
        <v>82</v>
      </c>
      <c r="D523" s="4" t="s">
        <v>417</v>
      </c>
      <c r="E523" s="4" t="s">
        <v>417</v>
      </c>
      <c r="F523" s="4" t="s">
        <v>417</v>
      </c>
      <c r="H523" t="s">
        <v>417</v>
      </c>
      <c r="I523" s="3" t="e">
        <f t="shared" si="8"/>
        <v>#DIV/0!</v>
      </c>
      <c r="J523" s="3">
        <f>D523/(VLOOKUP(B523,'2024 Team'!$B$2:$G$33,2,FALSE))</f>
        <v>0</v>
      </c>
      <c r="L523" t="s">
        <v>417</v>
      </c>
    </row>
    <row r="524" spans="1:12" x14ac:dyDescent="0.25">
      <c r="A524" t="s">
        <v>2159</v>
      </c>
      <c r="B524" t="s">
        <v>52</v>
      </c>
      <c r="C524" t="s">
        <v>165</v>
      </c>
      <c r="D524" s="4" t="s">
        <v>417</v>
      </c>
      <c r="E524" s="4" t="s">
        <v>417</v>
      </c>
      <c r="F524" s="4" t="s">
        <v>417</v>
      </c>
      <c r="H524" t="s">
        <v>417</v>
      </c>
      <c r="I524" s="3" t="e">
        <f t="shared" si="8"/>
        <v>#DIV/0!</v>
      </c>
      <c r="J524" s="3">
        <f>D524/(VLOOKUP(B524,'2024 Team'!$B$2:$G$33,2,FALSE))</f>
        <v>0</v>
      </c>
      <c r="L524" t="s">
        <v>417</v>
      </c>
    </row>
    <row r="525" spans="1:12" x14ac:dyDescent="0.25">
      <c r="A525" t="s">
        <v>1560</v>
      </c>
      <c r="B525" t="s">
        <v>42</v>
      </c>
      <c r="C525" t="s">
        <v>82</v>
      </c>
      <c r="D525" s="4" t="s">
        <v>417</v>
      </c>
      <c r="E525" s="4" t="s">
        <v>417</v>
      </c>
      <c r="F525" s="4" t="s">
        <v>417</v>
      </c>
      <c r="H525" t="s">
        <v>417</v>
      </c>
      <c r="I525" s="3" t="e">
        <f t="shared" si="8"/>
        <v>#DIV/0!</v>
      </c>
      <c r="J525" s="3">
        <f>D525/(VLOOKUP(B525,'2024 Team'!$B$2:$G$33,2,FALSE))</f>
        <v>0</v>
      </c>
      <c r="L525" t="s">
        <v>417</v>
      </c>
    </row>
    <row r="526" spans="1:12" x14ac:dyDescent="0.25">
      <c r="A526" t="s">
        <v>90</v>
      </c>
      <c r="B526" t="s">
        <v>42</v>
      </c>
      <c r="C526" t="s">
        <v>82</v>
      </c>
      <c r="D526" s="4" t="s">
        <v>417</v>
      </c>
      <c r="E526" s="4" t="s">
        <v>417</v>
      </c>
      <c r="F526" s="4" t="s">
        <v>417</v>
      </c>
      <c r="H526" t="s">
        <v>417</v>
      </c>
      <c r="I526" s="3" t="e">
        <f t="shared" si="8"/>
        <v>#DIV/0!</v>
      </c>
      <c r="J526" s="3">
        <f>D526/(VLOOKUP(B526,'2024 Team'!$B$2:$G$33,2,FALSE))</f>
        <v>0</v>
      </c>
      <c r="L526" t="s">
        <v>247</v>
      </c>
    </row>
    <row r="527" spans="1:12" x14ac:dyDescent="0.25">
      <c r="A527" t="s">
        <v>2160</v>
      </c>
      <c r="B527" t="s">
        <v>38</v>
      </c>
      <c r="C527" t="s">
        <v>980</v>
      </c>
      <c r="D527" s="4" t="s">
        <v>417</v>
      </c>
      <c r="E527" s="4" t="s">
        <v>417</v>
      </c>
      <c r="F527" s="4" t="s">
        <v>417</v>
      </c>
      <c r="H527" t="s">
        <v>417</v>
      </c>
      <c r="I527" s="3" t="e">
        <f t="shared" si="8"/>
        <v>#DIV/0!</v>
      </c>
      <c r="J527" s="3">
        <f>D527/(VLOOKUP(B527,'2024 Team'!$B$2:$G$33,2,FALSE))</f>
        <v>0</v>
      </c>
      <c r="L527" t="s">
        <v>417</v>
      </c>
    </row>
    <row r="528" spans="1:12" x14ac:dyDescent="0.25">
      <c r="A528" t="s">
        <v>2079</v>
      </c>
      <c r="B528" t="s">
        <v>28</v>
      </c>
      <c r="C528" t="s">
        <v>82</v>
      </c>
      <c r="D528" s="4" t="s">
        <v>417</v>
      </c>
      <c r="E528" s="4" t="s">
        <v>417</v>
      </c>
      <c r="F528" s="4" t="s">
        <v>417</v>
      </c>
      <c r="H528" t="s">
        <v>417</v>
      </c>
      <c r="I528" s="3" t="e">
        <f t="shared" si="8"/>
        <v>#DIV/0!</v>
      </c>
      <c r="J528" s="3">
        <f>D528/(VLOOKUP(B528,'2024 Team'!$B$2:$G$33,2,FALSE))</f>
        <v>0</v>
      </c>
      <c r="L528" t="s">
        <v>417</v>
      </c>
    </row>
    <row r="529" spans="1:12" x14ac:dyDescent="0.25">
      <c r="A529" t="s">
        <v>1551</v>
      </c>
      <c r="B529" t="s">
        <v>64</v>
      </c>
      <c r="C529" t="s">
        <v>82</v>
      </c>
      <c r="D529" s="4" t="s">
        <v>417</v>
      </c>
      <c r="E529" s="4" t="s">
        <v>417</v>
      </c>
      <c r="F529" s="4" t="s">
        <v>417</v>
      </c>
      <c r="H529" t="s">
        <v>417</v>
      </c>
      <c r="I529" s="3" t="e">
        <f t="shared" si="8"/>
        <v>#DIV/0!</v>
      </c>
      <c r="J529" s="3">
        <f>D529/(VLOOKUP(B529,'2024 Team'!$B$2:$G$33,2,FALSE))</f>
        <v>0</v>
      </c>
      <c r="L529" t="s">
        <v>417</v>
      </c>
    </row>
    <row r="530" spans="1:12" x14ac:dyDescent="0.25">
      <c r="A530" t="s">
        <v>130</v>
      </c>
      <c r="B530" t="s">
        <v>46</v>
      </c>
      <c r="C530" t="s">
        <v>82</v>
      </c>
      <c r="D530" s="4" t="s">
        <v>417</v>
      </c>
      <c r="E530" s="4" t="s">
        <v>417</v>
      </c>
      <c r="F530" s="4" t="s">
        <v>417</v>
      </c>
      <c r="H530" t="s">
        <v>417</v>
      </c>
      <c r="I530" s="3" t="e">
        <f t="shared" si="8"/>
        <v>#DIV/0!</v>
      </c>
      <c r="J530" s="3">
        <f>D530/(VLOOKUP(B530,'2024 Team'!$B$2:$G$33,2,FALSE))</f>
        <v>0</v>
      </c>
      <c r="L530" t="s">
        <v>247</v>
      </c>
    </row>
    <row r="531" spans="1:12" x14ac:dyDescent="0.25">
      <c r="A531" t="s">
        <v>98</v>
      </c>
      <c r="B531" t="s">
        <v>58</v>
      </c>
      <c r="C531" t="s">
        <v>82</v>
      </c>
      <c r="D531" s="4" t="s">
        <v>417</v>
      </c>
      <c r="E531" s="4" t="s">
        <v>417</v>
      </c>
      <c r="F531" s="4" t="s">
        <v>417</v>
      </c>
      <c r="H531" t="s">
        <v>417</v>
      </c>
      <c r="I531" s="3" t="e">
        <f t="shared" si="8"/>
        <v>#DIV/0!</v>
      </c>
      <c r="J531" s="3">
        <f>D531/(VLOOKUP(B531,'2024 Team'!$B$2:$G$33,2,FALSE))</f>
        <v>0</v>
      </c>
      <c r="L531" t="s">
        <v>270</v>
      </c>
    </row>
    <row r="532" spans="1:12" x14ac:dyDescent="0.25">
      <c r="A532" t="s">
        <v>2161</v>
      </c>
      <c r="B532" t="s">
        <v>52</v>
      </c>
      <c r="C532" t="s">
        <v>163</v>
      </c>
      <c r="D532" s="4" t="s">
        <v>417</v>
      </c>
      <c r="E532" s="4" t="s">
        <v>417</v>
      </c>
      <c r="F532" s="4" t="s">
        <v>417</v>
      </c>
      <c r="H532" t="s">
        <v>417</v>
      </c>
      <c r="I532" s="3" t="e">
        <f t="shared" si="8"/>
        <v>#DIV/0!</v>
      </c>
      <c r="J532" s="3">
        <f>D532/(VLOOKUP(B532,'2024 Team'!$B$2:$G$33,2,FALSE))</f>
        <v>0</v>
      </c>
      <c r="L532" t="s">
        <v>417</v>
      </c>
    </row>
    <row r="533" spans="1:12" x14ac:dyDescent="0.25">
      <c r="A533" t="s">
        <v>106</v>
      </c>
      <c r="B533" t="s">
        <v>12</v>
      </c>
      <c r="C533" t="s">
        <v>82</v>
      </c>
      <c r="D533" s="4" t="s">
        <v>417</v>
      </c>
      <c r="E533" s="4" t="s">
        <v>417</v>
      </c>
      <c r="F533" s="4" t="s">
        <v>417</v>
      </c>
      <c r="H533" t="s">
        <v>417</v>
      </c>
      <c r="I533" s="3" t="e">
        <f t="shared" si="8"/>
        <v>#DIV/0!</v>
      </c>
      <c r="J533" s="3">
        <f>D533/(VLOOKUP(B533,'2024 Team'!$B$2:$G$33,2,FALSE))</f>
        <v>0</v>
      </c>
      <c r="L533" t="s">
        <v>211</v>
      </c>
    </row>
    <row r="534" spans="1:12" x14ac:dyDescent="0.25">
      <c r="A534" t="s">
        <v>509</v>
      </c>
      <c r="B534" t="s">
        <v>50</v>
      </c>
      <c r="C534" t="s">
        <v>159</v>
      </c>
      <c r="D534" s="4" t="s">
        <v>300</v>
      </c>
      <c r="E534" s="4" t="s">
        <v>417</v>
      </c>
      <c r="F534" s="4" t="s">
        <v>417</v>
      </c>
      <c r="H534" t="s">
        <v>417</v>
      </c>
      <c r="I534" s="3" t="e">
        <f t="shared" si="8"/>
        <v>#DIV/0!</v>
      </c>
      <c r="J534" s="3">
        <f>D534/(VLOOKUP(B534,'2024 Team'!$B$2:$G$33,2,FALSE))</f>
        <v>1.890359168241966E-3</v>
      </c>
      <c r="K534" t="s">
        <v>504</v>
      </c>
      <c r="L534" t="s">
        <v>417</v>
      </c>
    </row>
    <row r="535" spans="1:12" x14ac:dyDescent="0.25">
      <c r="A535" t="s">
        <v>135</v>
      </c>
      <c r="B535" t="s">
        <v>12</v>
      </c>
      <c r="C535" t="s">
        <v>82</v>
      </c>
      <c r="D535" s="4" t="s">
        <v>417</v>
      </c>
      <c r="E535" s="4" t="s">
        <v>417</v>
      </c>
      <c r="F535" s="4" t="s">
        <v>417</v>
      </c>
      <c r="H535" t="s">
        <v>417</v>
      </c>
      <c r="I535" s="3" t="e">
        <f t="shared" si="8"/>
        <v>#DIV/0!</v>
      </c>
      <c r="J535" s="3">
        <f>D535/(VLOOKUP(B535,'2024 Team'!$B$2:$G$33,2,FALSE))</f>
        <v>0</v>
      </c>
      <c r="L535" t="s">
        <v>417</v>
      </c>
    </row>
    <row r="536" spans="1:12" x14ac:dyDescent="0.25">
      <c r="A536" t="s">
        <v>709</v>
      </c>
      <c r="B536" t="s">
        <v>66</v>
      </c>
      <c r="C536" t="s">
        <v>163</v>
      </c>
      <c r="D536" s="4" t="s">
        <v>300</v>
      </c>
      <c r="E536" s="4" t="s">
        <v>417</v>
      </c>
      <c r="F536" s="4" t="s">
        <v>417</v>
      </c>
      <c r="H536" t="s">
        <v>417</v>
      </c>
      <c r="I536" s="3" t="e">
        <f t="shared" si="8"/>
        <v>#DIV/0!</v>
      </c>
      <c r="J536" s="3">
        <f>D536/(VLOOKUP(B536,'2024 Team'!$B$2:$G$33,2,FALSE))</f>
        <v>1.7513134851138354E-3</v>
      </c>
      <c r="K536" t="s">
        <v>504</v>
      </c>
      <c r="L536" t="s">
        <v>417</v>
      </c>
    </row>
    <row r="537" spans="1:12" x14ac:dyDescent="0.25">
      <c r="A537" t="s">
        <v>102</v>
      </c>
      <c r="B537" t="s">
        <v>54</v>
      </c>
      <c r="C537" t="s">
        <v>82</v>
      </c>
      <c r="D537" s="4" t="s">
        <v>417</v>
      </c>
      <c r="E537" s="4" t="s">
        <v>417</v>
      </c>
      <c r="F537" s="4" t="s">
        <v>417</v>
      </c>
      <c r="H537" t="s">
        <v>417</v>
      </c>
      <c r="I537" s="3" t="e">
        <f t="shared" si="8"/>
        <v>#DIV/0!</v>
      </c>
      <c r="J537" s="3">
        <f>D537/(VLOOKUP(B537,'2024 Team'!$B$2:$G$33,2,FALSE))</f>
        <v>0</v>
      </c>
      <c r="L537" t="s">
        <v>229</v>
      </c>
    </row>
    <row r="538" spans="1:12" x14ac:dyDescent="0.25">
      <c r="A538" t="s">
        <v>107</v>
      </c>
      <c r="B538" t="s">
        <v>36</v>
      </c>
      <c r="C538" t="s">
        <v>82</v>
      </c>
      <c r="D538" s="4" t="s">
        <v>417</v>
      </c>
      <c r="E538" s="4" t="s">
        <v>417</v>
      </c>
      <c r="F538" s="4" t="s">
        <v>417</v>
      </c>
      <c r="H538" t="s">
        <v>417</v>
      </c>
      <c r="I538" s="3" t="e">
        <f t="shared" si="8"/>
        <v>#DIV/0!</v>
      </c>
      <c r="J538" s="3">
        <f>D538/(VLOOKUP(B538,'2024 Team'!$B$2:$G$33,2,FALSE))</f>
        <v>0</v>
      </c>
      <c r="L538" t="s">
        <v>289</v>
      </c>
    </row>
    <row r="539" spans="1:12" x14ac:dyDescent="0.25">
      <c r="A539" t="s">
        <v>1689</v>
      </c>
      <c r="B539" t="s">
        <v>8</v>
      </c>
      <c r="C539" t="s">
        <v>159</v>
      </c>
      <c r="D539" s="4" t="s">
        <v>417</v>
      </c>
      <c r="E539" s="4" t="s">
        <v>417</v>
      </c>
      <c r="F539" s="4" t="s">
        <v>417</v>
      </c>
      <c r="H539" t="s">
        <v>417</v>
      </c>
      <c r="I539" s="3" t="e">
        <f t="shared" si="8"/>
        <v>#DIV/0!</v>
      </c>
      <c r="J539" s="3">
        <f>D539/(VLOOKUP(B539,'2024 Team'!$B$2:$G$33,2,FALSE))</f>
        <v>0</v>
      </c>
      <c r="L539" t="s">
        <v>417</v>
      </c>
    </row>
    <row r="540" spans="1:12" x14ac:dyDescent="0.25">
      <c r="A540" t="s">
        <v>1653</v>
      </c>
      <c r="B540" t="s">
        <v>68</v>
      </c>
      <c r="C540" t="s">
        <v>159</v>
      </c>
      <c r="D540" s="4" t="s">
        <v>417</v>
      </c>
      <c r="E540" s="4" t="s">
        <v>417</v>
      </c>
      <c r="F540" s="4" t="s">
        <v>417</v>
      </c>
      <c r="H540" t="s">
        <v>417</v>
      </c>
      <c r="I540" s="3" t="e">
        <f t="shared" si="8"/>
        <v>#DIV/0!</v>
      </c>
      <c r="J540" s="3">
        <f>D540/(VLOOKUP(B540,'2024 Team'!$B$2:$G$33,2,FALSE))</f>
        <v>0</v>
      </c>
      <c r="L540" t="s">
        <v>417</v>
      </c>
    </row>
    <row r="541" spans="1:12" x14ac:dyDescent="0.25">
      <c r="A541" t="s">
        <v>872</v>
      </c>
      <c r="B541" t="s">
        <v>28</v>
      </c>
      <c r="C541" t="s">
        <v>163</v>
      </c>
      <c r="D541" s="4" t="s">
        <v>300</v>
      </c>
      <c r="E541" s="4" t="s">
        <v>417</v>
      </c>
      <c r="F541" s="4" t="s">
        <v>417</v>
      </c>
      <c r="H541" t="s">
        <v>417</v>
      </c>
      <c r="I541" s="3" t="e">
        <f t="shared" si="8"/>
        <v>#DIV/0!</v>
      </c>
      <c r="J541" s="3">
        <f>D541/(VLOOKUP(B541,'2024 Team'!$B$2:$G$33,2,FALSE))</f>
        <v>1.8148820326678765E-3</v>
      </c>
      <c r="K541" t="s">
        <v>504</v>
      </c>
      <c r="L541" t="s">
        <v>417</v>
      </c>
    </row>
    <row r="542" spans="1:12" x14ac:dyDescent="0.25">
      <c r="A542" t="s">
        <v>133</v>
      </c>
      <c r="B542" t="s">
        <v>24</v>
      </c>
      <c r="C542" t="s">
        <v>82</v>
      </c>
      <c r="D542" s="4" t="s">
        <v>417</v>
      </c>
      <c r="E542" s="4" t="s">
        <v>417</v>
      </c>
      <c r="F542" s="4" t="s">
        <v>417</v>
      </c>
      <c r="H542" t="s">
        <v>417</v>
      </c>
      <c r="I542" s="3" t="e">
        <f t="shared" si="8"/>
        <v>#DIV/0!</v>
      </c>
      <c r="J542" s="3">
        <f>D542/(VLOOKUP(B542,'2024 Team'!$B$2:$G$33,2,FALSE))</f>
        <v>0</v>
      </c>
      <c r="L542" t="s">
        <v>417</v>
      </c>
    </row>
    <row r="543" spans="1:12" x14ac:dyDescent="0.25">
      <c r="A543" t="s">
        <v>625</v>
      </c>
      <c r="B543" t="s">
        <v>40</v>
      </c>
      <c r="C543" t="s">
        <v>159</v>
      </c>
      <c r="D543" s="4" t="s">
        <v>417</v>
      </c>
      <c r="E543" s="4" t="s">
        <v>417</v>
      </c>
      <c r="F543" s="4" t="s">
        <v>417</v>
      </c>
      <c r="H543" t="s">
        <v>417</v>
      </c>
      <c r="I543" s="3" t="e">
        <f t="shared" si="8"/>
        <v>#DIV/0!</v>
      </c>
      <c r="J543" s="3">
        <f>D543/(VLOOKUP(B543,'2024 Team'!$B$2:$G$33,2,FALSE))</f>
        <v>0</v>
      </c>
      <c r="L543" t="s">
        <v>300</v>
      </c>
    </row>
    <row r="544" spans="1:12" x14ac:dyDescent="0.25">
      <c r="A544" t="s">
        <v>87</v>
      </c>
      <c r="B544" t="s">
        <v>36</v>
      </c>
      <c r="C544" t="s">
        <v>82</v>
      </c>
      <c r="D544" s="4" t="s">
        <v>417</v>
      </c>
      <c r="E544" s="4" t="s">
        <v>417</v>
      </c>
      <c r="F544" s="4" t="s">
        <v>588</v>
      </c>
      <c r="H544" t="s">
        <v>417</v>
      </c>
      <c r="I544" s="3" t="e">
        <f t="shared" si="8"/>
        <v>#DIV/0!</v>
      </c>
      <c r="J544" s="3">
        <f>D544/(VLOOKUP(B544,'2024 Team'!$B$2:$G$33,2,FALSE))</f>
        <v>0</v>
      </c>
      <c r="L544" t="s">
        <v>314</v>
      </c>
    </row>
    <row r="545" spans="1:12" x14ac:dyDescent="0.25">
      <c r="A545" t="s">
        <v>1554</v>
      </c>
      <c r="B545" t="s">
        <v>68</v>
      </c>
      <c r="C545" t="s">
        <v>82</v>
      </c>
      <c r="D545" s="4" t="s">
        <v>417</v>
      </c>
      <c r="E545" s="4" t="s">
        <v>417</v>
      </c>
      <c r="F545" s="4" t="s">
        <v>417</v>
      </c>
      <c r="H545" t="s">
        <v>417</v>
      </c>
      <c r="I545" s="3" t="e">
        <f t="shared" si="8"/>
        <v>#DIV/0!</v>
      </c>
      <c r="J545" s="3">
        <f>D545/(VLOOKUP(B545,'2024 Team'!$B$2:$G$33,2,FALSE))</f>
        <v>0</v>
      </c>
      <c r="L545" t="s">
        <v>211</v>
      </c>
    </row>
    <row r="546" spans="1:12" x14ac:dyDescent="0.25">
      <c r="A546" t="s">
        <v>156</v>
      </c>
      <c r="B546" t="s">
        <v>54</v>
      </c>
      <c r="C546" t="s">
        <v>82</v>
      </c>
      <c r="D546" s="4" t="s">
        <v>417</v>
      </c>
      <c r="E546" s="4" t="s">
        <v>417</v>
      </c>
      <c r="F546" s="4" t="s">
        <v>417</v>
      </c>
      <c r="H546" t="s">
        <v>417</v>
      </c>
      <c r="I546" s="3" t="e">
        <f t="shared" si="8"/>
        <v>#DIV/0!</v>
      </c>
      <c r="J546" s="3">
        <f>D546/(VLOOKUP(B546,'2024 Team'!$B$2:$G$33,2,FALSE))</f>
        <v>0</v>
      </c>
      <c r="L546" t="s">
        <v>220</v>
      </c>
    </row>
    <row r="547" spans="1:12" x14ac:dyDescent="0.25">
      <c r="A547" t="s">
        <v>100</v>
      </c>
      <c r="B547" t="s">
        <v>30</v>
      </c>
      <c r="C547" t="s">
        <v>82</v>
      </c>
      <c r="D547" s="4" t="s">
        <v>417</v>
      </c>
      <c r="E547" s="4" t="s">
        <v>417</v>
      </c>
      <c r="F547" s="4" t="s">
        <v>417</v>
      </c>
      <c r="H547" t="s">
        <v>417</v>
      </c>
      <c r="I547" s="3" t="e">
        <f t="shared" si="8"/>
        <v>#DIV/0!</v>
      </c>
      <c r="J547" s="3">
        <f>D547/(VLOOKUP(B547,'2024 Team'!$B$2:$G$33,2,FALSE))</f>
        <v>0</v>
      </c>
      <c r="L547" t="s">
        <v>229</v>
      </c>
    </row>
    <row r="548" spans="1:12" x14ac:dyDescent="0.25">
      <c r="A548" t="s">
        <v>2164</v>
      </c>
      <c r="B548" t="s">
        <v>64</v>
      </c>
      <c r="C548" t="s">
        <v>2165</v>
      </c>
      <c r="D548" s="4" t="s">
        <v>417</v>
      </c>
      <c r="E548" s="4" t="s">
        <v>417</v>
      </c>
      <c r="F548" s="4" t="s">
        <v>417</v>
      </c>
      <c r="H548" t="s">
        <v>417</v>
      </c>
      <c r="I548" s="3" t="e">
        <f t="shared" si="8"/>
        <v>#DIV/0!</v>
      </c>
      <c r="J548" s="3">
        <f>D548/(VLOOKUP(B548,'2024 Team'!$B$2:$G$33,2,FALSE))</f>
        <v>0</v>
      </c>
      <c r="L548" t="s">
        <v>417</v>
      </c>
    </row>
    <row r="549" spans="1:12" x14ac:dyDescent="0.25">
      <c r="A549" t="s">
        <v>115</v>
      </c>
      <c r="B549" t="s">
        <v>70</v>
      </c>
      <c r="C549" t="s">
        <v>82</v>
      </c>
      <c r="D549" s="4" t="s">
        <v>417</v>
      </c>
      <c r="E549" s="4" t="s">
        <v>417</v>
      </c>
      <c r="F549" s="4" t="s">
        <v>417</v>
      </c>
      <c r="H549" t="s">
        <v>417</v>
      </c>
      <c r="I549" s="3" t="e">
        <f t="shared" si="8"/>
        <v>#DIV/0!</v>
      </c>
      <c r="J549" s="3">
        <f>D549/(VLOOKUP(B549,'2024 Team'!$B$2:$G$33,2,FALSE))</f>
        <v>0</v>
      </c>
      <c r="L549" t="s">
        <v>417</v>
      </c>
    </row>
    <row r="550" spans="1:12" x14ac:dyDescent="0.25">
      <c r="A550" t="s">
        <v>2198</v>
      </c>
      <c r="B550" t="s">
        <v>16</v>
      </c>
      <c r="C550" t="s">
        <v>153</v>
      </c>
      <c r="D550" s="4" t="s">
        <v>300</v>
      </c>
      <c r="E550" s="4" t="s">
        <v>417</v>
      </c>
      <c r="F550" s="4" t="s">
        <v>417</v>
      </c>
      <c r="H550" t="s">
        <v>417</v>
      </c>
      <c r="I550" s="3" t="e">
        <f t="shared" si="8"/>
        <v>#DIV/0!</v>
      </c>
      <c r="J550" s="3">
        <f>D550/(VLOOKUP(B550,'2024 Team'!$B$2:$G$33,2,FALSE))</f>
        <v>1.8281535648994515E-3</v>
      </c>
      <c r="K550" t="s">
        <v>504</v>
      </c>
      <c r="L550" t="s">
        <v>417</v>
      </c>
    </row>
    <row r="551" spans="1:12" x14ac:dyDescent="0.25">
      <c r="A551" t="s">
        <v>93</v>
      </c>
      <c r="B551" t="s">
        <v>50</v>
      </c>
      <c r="C551" t="s">
        <v>82</v>
      </c>
      <c r="D551" s="4" t="s">
        <v>417</v>
      </c>
      <c r="E551" s="4" t="s">
        <v>417</v>
      </c>
      <c r="F551" s="4" t="s">
        <v>417</v>
      </c>
      <c r="H551" t="s">
        <v>417</v>
      </c>
      <c r="I551" s="3" t="e">
        <f t="shared" si="8"/>
        <v>#DIV/0!</v>
      </c>
      <c r="J551" s="3">
        <f>D551/(VLOOKUP(B551,'2024 Team'!$B$2:$G$33,2,FALSE))</f>
        <v>0</v>
      </c>
      <c r="L551" t="s">
        <v>270</v>
      </c>
    </row>
    <row r="552" spans="1:12" x14ac:dyDescent="0.25">
      <c r="A552" t="s">
        <v>88</v>
      </c>
      <c r="B552" t="s">
        <v>66</v>
      </c>
      <c r="C552" t="s">
        <v>82</v>
      </c>
      <c r="D552" s="4" t="s">
        <v>417</v>
      </c>
      <c r="E552" s="4" t="s">
        <v>417</v>
      </c>
      <c r="F552" s="4" t="s">
        <v>417</v>
      </c>
      <c r="H552" t="s">
        <v>417</v>
      </c>
      <c r="I552" s="3" t="e">
        <f t="shared" si="8"/>
        <v>#DIV/0!</v>
      </c>
      <c r="J552" s="3">
        <f>D552/(VLOOKUP(B552,'2024 Team'!$B$2:$G$33,2,FALSE))</f>
        <v>0</v>
      </c>
      <c r="L552" t="s">
        <v>234</v>
      </c>
    </row>
    <row r="553" spans="1:12" x14ac:dyDescent="0.25">
      <c r="A553" t="s">
        <v>2154</v>
      </c>
      <c r="B553" t="s">
        <v>40</v>
      </c>
      <c r="C553" t="s">
        <v>163</v>
      </c>
      <c r="D553" s="4" t="s">
        <v>417</v>
      </c>
      <c r="E553" s="4" t="s">
        <v>417</v>
      </c>
      <c r="F553" s="4" t="s">
        <v>417</v>
      </c>
      <c r="H553" t="s">
        <v>417</v>
      </c>
      <c r="I553" s="3" t="e">
        <f t="shared" si="8"/>
        <v>#DIV/0!</v>
      </c>
      <c r="J553" s="3">
        <f>D553/(VLOOKUP(B553,'2024 Team'!$B$2:$G$33,2,FALSE))</f>
        <v>0</v>
      </c>
      <c r="L553" t="s">
        <v>417</v>
      </c>
    </row>
    <row r="554" spans="1:12" x14ac:dyDescent="0.25">
      <c r="A554" t="s">
        <v>2140</v>
      </c>
      <c r="B554" t="s">
        <v>10</v>
      </c>
      <c r="C554" t="s">
        <v>159</v>
      </c>
      <c r="D554" s="4" t="s">
        <v>417</v>
      </c>
      <c r="E554" s="4" t="s">
        <v>417</v>
      </c>
      <c r="F554" s="4" t="s">
        <v>417</v>
      </c>
      <c r="H554" t="s">
        <v>417</v>
      </c>
      <c r="I554" s="3" t="e">
        <f t="shared" si="8"/>
        <v>#DIV/0!</v>
      </c>
      <c r="J554" s="3">
        <f>D554/(VLOOKUP(B554,'2024 Team'!$B$2:$G$33,2,FALSE))</f>
        <v>0</v>
      </c>
      <c r="L554" t="s">
        <v>417</v>
      </c>
    </row>
    <row r="555" spans="1:12" x14ac:dyDescent="0.25">
      <c r="A555" t="s">
        <v>139</v>
      </c>
      <c r="B555" t="s">
        <v>58</v>
      </c>
      <c r="C555" t="s">
        <v>82</v>
      </c>
      <c r="D555" s="4" t="s">
        <v>417</v>
      </c>
      <c r="E555" s="4" t="s">
        <v>417</v>
      </c>
      <c r="F555" s="4" t="s">
        <v>417</v>
      </c>
      <c r="H555" t="s">
        <v>417</v>
      </c>
      <c r="I555" s="3" t="e">
        <f t="shared" si="8"/>
        <v>#DIV/0!</v>
      </c>
      <c r="J555" s="3">
        <f>D555/(VLOOKUP(B555,'2024 Team'!$B$2:$G$33,2,FALSE))</f>
        <v>0</v>
      </c>
      <c r="L555" t="s">
        <v>417</v>
      </c>
    </row>
    <row r="556" spans="1:12" x14ac:dyDescent="0.25">
      <c r="A556" t="s">
        <v>122</v>
      </c>
      <c r="B556" t="s">
        <v>32</v>
      </c>
      <c r="C556" t="s">
        <v>82</v>
      </c>
      <c r="D556" s="4" t="s">
        <v>417</v>
      </c>
      <c r="E556" s="4" t="s">
        <v>417</v>
      </c>
      <c r="F556" s="4" t="s">
        <v>417</v>
      </c>
      <c r="H556" t="s">
        <v>417</v>
      </c>
      <c r="I556" s="3" t="e">
        <f t="shared" si="8"/>
        <v>#DIV/0!</v>
      </c>
      <c r="J556" s="3">
        <f>D556/(VLOOKUP(B556,'2024 Team'!$B$2:$G$33,2,FALSE))</f>
        <v>0</v>
      </c>
      <c r="L556" t="s">
        <v>417</v>
      </c>
    </row>
    <row r="557" spans="1:12" x14ac:dyDescent="0.25">
      <c r="A557" t="s">
        <v>144</v>
      </c>
      <c r="B557" t="s">
        <v>50</v>
      </c>
      <c r="C557" t="s">
        <v>82</v>
      </c>
      <c r="D557" s="4" t="s">
        <v>417</v>
      </c>
      <c r="E557" s="4" t="s">
        <v>417</v>
      </c>
      <c r="F557" s="4" t="s">
        <v>417</v>
      </c>
      <c r="H557" t="s">
        <v>417</v>
      </c>
      <c r="I557" s="3" t="e">
        <f t="shared" si="8"/>
        <v>#DIV/0!</v>
      </c>
      <c r="J557" s="3">
        <f>D557/(VLOOKUP(B557,'2024 Team'!$B$2:$G$33,2,FALSE))</f>
        <v>0</v>
      </c>
      <c r="L557" t="s">
        <v>300</v>
      </c>
    </row>
    <row r="558" spans="1:12" x14ac:dyDescent="0.25">
      <c r="A558" t="s">
        <v>149</v>
      </c>
      <c r="B558" t="s">
        <v>40</v>
      </c>
      <c r="C558" t="s">
        <v>82</v>
      </c>
      <c r="D558" s="4" t="s">
        <v>417</v>
      </c>
      <c r="E558" s="4" t="s">
        <v>417</v>
      </c>
      <c r="F558" s="4" t="s">
        <v>417</v>
      </c>
      <c r="H558" t="s">
        <v>417</v>
      </c>
      <c r="I558" s="3" t="e">
        <f t="shared" si="8"/>
        <v>#DIV/0!</v>
      </c>
      <c r="J558" s="3">
        <f>D558/(VLOOKUP(B558,'2024 Team'!$B$2:$G$33,2,FALSE))</f>
        <v>0</v>
      </c>
      <c r="L558" t="s">
        <v>247</v>
      </c>
    </row>
    <row r="559" spans="1:12" x14ac:dyDescent="0.25">
      <c r="A559" t="s">
        <v>720</v>
      </c>
      <c r="B559" t="s">
        <v>38</v>
      </c>
      <c r="C559" t="s">
        <v>163</v>
      </c>
      <c r="D559" s="4" t="s">
        <v>314</v>
      </c>
      <c r="E559" s="4" t="s">
        <v>417</v>
      </c>
      <c r="F559" s="4" t="s">
        <v>417</v>
      </c>
      <c r="H559" t="s">
        <v>417</v>
      </c>
      <c r="I559" s="3" t="e">
        <f t="shared" si="8"/>
        <v>#DIV/0!</v>
      </c>
      <c r="J559" s="3">
        <f>D559/(VLOOKUP(B559,'2024 Team'!$B$2:$G$33,2,FALSE))</f>
        <v>5.0000000000000001E-3</v>
      </c>
      <c r="K559" t="s">
        <v>504</v>
      </c>
      <c r="L559" t="s">
        <v>417</v>
      </c>
    </row>
    <row r="560" spans="1:12" x14ac:dyDescent="0.25">
      <c r="A560" t="s">
        <v>155</v>
      </c>
      <c r="B560" t="s">
        <v>48</v>
      </c>
      <c r="C560" t="s">
        <v>82</v>
      </c>
      <c r="D560" s="4" t="s">
        <v>417</v>
      </c>
      <c r="E560" s="4" t="s">
        <v>417</v>
      </c>
      <c r="F560" s="4" t="s">
        <v>417</v>
      </c>
      <c r="H560" t="s">
        <v>417</v>
      </c>
      <c r="I560" s="3" t="e">
        <f t="shared" si="8"/>
        <v>#DIV/0!</v>
      </c>
      <c r="J560" s="3">
        <f>D560/(VLOOKUP(B560,'2024 Team'!$B$2:$G$33,2,FALSE))</f>
        <v>0</v>
      </c>
      <c r="L560" t="s">
        <v>417</v>
      </c>
    </row>
    <row r="561" spans="1:12" x14ac:dyDescent="0.25">
      <c r="A561" t="s">
        <v>121</v>
      </c>
      <c r="B561" t="s">
        <v>8</v>
      </c>
      <c r="C561" t="s">
        <v>82</v>
      </c>
      <c r="D561" s="4" t="s">
        <v>417</v>
      </c>
      <c r="E561" s="4" t="s">
        <v>417</v>
      </c>
      <c r="F561" s="4" t="s">
        <v>417</v>
      </c>
      <c r="H561" t="s">
        <v>417</v>
      </c>
      <c r="I561" s="3" t="e">
        <f t="shared" si="8"/>
        <v>#DIV/0!</v>
      </c>
      <c r="J561" s="3">
        <f>D561/(VLOOKUP(B561,'2024 Team'!$B$2:$G$33,2,FALSE))</f>
        <v>0</v>
      </c>
      <c r="L561" t="s">
        <v>225</v>
      </c>
    </row>
    <row r="562" spans="1:12" x14ac:dyDescent="0.25">
      <c r="A562" t="s">
        <v>145</v>
      </c>
      <c r="B562" t="s">
        <v>40</v>
      </c>
      <c r="C562" t="s">
        <v>82</v>
      </c>
      <c r="D562" s="4" t="s">
        <v>417</v>
      </c>
      <c r="E562" s="4" t="s">
        <v>417</v>
      </c>
      <c r="F562" s="4" t="s">
        <v>417</v>
      </c>
      <c r="H562" t="s">
        <v>417</v>
      </c>
      <c r="I562" s="3" t="e">
        <f t="shared" si="8"/>
        <v>#DIV/0!</v>
      </c>
      <c r="J562" s="3">
        <f>D562/(VLOOKUP(B562,'2024 Team'!$B$2:$G$33,2,FALSE))</f>
        <v>0</v>
      </c>
      <c r="L562" t="s">
        <v>289</v>
      </c>
    </row>
    <row r="563" spans="1:12" x14ac:dyDescent="0.25">
      <c r="A563" t="s">
        <v>134</v>
      </c>
      <c r="B563" t="s">
        <v>38</v>
      </c>
      <c r="C563" t="s">
        <v>82</v>
      </c>
      <c r="D563" s="4" t="s">
        <v>417</v>
      </c>
      <c r="E563" s="4" t="s">
        <v>417</v>
      </c>
      <c r="F563" s="4" t="s">
        <v>417</v>
      </c>
      <c r="H563" t="s">
        <v>417</v>
      </c>
      <c r="I563" s="3" t="e">
        <f t="shared" si="8"/>
        <v>#DIV/0!</v>
      </c>
      <c r="J563" s="3">
        <f>D563/(VLOOKUP(B563,'2024 Team'!$B$2:$G$33,2,FALSE))</f>
        <v>0</v>
      </c>
      <c r="L563" t="s">
        <v>300</v>
      </c>
    </row>
    <row r="564" spans="1:12" x14ac:dyDescent="0.25">
      <c r="A564" t="s">
        <v>109</v>
      </c>
      <c r="B564" t="s">
        <v>10</v>
      </c>
      <c r="C564" t="s">
        <v>82</v>
      </c>
      <c r="D564" s="4" t="s">
        <v>417</v>
      </c>
      <c r="E564" s="4" t="s">
        <v>417</v>
      </c>
      <c r="F564" s="4" t="s">
        <v>417</v>
      </c>
      <c r="H564" t="s">
        <v>417</v>
      </c>
      <c r="I564" s="3" t="e">
        <f t="shared" si="8"/>
        <v>#DIV/0!</v>
      </c>
      <c r="J564" s="3">
        <f>D564/(VLOOKUP(B564,'2024 Team'!$B$2:$G$33,2,FALSE))</f>
        <v>0</v>
      </c>
      <c r="L564" t="s">
        <v>289</v>
      </c>
    </row>
    <row r="565" spans="1:12" x14ac:dyDescent="0.25">
      <c r="A565" t="s">
        <v>2166</v>
      </c>
      <c r="B565" t="s">
        <v>50</v>
      </c>
      <c r="C565" t="s">
        <v>755</v>
      </c>
      <c r="D565" s="4" t="s">
        <v>417</v>
      </c>
      <c r="E565" s="4" t="s">
        <v>417</v>
      </c>
      <c r="F565" s="4" t="s">
        <v>417</v>
      </c>
      <c r="H565" t="s">
        <v>417</v>
      </c>
      <c r="I565" s="3" t="e">
        <f t="shared" ref="I565:I628" si="9">H565/E565</f>
        <v>#DIV/0!</v>
      </c>
      <c r="J565" s="3">
        <f>D565/(VLOOKUP(B565,'2024 Team'!$B$2:$G$33,2,FALSE))</f>
        <v>0</v>
      </c>
      <c r="L565" t="s">
        <v>417</v>
      </c>
    </row>
    <row r="566" spans="1:12" x14ac:dyDescent="0.25">
      <c r="A566" t="s">
        <v>138</v>
      </c>
      <c r="B566" t="s">
        <v>58</v>
      </c>
      <c r="C566" t="s">
        <v>82</v>
      </c>
      <c r="D566" s="4" t="s">
        <v>417</v>
      </c>
      <c r="E566" s="4" t="s">
        <v>417</v>
      </c>
      <c r="F566" s="4" t="s">
        <v>417</v>
      </c>
      <c r="H566" t="s">
        <v>417</v>
      </c>
      <c r="I566" s="3" t="e">
        <f t="shared" si="9"/>
        <v>#DIV/0!</v>
      </c>
      <c r="J566" s="3">
        <f>D566/(VLOOKUP(B566,'2024 Team'!$B$2:$G$33,2,FALSE))</f>
        <v>0</v>
      </c>
      <c r="L566" t="s">
        <v>300</v>
      </c>
    </row>
    <row r="567" spans="1:12" x14ac:dyDescent="0.25">
      <c r="A567" t="s">
        <v>2202</v>
      </c>
      <c r="B567" t="s">
        <v>60</v>
      </c>
      <c r="C567" t="s">
        <v>647</v>
      </c>
      <c r="D567" s="4" t="s">
        <v>300</v>
      </c>
      <c r="E567" s="4" t="s">
        <v>417</v>
      </c>
      <c r="F567" s="4" t="s">
        <v>417</v>
      </c>
      <c r="H567" t="s">
        <v>417</v>
      </c>
      <c r="I567" s="3" t="e">
        <f t="shared" si="9"/>
        <v>#DIV/0!</v>
      </c>
      <c r="J567" s="3">
        <f>D567/(VLOOKUP(B567,'2024 Team'!$B$2:$G$33,2,FALSE))</f>
        <v>2.004008016032064E-3</v>
      </c>
      <c r="K567" t="s">
        <v>504</v>
      </c>
      <c r="L567" t="s">
        <v>417</v>
      </c>
    </row>
    <row r="568" spans="1:12" x14ac:dyDescent="0.25">
      <c r="A568" t="s">
        <v>612</v>
      </c>
      <c r="B568" t="s">
        <v>52</v>
      </c>
      <c r="C568" t="s">
        <v>613</v>
      </c>
      <c r="D568" s="4" t="s">
        <v>229</v>
      </c>
      <c r="E568" s="4" t="s">
        <v>417</v>
      </c>
      <c r="F568" s="4" t="s">
        <v>417</v>
      </c>
      <c r="H568" t="s">
        <v>417</v>
      </c>
      <c r="I568" s="3" t="e">
        <f t="shared" si="9"/>
        <v>#DIV/0!</v>
      </c>
      <c r="J568" s="3">
        <f>D568/(VLOOKUP(B568,'2024 Team'!$B$2:$G$33,2,FALSE))</f>
        <v>7.2595281306715061E-3</v>
      </c>
      <c r="K568" t="s">
        <v>504</v>
      </c>
      <c r="L568" t="s">
        <v>417</v>
      </c>
    </row>
    <row r="569" spans="1:12" x14ac:dyDescent="0.25">
      <c r="A569" t="s">
        <v>83</v>
      </c>
      <c r="B569" t="s">
        <v>24</v>
      </c>
      <c r="C569" t="s">
        <v>82</v>
      </c>
      <c r="D569" s="4" t="s">
        <v>417</v>
      </c>
      <c r="E569" s="4" t="s">
        <v>417</v>
      </c>
      <c r="F569" s="4" t="s">
        <v>417</v>
      </c>
      <c r="H569" t="s">
        <v>417</v>
      </c>
      <c r="I569" s="3" t="e">
        <f t="shared" si="9"/>
        <v>#DIV/0!</v>
      </c>
      <c r="J569" s="3">
        <f>D569/(VLOOKUP(B569,'2024 Team'!$B$2:$G$33,2,FALSE))</f>
        <v>0</v>
      </c>
      <c r="L569" t="s">
        <v>229</v>
      </c>
    </row>
    <row r="570" spans="1:12" x14ac:dyDescent="0.25">
      <c r="A570" t="s">
        <v>2204</v>
      </c>
      <c r="B570" t="s">
        <v>62</v>
      </c>
      <c r="C570" t="s">
        <v>2205</v>
      </c>
      <c r="D570" s="4" t="s">
        <v>417</v>
      </c>
      <c r="E570" s="4" t="s">
        <v>417</v>
      </c>
      <c r="F570" s="4" t="s">
        <v>687</v>
      </c>
      <c r="H570" t="s">
        <v>417</v>
      </c>
      <c r="I570" s="3" t="e">
        <f t="shared" si="9"/>
        <v>#DIV/0!</v>
      </c>
      <c r="J570" s="3">
        <f>D570/(VLOOKUP(B570,'2024 Team'!$B$2:$G$33,2,FALSE))</f>
        <v>0</v>
      </c>
      <c r="L570" t="s">
        <v>417</v>
      </c>
    </row>
    <row r="571" spans="1:12" x14ac:dyDescent="0.25">
      <c r="A571" t="s">
        <v>108</v>
      </c>
      <c r="B571" t="s">
        <v>62</v>
      </c>
      <c r="C571" t="s">
        <v>82</v>
      </c>
      <c r="D571" s="4" t="s">
        <v>417</v>
      </c>
      <c r="E571" s="4" t="s">
        <v>417</v>
      </c>
      <c r="F571" s="4" t="s">
        <v>417</v>
      </c>
      <c r="H571" t="s">
        <v>417</v>
      </c>
      <c r="I571" s="3" t="e">
        <f t="shared" si="9"/>
        <v>#DIV/0!</v>
      </c>
      <c r="J571" s="3">
        <f>D571/(VLOOKUP(B571,'2024 Team'!$B$2:$G$33,2,FALSE))</f>
        <v>0</v>
      </c>
      <c r="L571" t="s">
        <v>207</v>
      </c>
    </row>
    <row r="572" spans="1:12" x14ac:dyDescent="0.25">
      <c r="A572" t="s">
        <v>112</v>
      </c>
      <c r="B572" t="s">
        <v>52</v>
      </c>
      <c r="C572" t="s">
        <v>82</v>
      </c>
      <c r="D572" s="4" t="s">
        <v>417</v>
      </c>
      <c r="E572" s="4" t="s">
        <v>417</v>
      </c>
      <c r="F572" s="4" t="s">
        <v>417</v>
      </c>
      <c r="H572" t="s">
        <v>417</v>
      </c>
      <c r="I572" s="3" t="e">
        <f t="shared" si="9"/>
        <v>#DIV/0!</v>
      </c>
      <c r="J572" s="3">
        <f>D572/(VLOOKUP(B572,'2024 Team'!$B$2:$G$33,2,FALSE))</f>
        <v>0</v>
      </c>
      <c r="L572" t="s">
        <v>220</v>
      </c>
    </row>
    <row r="573" spans="1:12" x14ac:dyDescent="0.25">
      <c r="A573" t="s">
        <v>1574</v>
      </c>
      <c r="B573" t="s">
        <v>28</v>
      </c>
      <c r="C573" t="s">
        <v>186</v>
      </c>
      <c r="D573" s="4" t="s">
        <v>417</v>
      </c>
      <c r="E573" s="4" t="s">
        <v>417</v>
      </c>
      <c r="F573" s="4" t="s">
        <v>417</v>
      </c>
      <c r="H573" t="s">
        <v>417</v>
      </c>
      <c r="I573" s="3" t="e">
        <f t="shared" si="9"/>
        <v>#DIV/0!</v>
      </c>
      <c r="J573" s="3">
        <f>D573/(VLOOKUP(B573,'2024 Team'!$B$2:$G$33,2,FALSE))</f>
        <v>0</v>
      </c>
      <c r="L573" t="s">
        <v>417</v>
      </c>
    </row>
    <row r="574" spans="1:12" x14ac:dyDescent="0.25">
      <c r="A574" t="s">
        <v>1553</v>
      </c>
      <c r="B574" t="s">
        <v>40</v>
      </c>
      <c r="C574" t="s">
        <v>82</v>
      </c>
      <c r="D574" s="4" t="s">
        <v>417</v>
      </c>
      <c r="E574" s="4" t="s">
        <v>417</v>
      </c>
      <c r="F574" s="4" t="s">
        <v>417</v>
      </c>
      <c r="H574" t="s">
        <v>417</v>
      </c>
      <c r="I574" s="3" t="e">
        <f t="shared" si="9"/>
        <v>#DIV/0!</v>
      </c>
      <c r="J574" s="3">
        <f>D574/(VLOOKUP(B574,'2024 Team'!$B$2:$G$33,2,FALSE))</f>
        <v>0</v>
      </c>
      <c r="L574" t="s">
        <v>314</v>
      </c>
    </row>
    <row r="575" spans="1:12" x14ac:dyDescent="0.25">
      <c r="A575" t="s">
        <v>92</v>
      </c>
      <c r="B575" t="s">
        <v>56</v>
      </c>
      <c r="C575" t="s">
        <v>82</v>
      </c>
      <c r="D575" s="4" t="s">
        <v>417</v>
      </c>
      <c r="E575" s="4" t="s">
        <v>417</v>
      </c>
      <c r="F575" s="4" t="s">
        <v>417</v>
      </c>
      <c r="H575" t="s">
        <v>417</v>
      </c>
      <c r="I575" s="3" t="e">
        <f t="shared" si="9"/>
        <v>#DIV/0!</v>
      </c>
      <c r="J575" s="3">
        <f>D575/(VLOOKUP(B575,'2024 Team'!$B$2:$G$33,2,FALSE))</f>
        <v>0</v>
      </c>
      <c r="L575" t="s">
        <v>220</v>
      </c>
    </row>
    <row r="576" spans="1:12" x14ac:dyDescent="0.25">
      <c r="A576" t="s">
        <v>1841</v>
      </c>
      <c r="B576" t="s">
        <v>38</v>
      </c>
      <c r="C576" t="s">
        <v>163</v>
      </c>
      <c r="D576" s="4" t="s">
        <v>300</v>
      </c>
      <c r="E576" s="4" t="s">
        <v>417</v>
      </c>
      <c r="F576" s="4" t="s">
        <v>417</v>
      </c>
      <c r="H576" t="s">
        <v>417</v>
      </c>
      <c r="I576" s="3" t="e">
        <f t="shared" si="9"/>
        <v>#DIV/0!</v>
      </c>
      <c r="J576" s="3">
        <f>D576/(VLOOKUP(B576,'2024 Team'!$B$2:$G$33,2,FALSE))</f>
        <v>1.6666666666666668E-3</v>
      </c>
      <c r="K576" t="s">
        <v>504</v>
      </c>
      <c r="L576" t="s">
        <v>417</v>
      </c>
    </row>
    <row r="577" spans="1:12" x14ac:dyDescent="0.25">
      <c r="A577" t="s">
        <v>137</v>
      </c>
      <c r="B577" t="s">
        <v>68</v>
      </c>
      <c r="C577" t="s">
        <v>82</v>
      </c>
      <c r="D577" s="4" t="s">
        <v>417</v>
      </c>
      <c r="E577" s="4" t="s">
        <v>417</v>
      </c>
      <c r="F577" s="4" t="s">
        <v>417</v>
      </c>
      <c r="H577" t="s">
        <v>417</v>
      </c>
      <c r="I577" s="3" t="e">
        <f t="shared" si="9"/>
        <v>#DIV/0!</v>
      </c>
      <c r="J577" s="3">
        <f>D577/(VLOOKUP(B577,'2024 Team'!$B$2:$G$33,2,FALSE))</f>
        <v>0</v>
      </c>
      <c r="L577" t="s">
        <v>220</v>
      </c>
    </row>
    <row r="578" spans="1:12" x14ac:dyDescent="0.25">
      <c r="A578" t="s">
        <v>136</v>
      </c>
      <c r="B578" t="s">
        <v>24</v>
      </c>
      <c r="C578" t="s">
        <v>82</v>
      </c>
      <c r="D578" s="4" t="s">
        <v>417</v>
      </c>
      <c r="E578" s="4" t="s">
        <v>417</v>
      </c>
      <c r="F578" s="4" t="s">
        <v>417</v>
      </c>
      <c r="H578" t="s">
        <v>417</v>
      </c>
      <c r="I578" s="3" t="e">
        <f t="shared" si="9"/>
        <v>#DIV/0!</v>
      </c>
      <c r="J578" s="3">
        <f>D578/(VLOOKUP(B578,'2024 Team'!$B$2:$G$33,2,FALSE))</f>
        <v>0</v>
      </c>
      <c r="L578" t="s">
        <v>270</v>
      </c>
    </row>
    <row r="579" spans="1:12" x14ac:dyDescent="0.25">
      <c r="A579" t="s">
        <v>2084</v>
      </c>
      <c r="B579" t="s">
        <v>42</v>
      </c>
      <c r="C579" t="s">
        <v>165</v>
      </c>
      <c r="D579" s="4" t="s">
        <v>417</v>
      </c>
      <c r="E579" s="4" t="s">
        <v>417</v>
      </c>
      <c r="F579" s="4" t="s">
        <v>417</v>
      </c>
      <c r="H579" t="s">
        <v>417</v>
      </c>
      <c r="I579" s="3" t="e">
        <f t="shared" si="9"/>
        <v>#DIV/0!</v>
      </c>
      <c r="J579" s="3">
        <f>D579/(VLOOKUP(B579,'2024 Team'!$B$2:$G$33,2,FALSE))</f>
        <v>0</v>
      </c>
      <c r="L579" t="s">
        <v>300</v>
      </c>
    </row>
    <row r="580" spans="1:12" x14ac:dyDescent="0.25">
      <c r="A580" t="s">
        <v>2146</v>
      </c>
      <c r="B580" t="s">
        <v>60</v>
      </c>
      <c r="C580" t="s">
        <v>159</v>
      </c>
      <c r="D580" s="4" t="s">
        <v>417</v>
      </c>
      <c r="E580" s="4" t="s">
        <v>417</v>
      </c>
      <c r="F580" s="4" t="s">
        <v>417</v>
      </c>
      <c r="H580" t="s">
        <v>417</v>
      </c>
      <c r="I580" s="3" t="e">
        <f t="shared" si="9"/>
        <v>#DIV/0!</v>
      </c>
      <c r="J580" s="3">
        <f>D580/(VLOOKUP(B580,'2024 Team'!$B$2:$G$33,2,FALSE))</f>
        <v>0</v>
      </c>
      <c r="L580" t="s">
        <v>417</v>
      </c>
    </row>
    <row r="581" spans="1:12" x14ac:dyDescent="0.25">
      <c r="A581" t="s">
        <v>798</v>
      </c>
      <c r="B581" t="s">
        <v>32</v>
      </c>
      <c r="C581" t="s">
        <v>163</v>
      </c>
      <c r="D581" s="4" t="s">
        <v>417</v>
      </c>
      <c r="E581" s="4" t="s">
        <v>417</v>
      </c>
      <c r="F581" s="4" t="s">
        <v>417</v>
      </c>
      <c r="H581" t="s">
        <v>417</v>
      </c>
      <c r="I581" s="3" t="e">
        <f t="shared" si="9"/>
        <v>#DIV/0!</v>
      </c>
      <c r="J581" s="3">
        <f>D581/(VLOOKUP(B581,'2024 Team'!$B$2:$G$33,2,FALSE))</f>
        <v>0</v>
      </c>
      <c r="L581" t="s">
        <v>289</v>
      </c>
    </row>
    <row r="582" spans="1:12" x14ac:dyDescent="0.25">
      <c r="A582" t="s">
        <v>99</v>
      </c>
      <c r="B582" t="s">
        <v>64</v>
      </c>
      <c r="C582" t="s">
        <v>82</v>
      </c>
      <c r="D582" s="4" t="s">
        <v>417</v>
      </c>
      <c r="E582" s="4" t="s">
        <v>417</v>
      </c>
      <c r="F582" s="4" t="s">
        <v>417</v>
      </c>
      <c r="H582" t="s">
        <v>417</v>
      </c>
      <c r="I582" s="3" t="e">
        <f t="shared" si="9"/>
        <v>#DIV/0!</v>
      </c>
      <c r="J582" s="3">
        <f>D582/(VLOOKUP(B582,'2024 Team'!$B$2:$G$33,2,FALSE))</f>
        <v>0</v>
      </c>
      <c r="L582" t="s">
        <v>270</v>
      </c>
    </row>
    <row r="583" spans="1:12" x14ac:dyDescent="0.25">
      <c r="A583" t="s">
        <v>84</v>
      </c>
      <c r="B583" t="s">
        <v>44</v>
      </c>
      <c r="C583" t="s">
        <v>82</v>
      </c>
      <c r="D583" s="4" t="s">
        <v>417</v>
      </c>
      <c r="E583" s="4" t="s">
        <v>417</v>
      </c>
      <c r="F583" s="4" t="s">
        <v>417</v>
      </c>
      <c r="H583" t="s">
        <v>417</v>
      </c>
      <c r="I583" s="3" t="e">
        <f t="shared" si="9"/>
        <v>#DIV/0!</v>
      </c>
      <c r="J583" s="3">
        <f>D583/(VLOOKUP(B583,'2024 Team'!$B$2:$G$33,2,FALSE))</f>
        <v>0</v>
      </c>
      <c r="L583" t="s">
        <v>247</v>
      </c>
    </row>
    <row r="584" spans="1:12" x14ac:dyDescent="0.25">
      <c r="A584" t="s">
        <v>782</v>
      </c>
      <c r="B584" t="s">
        <v>26</v>
      </c>
      <c r="C584" t="s">
        <v>82</v>
      </c>
      <c r="D584" s="4" t="s">
        <v>417</v>
      </c>
      <c r="E584" s="4" t="s">
        <v>417</v>
      </c>
      <c r="F584" s="4" t="s">
        <v>417</v>
      </c>
      <c r="H584" t="s">
        <v>417</v>
      </c>
      <c r="I584" s="3" t="e">
        <f t="shared" si="9"/>
        <v>#DIV/0!</v>
      </c>
      <c r="J584" s="3">
        <f>D584/(VLOOKUP(B584,'2024 Team'!$B$2:$G$33,2,FALSE))</f>
        <v>0</v>
      </c>
      <c r="L584" t="s">
        <v>417</v>
      </c>
    </row>
    <row r="585" spans="1:12" x14ac:dyDescent="0.25">
      <c r="A585" t="s">
        <v>101</v>
      </c>
      <c r="B585" t="s">
        <v>32</v>
      </c>
      <c r="C585" t="s">
        <v>82</v>
      </c>
      <c r="D585" s="4" t="s">
        <v>300</v>
      </c>
      <c r="E585" s="4" t="s">
        <v>417</v>
      </c>
      <c r="F585" s="4" t="s">
        <v>417</v>
      </c>
      <c r="H585" t="s">
        <v>417</v>
      </c>
      <c r="I585" s="3" t="e">
        <f t="shared" si="9"/>
        <v>#DIV/0!</v>
      </c>
      <c r="J585" s="3">
        <f>D585/(VLOOKUP(B585,'2024 Team'!$B$2:$G$33,2,FALSE))</f>
        <v>1.7543859649122807E-3</v>
      </c>
      <c r="K585" t="s">
        <v>504</v>
      </c>
      <c r="L585" t="s">
        <v>247</v>
      </c>
    </row>
    <row r="586" spans="1:12" x14ac:dyDescent="0.25">
      <c r="A586" t="s">
        <v>1850</v>
      </c>
      <c r="B586" t="s">
        <v>16</v>
      </c>
      <c r="C586" t="s">
        <v>153</v>
      </c>
      <c r="D586" s="4" t="s">
        <v>300</v>
      </c>
      <c r="E586" s="4" t="s">
        <v>417</v>
      </c>
      <c r="F586" s="4" t="s">
        <v>417</v>
      </c>
      <c r="H586" t="s">
        <v>417</v>
      </c>
      <c r="I586" s="3" t="e">
        <f t="shared" si="9"/>
        <v>#DIV/0!</v>
      </c>
      <c r="J586" s="3">
        <f>D586/(VLOOKUP(B586,'2024 Team'!$B$2:$G$33,2,FALSE))</f>
        <v>1.8281535648994515E-3</v>
      </c>
      <c r="K586" t="s">
        <v>504</v>
      </c>
      <c r="L586" t="s">
        <v>417</v>
      </c>
    </row>
    <row r="587" spans="1:12" x14ac:dyDescent="0.25">
      <c r="A587" t="s">
        <v>103</v>
      </c>
      <c r="B587" t="s">
        <v>46</v>
      </c>
      <c r="C587" t="s">
        <v>82</v>
      </c>
      <c r="D587" s="4" t="s">
        <v>417</v>
      </c>
      <c r="E587" s="4" t="s">
        <v>417</v>
      </c>
      <c r="F587" s="4" t="s">
        <v>417</v>
      </c>
      <c r="H587" t="s">
        <v>417</v>
      </c>
      <c r="I587" s="3" t="e">
        <f t="shared" si="9"/>
        <v>#DIV/0!</v>
      </c>
      <c r="J587" s="3">
        <f>D587/(VLOOKUP(B587,'2024 Team'!$B$2:$G$33,2,FALSE))</f>
        <v>0</v>
      </c>
      <c r="L587" t="s">
        <v>207</v>
      </c>
    </row>
    <row r="588" spans="1:12" x14ac:dyDescent="0.25">
      <c r="A588" t="s">
        <v>124</v>
      </c>
      <c r="B588" t="s">
        <v>56</v>
      </c>
      <c r="C588" t="s">
        <v>82</v>
      </c>
      <c r="D588" s="4" t="s">
        <v>417</v>
      </c>
      <c r="E588" s="4" t="s">
        <v>417</v>
      </c>
      <c r="F588" s="4" t="s">
        <v>417</v>
      </c>
      <c r="H588" t="s">
        <v>417</v>
      </c>
      <c r="I588" s="3" t="e">
        <f t="shared" si="9"/>
        <v>#DIV/0!</v>
      </c>
      <c r="J588" s="3">
        <f>D588/(VLOOKUP(B588,'2024 Team'!$B$2:$G$33,2,FALSE))</f>
        <v>0</v>
      </c>
      <c r="L588" t="s">
        <v>300</v>
      </c>
    </row>
    <row r="589" spans="1:12" x14ac:dyDescent="0.25">
      <c r="A589" t="s">
        <v>2169</v>
      </c>
      <c r="B589" t="s">
        <v>66</v>
      </c>
      <c r="C589" t="s">
        <v>647</v>
      </c>
      <c r="D589" s="4" t="s">
        <v>417</v>
      </c>
      <c r="E589" s="4" t="s">
        <v>417</v>
      </c>
      <c r="F589" s="4" t="s">
        <v>417</v>
      </c>
      <c r="H589" t="s">
        <v>417</v>
      </c>
      <c r="I589" s="3" t="e">
        <f t="shared" si="9"/>
        <v>#DIV/0!</v>
      </c>
      <c r="J589" s="3">
        <f>D589/(VLOOKUP(B589,'2024 Team'!$B$2:$G$33,2,FALSE))</f>
        <v>0</v>
      </c>
      <c r="L589" t="s">
        <v>417</v>
      </c>
    </row>
    <row r="590" spans="1:12" x14ac:dyDescent="0.25">
      <c r="A590" t="s">
        <v>2078</v>
      </c>
      <c r="B590" t="s">
        <v>46</v>
      </c>
      <c r="C590" t="s">
        <v>82</v>
      </c>
      <c r="D590" s="4" t="s">
        <v>417</v>
      </c>
      <c r="E590" s="4" t="s">
        <v>417</v>
      </c>
      <c r="F590" s="4" t="s">
        <v>417</v>
      </c>
      <c r="H590" t="s">
        <v>417</v>
      </c>
      <c r="I590" s="3" t="e">
        <f t="shared" si="9"/>
        <v>#DIV/0!</v>
      </c>
      <c r="J590" s="3">
        <f>D590/(VLOOKUP(B590,'2024 Team'!$B$2:$G$33,2,FALSE))</f>
        <v>0</v>
      </c>
      <c r="L590" t="s">
        <v>289</v>
      </c>
    </row>
    <row r="591" spans="1:12" x14ac:dyDescent="0.25">
      <c r="A591" t="s">
        <v>1563</v>
      </c>
      <c r="B591" t="s">
        <v>22</v>
      </c>
      <c r="C591" t="s">
        <v>82</v>
      </c>
      <c r="D591" s="4" t="s">
        <v>417</v>
      </c>
      <c r="E591" s="4" t="s">
        <v>417</v>
      </c>
      <c r="F591" s="4" t="s">
        <v>417</v>
      </c>
      <c r="H591" t="s">
        <v>417</v>
      </c>
      <c r="I591" s="3" t="e">
        <f t="shared" si="9"/>
        <v>#DIV/0!</v>
      </c>
      <c r="J591" s="3">
        <f>D591/(VLOOKUP(B591,'2024 Team'!$B$2:$G$33,2,FALSE))</f>
        <v>0</v>
      </c>
      <c r="L591" t="s">
        <v>314</v>
      </c>
    </row>
    <row r="592" spans="1:12" x14ac:dyDescent="0.25">
      <c r="A592" t="s">
        <v>1586</v>
      </c>
      <c r="B592" t="s">
        <v>22</v>
      </c>
      <c r="C592" t="s">
        <v>163</v>
      </c>
      <c r="D592" s="4" t="s">
        <v>300</v>
      </c>
      <c r="E592" s="4" t="s">
        <v>417</v>
      </c>
      <c r="F592" s="4" t="s">
        <v>417</v>
      </c>
      <c r="H592" t="s">
        <v>417</v>
      </c>
      <c r="I592" s="3" t="e">
        <f t="shared" si="9"/>
        <v>#DIV/0!</v>
      </c>
      <c r="J592" s="3">
        <f>D592/(VLOOKUP(B592,'2024 Team'!$B$2:$G$33,2,FALSE))</f>
        <v>1.5128593040847202E-3</v>
      </c>
      <c r="K592" t="s">
        <v>504</v>
      </c>
      <c r="L592" t="s">
        <v>300</v>
      </c>
    </row>
    <row r="593" spans="1:12" x14ac:dyDescent="0.25">
      <c r="A593" t="s">
        <v>1587</v>
      </c>
      <c r="B593" t="s">
        <v>66</v>
      </c>
      <c r="C593" t="s">
        <v>82</v>
      </c>
      <c r="D593" s="4" t="s">
        <v>417</v>
      </c>
      <c r="E593" s="4" t="s">
        <v>417</v>
      </c>
      <c r="F593" s="4" t="s">
        <v>417</v>
      </c>
      <c r="H593" t="s">
        <v>417</v>
      </c>
      <c r="I593" s="3" t="e">
        <f t="shared" si="9"/>
        <v>#DIV/0!</v>
      </c>
      <c r="J593" s="3">
        <f>D593/(VLOOKUP(B593,'2024 Team'!$B$2:$G$33,2,FALSE))</f>
        <v>0</v>
      </c>
      <c r="L593" t="s">
        <v>417</v>
      </c>
    </row>
    <row r="594" spans="1:12" x14ac:dyDescent="0.25">
      <c r="A594" t="s">
        <v>141</v>
      </c>
      <c r="B594" t="s">
        <v>14</v>
      </c>
      <c r="C594" t="s">
        <v>82</v>
      </c>
      <c r="D594" s="4" t="s">
        <v>417</v>
      </c>
      <c r="E594" s="4" t="s">
        <v>417</v>
      </c>
      <c r="F594" s="4" t="s">
        <v>417</v>
      </c>
      <c r="H594" t="s">
        <v>417</v>
      </c>
      <c r="I594" s="3" t="e">
        <f t="shared" si="9"/>
        <v>#DIV/0!</v>
      </c>
      <c r="J594" s="3">
        <f>D594/(VLOOKUP(B594,'2024 Team'!$B$2:$G$33,2,FALSE))</f>
        <v>0</v>
      </c>
      <c r="L594" t="s">
        <v>300</v>
      </c>
    </row>
    <row r="595" spans="1:12" x14ac:dyDescent="0.25">
      <c r="A595" t="s">
        <v>146</v>
      </c>
      <c r="B595" t="s">
        <v>8</v>
      </c>
      <c r="C595" t="s">
        <v>82</v>
      </c>
      <c r="D595" s="4" t="s">
        <v>417</v>
      </c>
      <c r="E595" s="4" t="s">
        <v>417</v>
      </c>
      <c r="F595" s="4" t="s">
        <v>417</v>
      </c>
      <c r="H595" t="s">
        <v>417</v>
      </c>
      <c r="I595" s="3" t="e">
        <f t="shared" si="9"/>
        <v>#DIV/0!</v>
      </c>
      <c r="J595" s="3">
        <f>D595/(VLOOKUP(B595,'2024 Team'!$B$2:$G$33,2,FALSE))</f>
        <v>0</v>
      </c>
      <c r="L595" t="s">
        <v>300</v>
      </c>
    </row>
    <row r="596" spans="1:12" x14ac:dyDescent="0.25">
      <c r="A596" t="s">
        <v>1690</v>
      </c>
      <c r="B596" t="s">
        <v>62</v>
      </c>
      <c r="C596" t="s">
        <v>159</v>
      </c>
      <c r="D596" s="4" t="s">
        <v>417</v>
      </c>
      <c r="E596" s="4" t="s">
        <v>417</v>
      </c>
      <c r="F596" s="4" t="s">
        <v>417</v>
      </c>
      <c r="H596" t="s">
        <v>417</v>
      </c>
      <c r="I596" s="3" t="e">
        <f t="shared" si="9"/>
        <v>#DIV/0!</v>
      </c>
      <c r="J596" s="3">
        <f>D596/(VLOOKUP(B596,'2024 Team'!$B$2:$G$33,2,FALSE))</f>
        <v>0</v>
      </c>
      <c r="L596" t="s">
        <v>417</v>
      </c>
    </row>
    <row r="597" spans="1:12" x14ac:dyDescent="0.25">
      <c r="A597" t="s">
        <v>1735</v>
      </c>
      <c r="B597" t="s">
        <v>60</v>
      </c>
      <c r="C597" t="s">
        <v>159</v>
      </c>
      <c r="D597" s="4" t="s">
        <v>417</v>
      </c>
      <c r="E597" s="4" t="s">
        <v>417</v>
      </c>
      <c r="F597" s="4" t="s">
        <v>417</v>
      </c>
      <c r="H597" t="s">
        <v>417</v>
      </c>
      <c r="I597" s="3" t="e">
        <f t="shared" si="9"/>
        <v>#DIV/0!</v>
      </c>
      <c r="J597" s="3">
        <f>D597/(VLOOKUP(B597,'2024 Team'!$B$2:$G$33,2,FALSE))</f>
        <v>0</v>
      </c>
      <c r="L597" t="s">
        <v>417</v>
      </c>
    </row>
    <row r="598" spans="1:12" x14ac:dyDescent="0.25">
      <c r="A598" t="s">
        <v>1558</v>
      </c>
      <c r="B598" t="s">
        <v>22</v>
      </c>
      <c r="C598" t="s">
        <v>82</v>
      </c>
      <c r="D598" s="4" t="s">
        <v>417</v>
      </c>
      <c r="E598" s="4" t="s">
        <v>417</v>
      </c>
      <c r="F598" s="4" t="s">
        <v>417</v>
      </c>
      <c r="H598" t="s">
        <v>417</v>
      </c>
      <c r="I598" s="3" t="e">
        <f t="shared" si="9"/>
        <v>#DIV/0!</v>
      </c>
      <c r="J598" s="3">
        <f>D598/(VLOOKUP(B598,'2024 Team'!$B$2:$G$33,2,FALSE))</f>
        <v>0</v>
      </c>
      <c r="L598" t="s">
        <v>220</v>
      </c>
    </row>
    <row r="599" spans="1:12" x14ac:dyDescent="0.25">
      <c r="A599" t="s">
        <v>799</v>
      </c>
      <c r="B599" t="s">
        <v>8</v>
      </c>
      <c r="C599" t="s">
        <v>163</v>
      </c>
      <c r="D599" s="4" t="s">
        <v>289</v>
      </c>
      <c r="E599" s="4" t="s">
        <v>417</v>
      </c>
      <c r="F599" s="4" t="s">
        <v>417</v>
      </c>
      <c r="H599" t="s">
        <v>417</v>
      </c>
      <c r="I599" s="3" t="e">
        <f t="shared" si="9"/>
        <v>#DIV/0!</v>
      </c>
      <c r="J599" s="3">
        <f>D599/(VLOOKUP(B599,'2024 Team'!$B$2:$G$33,2,FALSE))</f>
        <v>3.6832412523020259E-3</v>
      </c>
      <c r="K599" t="s">
        <v>504</v>
      </c>
      <c r="L599" t="s">
        <v>417</v>
      </c>
    </row>
    <row r="600" spans="1:12" x14ac:dyDescent="0.25">
      <c r="A600" t="s">
        <v>120</v>
      </c>
      <c r="B600" t="s">
        <v>38</v>
      </c>
      <c r="C600" t="s">
        <v>82</v>
      </c>
      <c r="D600" s="4" t="s">
        <v>417</v>
      </c>
      <c r="E600" s="4" t="s">
        <v>417</v>
      </c>
      <c r="F600" s="4" t="s">
        <v>417</v>
      </c>
      <c r="H600" t="s">
        <v>417</v>
      </c>
      <c r="I600" s="3" t="e">
        <f t="shared" si="9"/>
        <v>#DIV/0!</v>
      </c>
      <c r="J600" s="3">
        <f>D600/(VLOOKUP(B600,'2024 Team'!$B$2:$G$33,2,FALSE))</f>
        <v>0</v>
      </c>
      <c r="L600" t="s">
        <v>417</v>
      </c>
    </row>
    <row r="601" spans="1:12" x14ac:dyDescent="0.25">
      <c r="A601" t="s">
        <v>86</v>
      </c>
      <c r="B601" t="s">
        <v>18</v>
      </c>
      <c r="C601" t="s">
        <v>82</v>
      </c>
      <c r="D601" s="4" t="s">
        <v>417</v>
      </c>
      <c r="E601" s="4" t="s">
        <v>417</v>
      </c>
      <c r="F601" s="4" t="s">
        <v>417</v>
      </c>
      <c r="H601" t="s">
        <v>417</v>
      </c>
      <c r="I601" s="3" t="e">
        <f t="shared" si="9"/>
        <v>#DIV/0!</v>
      </c>
      <c r="J601" s="3">
        <f>D601/(VLOOKUP(B601,'2024 Team'!$B$2:$G$33,2,FALSE))</f>
        <v>0</v>
      </c>
      <c r="L601" t="s">
        <v>211</v>
      </c>
    </row>
    <row r="602" spans="1:12" x14ac:dyDescent="0.25">
      <c r="A602" t="s">
        <v>1021</v>
      </c>
      <c r="B602" t="s">
        <v>62</v>
      </c>
      <c r="C602" t="s">
        <v>153</v>
      </c>
      <c r="D602" s="4" t="s">
        <v>289</v>
      </c>
      <c r="E602" s="4" t="s">
        <v>417</v>
      </c>
      <c r="F602" s="4" t="s">
        <v>417</v>
      </c>
      <c r="H602" t="s">
        <v>417</v>
      </c>
      <c r="I602" s="3" t="e">
        <f t="shared" si="9"/>
        <v>#DIV/0!</v>
      </c>
      <c r="J602" s="3">
        <f>D602/(VLOOKUP(B602,'2024 Team'!$B$2:$G$33,2,FALSE))</f>
        <v>3.7523452157598499E-3</v>
      </c>
      <c r="K602" t="s">
        <v>504</v>
      </c>
      <c r="L602" t="s">
        <v>417</v>
      </c>
    </row>
    <row r="603" spans="1:12" x14ac:dyDescent="0.25">
      <c r="A603" t="s">
        <v>142</v>
      </c>
      <c r="B603" t="s">
        <v>30</v>
      </c>
      <c r="C603" t="s">
        <v>82</v>
      </c>
      <c r="D603" s="4" t="s">
        <v>417</v>
      </c>
      <c r="E603" s="4" t="s">
        <v>417</v>
      </c>
      <c r="F603" s="4" t="s">
        <v>417</v>
      </c>
      <c r="H603" t="s">
        <v>417</v>
      </c>
      <c r="I603" s="3" t="e">
        <f t="shared" si="9"/>
        <v>#DIV/0!</v>
      </c>
      <c r="J603" s="3">
        <f>D603/(VLOOKUP(B603,'2024 Team'!$B$2:$G$33,2,FALSE))</f>
        <v>0</v>
      </c>
      <c r="L603" t="s">
        <v>300</v>
      </c>
    </row>
    <row r="604" spans="1:12" x14ac:dyDescent="0.25">
      <c r="A604" t="s">
        <v>126</v>
      </c>
      <c r="B604" t="s">
        <v>60</v>
      </c>
      <c r="C604" t="s">
        <v>82</v>
      </c>
      <c r="D604" t="s">
        <v>417</v>
      </c>
      <c r="E604" t="s">
        <v>417</v>
      </c>
      <c r="F604" t="s">
        <v>417</v>
      </c>
      <c r="H604" t="s">
        <v>417</v>
      </c>
      <c r="I604" t="e">
        <f t="shared" si="9"/>
        <v>#DIV/0!</v>
      </c>
      <c r="J604">
        <f>D604/(VLOOKUP(B604,'2024 Team'!$B$2:$G$33,2,FALSE))</f>
        <v>0</v>
      </c>
      <c r="L604" t="s">
        <v>220</v>
      </c>
    </row>
    <row r="605" spans="1:12" x14ac:dyDescent="0.25">
      <c r="A605" t="s">
        <v>132</v>
      </c>
      <c r="B605" t="s">
        <v>22</v>
      </c>
      <c r="C605" t="s">
        <v>82</v>
      </c>
      <c r="D605" t="s">
        <v>417</v>
      </c>
      <c r="E605" t="s">
        <v>417</v>
      </c>
      <c r="F605" t="s">
        <v>417</v>
      </c>
      <c r="H605" t="s">
        <v>417</v>
      </c>
      <c r="I605" t="e">
        <f t="shared" si="9"/>
        <v>#DIV/0!</v>
      </c>
      <c r="J605">
        <f>D605/(VLOOKUP(B605,'2024 Team'!$B$2:$G$33,2,FALSE))</f>
        <v>0</v>
      </c>
      <c r="L605" t="s">
        <v>220</v>
      </c>
    </row>
    <row r="606" spans="1:12" x14ac:dyDescent="0.25">
      <c r="A606" t="s">
        <v>1028</v>
      </c>
      <c r="B606" t="s">
        <v>66</v>
      </c>
      <c r="C606" t="s">
        <v>2184</v>
      </c>
      <c r="D606" t="s">
        <v>417</v>
      </c>
      <c r="E606" t="s">
        <v>417</v>
      </c>
      <c r="F606" t="s">
        <v>270</v>
      </c>
      <c r="H606" t="s">
        <v>417</v>
      </c>
      <c r="I606" t="e">
        <f t="shared" si="9"/>
        <v>#DIV/0!</v>
      </c>
      <c r="J606">
        <f>D606/(VLOOKUP(B606,'2024 Team'!$B$2:$G$33,2,FALSE))</f>
        <v>0</v>
      </c>
      <c r="L606" t="s">
        <v>300</v>
      </c>
    </row>
    <row r="607" spans="1:12" x14ac:dyDescent="0.25">
      <c r="A607" t="s">
        <v>95</v>
      </c>
      <c r="B607" t="s">
        <v>16</v>
      </c>
      <c r="C607" t="s">
        <v>82</v>
      </c>
      <c r="D607" t="s">
        <v>417</v>
      </c>
      <c r="E607" t="s">
        <v>417</v>
      </c>
      <c r="F607" t="s">
        <v>417</v>
      </c>
      <c r="H607" t="s">
        <v>417</v>
      </c>
      <c r="I607" t="e">
        <f t="shared" si="9"/>
        <v>#DIV/0!</v>
      </c>
      <c r="J607">
        <f>D607/(VLOOKUP(B607,'2024 Team'!$B$2:$G$33,2,FALSE))</f>
        <v>0</v>
      </c>
      <c r="L607" t="s">
        <v>220</v>
      </c>
    </row>
    <row r="608" spans="1:12" x14ac:dyDescent="0.25">
      <c r="A608" t="s">
        <v>1013</v>
      </c>
      <c r="B608" t="s">
        <v>64</v>
      </c>
      <c r="C608" t="s">
        <v>163</v>
      </c>
      <c r="D608" t="s">
        <v>300</v>
      </c>
      <c r="E608" t="s">
        <v>417</v>
      </c>
      <c r="F608" t="s">
        <v>417</v>
      </c>
      <c r="H608" t="s">
        <v>417</v>
      </c>
      <c r="I608" t="e">
        <f t="shared" si="9"/>
        <v>#DIV/0!</v>
      </c>
      <c r="J608">
        <f>D608/(VLOOKUP(B608,'2024 Team'!$B$2:$G$33,2,FALSE))</f>
        <v>1.6863406408094434E-3</v>
      </c>
      <c r="K608" t="s">
        <v>504</v>
      </c>
      <c r="L608" t="s">
        <v>417</v>
      </c>
    </row>
    <row r="609" spans="1:12" x14ac:dyDescent="0.25">
      <c r="A609" t="s">
        <v>1556</v>
      </c>
      <c r="B609" t="s">
        <v>22</v>
      </c>
      <c r="C609" t="s">
        <v>82</v>
      </c>
      <c r="D609" t="s">
        <v>417</v>
      </c>
      <c r="E609" t="s">
        <v>417</v>
      </c>
      <c r="F609" t="s">
        <v>417</v>
      </c>
      <c r="H609" t="s">
        <v>417</v>
      </c>
      <c r="I609" t="e">
        <f t="shared" si="9"/>
        <v>#DIV/0!</v>
      </c>
      <c r="J609">
        <f>D609/(VLOOKUP(B609,'2024 Team'!$B$2:$G$33,2,FALSE))</f>
        <v>0</v>
      </c>
      <c r="L609" t="s">
        <v>417</v>
      </c>
    </row>
    <row r="610" spans="1:12" x14ac:dyDescent="0.25">
      <c r="A610" t="s">
        <v>1588</v>
      </c>
      <c r="D610"/>
      <c r="E610"/>
      <c r="F610"/>
      <c r="I610" t="e">
        <f t="shared" si="9"/>
        <v>#DIV/0!</v>
      </c>
      <c r="J610" t="e">
        <f>D610/(VLOOKUP(B610,'2024 Team'!$B$2:$G$33,2,FALSE))</f>
        <v>#N/A</v>
      </c>
      <c r="K610" t="s">
        <v>1373</v>
      </c>
    </row>
  </sheetData>
  <autoFilter ref="A1:L610" xr:uid="{0D093D13-F792-452C-A825-6435FD89545D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05"/>
  <sheetViews>
    <sheetView workbookViewId="0">
      <selection activeCell="A2" sqref="A2"/>
    </sheetView>
  </sheetViews>
  <sheetFormatPr defaultRowHeight="15" x14ac:dyDescent="0.25"/>
  <cols>
    <col min="1" max="1" width="24.28515625" customWidth="1"/>
    <col min="2" max="3" width="11.140625" customWidth="1"/>
    <col min="4" max="5" width="11.140625" style="4" customWidth="1"/>
    <col min="6" max="6" width="12.140625" style="4" customWidth="1"/>
    <col min="7" max="8" width="12.140625" customWidth="1"/>
    <col min="9" max="10" width="12.140625" style="3" customWidth="1"/>
    <col min="11" max="12" width="12.140625" customWidth="1"/>
  </cols>
  <sheetData>
    <row r="1" spans="1:12" x14ac:dyDescent="0.25">
      <c r="A1" t="s">
        <v>71</v>
      </c>
      <c r="B1" t="s">
        <v>0</v>
      </c>
      <c r="C1" s="1" t="s">
        <v>72</v>
      </c>
      <c r="D1" s="4" t="s">
        <v>1051</v>
      </c>
      <c r="E1" s="4" t="s">
        <v>1052</v>
      </c>
      <c r="F1" s="4" t="s">
        <v>76</v>
      </c>
      <c r="G1" t="s">
        <v>1053</v>
      </c>
      <c r="H1" t="s">
        <v>188</v>
      </c>
      <c r="I1" s="3" t="s">
        <v>189</v>
      </c>
      <c r="J1" s="3" t="s">
        <v>1054</v>
      </c>
      <c r="K1" t="s">
        <v>1055</v>
      </c>
      <c r="L1" t="s">
        <v>1056</v>
      </c>
    </row>
    <row r="2" spans="1:12" x14ac:dyDescent="0.25">
      <c r="A2" t="s">
        <v>785</v>
      </c>
      <c r="B2" t="s">
        <v>24</v>
      </c>
      <c r="C2" s="1" t="s">
        <v>163</v>
      </c>
      <c r="D2" s="4" t="s">
        <v>462</v>
      </c>
      <c r="E2" s="4" t="s">
        <v>1445</v>
      </c>
      <c r="F2" s="4" t="s">
        <v>1867</v>
      </c>
      <c r="G2" t="s">
        <v>1466</v>
      </c>
      <c r="H2" t="s">
        <v>198</v>
      </c>
      <c r="I2" s="3">
        <f t="shared" ref="I2:I65" si="0">H2/E2</f>
        <v>8.8888888888888892E-2</v>
      </c>
      <c r="J2" s="3">
        <f>D2/(VLOOKUP(B2,'2023 Team'!$B$2:$G$33,2,FALSE))</f>
        <v>0.2947882736156352</v>
      </c>
      <c r="K2" t="s">
        <v>1087</v>
      </c>
      <c r="L2" t="s">
        <v>314</v>
      </c>
    </row>
    <row r="3" spans="1:12" x14ac:dyDescent="0.25">
      <c r="A3" t="s">
        <v>944</v>
      </c>
      <c r="B3" t="s">
        <v>46</v>
      </c>
      <c r="C3" s="1" t="s">
        <v>163</v>
      </c>
      <c r="D3" s="4" t="s">
        <v>1422</v>
      </c>
      <c r="E3" s="4" t="s">
        <v>346</v>
      </c>
      <c r="F3" s="4" t="s">
        <v>1868</v>
      </c>
      <c r="G3" t="s">
        <v>1058</v>
      </c>
      <c r="H3" t="s">
        <v>234</v>
      </c>
      <c r="I3" s="3">
        <f t="shared" si="0"/>
        <v>0.1092436974789916</v>
      </c>
      <c r="J3" s="3">
        <f>D3/(VLOOKUP(B3,'2023 Team'!$B$2:$G$33,2,FALSE))</f>
        <v>0.30212014134275617</v>
      </c>
      <c r="K3" t="s">
        <v>1869</v>
      </c>
      <c r="L3" t="s">
        <v>300</v>
      </c>
    </row>
    <row r="4" spans="1:12" x14ac:dyDescent="0.25">
      <c r="A4" t="s">
        <v>689</v>
      </c>
      <c r="B4" t="s">
        <v>28</v>
      </c>
      <c r="C4" s="1" t="s">
        <v>163</v>
      </c>
      <c r="D4" s="4" t="s">
        <v>453</v>
      </c>
      <c r="E4" s="4" t="s">
        <v>346</v>
      </c>
      <c r="F4" s="4" t="s">
        <v>1870</v>
      </c>
      <c r="G4" t="s">
        <v>1268</v>
      </c>
      <c r="H4" t="s">
        <v>211</v>
      </c>
      <c r="I4" s="3">
        <f t="shared" si="0"/>
        <v>8.4033613445378158E-2</v>
      </c>
      <c r="J4" s="3">
        <f>D4/(VLOOKUP(B4,'2023 Team'!$B$2:$G$33,2,FALSE))</f>
        <v>0.27062706270627063</v>
      </c>
      <c r="K4" t="s">
        <v>1871</v>
      </c>
      <c r="L4" t="s">
        <v>300</v>
      </c>
    </row>
    <row r="5" spans="1:12" x14ac:dyDescent="0.25">
      <c r="A5" t="s">
        <v>781</v>
      </c>
      <c r="B5" t="s">
        <v>36</v>
      </c>
      <c r="C5" s="1" t="s">
        <v>153</v>
      </c>
      <c r="D5" s="4" t="s">
        <v>318</v>
      </c>
      <c r="E5" s="4" t="s">
        <v>360</v>
      </c>
      <c r="F5" s="4" t="s">
        <v>1872</v>
      </c>
      <c r="G5" t="s">
        <v>1257</v>
      </c>
      <c r="H5" t="s">
        <v>229</v>
      </c>
      <c r="I5" s="3">
        <f t="shared" si="0"/>
        <v>3.5087719298245612E-2</v>
      </c>
      <c r="J5" s="3">
        <f>D5/(VLOOKUP(B5,'2023 Team'!$B$2:$G$33,2,FALSE))</f>
        <v>0.23064516129032259</v>
      </c>
      <c r="K5" t="s">
        <v>1873</v>
      </c>
      <c r="L5" t="s">
        <v>314</v>
      </c>
    </row>
    <row r="6" spans="1:12" x14ac:dyDescent="0.25">
      <c r="A6" t="s">
        <v>898</v>
      </c>
      <c r="B6" t="s">
        <v>34</v>
      </c>
      <c r="C6" s="1" t="s">
        <v>163</v>
      </c>
      <c r="D6" s="4" t="s">
        <v>1080</v>
      </c>
      <c r="E6" s="4" t="s">
        <v>455</v>
      </c>
      <c r="F6" s="4" t="s">
        <v>1874</v>
      </c>
      <c r="G6" t="s">
        <v>1190</v>
      </c>
      <c r="H6" t="s">
        <v>229</v>
      </c>
      <c r="I6" s="3">
        <f t="shared" si="0"/>
        <v>3.669724770642202E-2</v>
      </c>
      <c r="J6" s="3">
        <f>D6/(VLOOKUP(B6,'2023 Team'!$B$2:$G$33,2,FALSE))</f>
        <v>0.27177700348432055</v>
      </c>
      <c r="K6" t="s">
        <v>1875</v>
      </c>
      <c r="L6" t="s">
        <v>289</v>
      </c>
    </row>
    <row r="7" spans="1:12" x14ac:dyDescent="0.25">
      <c r="A7" t="s">
        <v>916</v>
      </c>
      <c r="B7" t="s">
        <v>42</v>
      </c>
      <c r="C7" s="1" t="s">
        <v>163</v>
      </c>
      <c r="D7" s="4" t="s">
        <v>1460</v>
      </c>
      <c r="E7" s="4" t="s">
        <v>1162</v>
      </c>
      <c r="F7" s="4" t="s">
        <v>1876</v>
      </c>
      <c r="G7" t="s">
        <v>1181</v>
      </c>
      <c r="H7" t="s">
        <v>207</v>
      </c>
      <c r="I7" s="3">
        <f t="shared" si="0"/>
        <v>6.4814814814814811E-2</v>
      </c>
      <c r="J7" s="3">
        <f>D7/(VLOOKUP(B7,'2023 Team'!$B$2:$G$33,2,FALSE))</f>
        <v>0.23734177215189872</v>
      </c>
      <c r="K7" t="s">
        <v>1378</v>
      </c>
      <c r="L7" t="s">
        <v>289</v>
      </c>
    </row>
    <row r="8" spans="1:12" x14ac:dyDescent="0.25">
      <c r="A8" t="s">
        <v>965</v>
      </c>
      <c r="B8" t="s">
        <v>14</v>
      </c>
      <c r="C8" s="1" t="s">
        <v>163</v>
      </c>
      <c r="D8" s="4" t="s">
        <v>518</v>
      </c>
      <c r="E8" s="4" t="s">
        <v>1146</v>
      </c>
      <c r="F8" s="4" t="s">
        <v>1877</v>
      </c>
      <c r="G8" t="s">
        <v>1336</v>
      </c>
      <c r="H8" t="s">
        <v>225</v>
      </c>
      <c r="I8" s="3">
        <f t="shared" si="0"/>
        <v>7.476635514018691E-2</v>
      </c>
      <c r="J8" s="3">
        <f>D8/(VLOOKUP(B8,'2023 Team'!$B$2:$G$33,2,FALSE))</f>
        <v>0.27633851468048359</v>
      </c>
      <c r="K8" t="s">
        <v>1878</v>
      </c>
      <c r="L8" t="s">
        <v>289</v>
      </c>
    </row>
    <row r="9" spans="1:12" x14ac:dyDescent="0.25">
      <c r="A9" t="s">
        <v>988</v>
      </c>
      <c r="B9" t="s">
        <v>58</v>
      </c>
      <c r="C9" s="1" t="s">
        <v>163</v>
      </c>
      <c r="D9" s="4" t="s">
        <v>315</v>
      </c>
      <c r="E9" s="4" t="s">
        <v>491</v>
      </c>
      <c r="F9" s="4" t="s">
        <v>1879</v>
      </c>
      <c r="G9" t="s">
        <v>1140</v>
      </c>
      <c r="H9" t="s">
        <v>207</v>
      </c>
      <c r="I9" s="3">
        <f t="shared" si="0"/>
        <v>6.6037735849056603E-2</v>
      </c>
      <c r="J9" s="3">
        <f>D9/(VLOOKUP(B9,'2023 Team'!$B$2:$G$33,2,FALSE))</f>
        <v>0.28063943161634103</v>
      </c>
      <c r="K9" t="s">
        <v>1232</v>
      </c>
      <c r="L9" t="s">
        <v>289</v>
      </c>
    </row>
    <row r="10" spans="1:12" x14ac:dyDescent="0.25">
      <c r="A10" t="s">
        <v>604</v>
      </c>
      <c r="B10" t="s">
        <v>44</v>
      </c>
      <c r="C10" s="1" t="s">
        <v>163</v>
      </c>
      <c r="D10" s="4" t="s">
        <v>518</v>
      </c>
      <c r="E10" s="4" t="s">
        <v>354</v>
      </c>
      <c r="F10" s="4" t="s">
        <v>1880</v>
      </c>
      <c r="G10" t="s">
        <v>1119</v>
      </c>
      <c r="H10" t="s">
        <v>247</v>
      </c>
      <c r="I10" s="3">
        <f t="shared" si="0"/>
        <v>5.7142857142857141E-2</v>
      </c>
      <c r="J10" s="3">
        <f>D10/(VLOOKUP(B10,'2023 Team'!$B$2:$G$33,2,FALSE))</f>
        <v>0.274442538593482</v>
      </c>
      <c r="K10" t="s">
        <v>1881</v>
      </c>
      <c r="L10" t="s">
        <v>300</v>
      </c>
    </row>
    <row r="11" spans="1:12" x14ac:dyDescent="0.25">
      <c r="A11" t="s">
        <v>924</v>
      </c>
      <c r="B11" t="s">
        <v>40</v>
      </c>
      <c r="C11" s="1" t="s">
        <v>163</v>
      </c>
      <c r="D11" s="4" t="s">
        <v>278</v>
      </c>
      <c r="E11" s="4" t="s">
        <v>363</v>
      </c>
      <c r="F11" s="4" t="s">
        <v>1608</v>
      </c>
      <c r="G11" t="s">
        <v>1336</v>
      </c>
      <c r="H11" t="s">
        <v>225</v>
      </c>
      <c r="I11" s="3">
        <f t="shared" si="0"/>
        <v>7.7669902912621352E-2</v>
      </c>
      <c r="J11" s="3">
        <f>D11/(VLOOKUP(B11,'2023 Team'!$B$2:$G$33,2,FALSE))</f>
        <v>0.31418312387791741</v>
      </c>
      <c r="K11" t="s">
        <v>1882</v>
      </c>
      <c r="L11" t="s">
        <v>417</v>
      </c>
    </row>
    <row r="12" spans="1:12" x14ac:dyDescent="0.25">
      <c r="A12" t="s">
        <v>952</v>
      </c>
      <c r="B12" t="s">
        <v>16</v>
      </c>
      <c r="C12" t="s">
        <v>163</v>
      </c>
      <c r="D12" s="4" t="s">
        <v>1105</v>
      </c>
      <c r="E12" s="4" t="s">
        <v>363</v>
      </c>
      <c r="F12" s="4" t="s">
        <v>1078</v>
      </c>
      <c r="G12" t="s">
        <v>579</v>
      </c>
      <c r="H12" t="s">
        <v>229</v>
      </c>
      <c r="I12" s="3">
        <f t="shared" si="0"/>
        <v>3.8834951456310676E-2</v>
      </c>
      <c r="J12" s="3">
        <f>D12/(VLOOKUP(B12,'2023 Team'!$B$2:$G$33,2,FALSE))</f>
        <v>0.23378839590443687</v>
      </c>
      <c r="K12" t="s">
        <v>1883</v>
      </c>
      <c r="L12" t="s">
        <v>289</v>
      </c>
    </row>
    <row r="13" spans="1:12" x14ac:dyDescent="0.25">
      <c r="A13" t="s">
        <v>693</v>
      </c>
      <c r="B13" t="s">
        <v>20</v>
      </c>
      <c r="C13" t="s">
        <v>163</v>
      </c>
      <c r="D13" s="4" t="s">
        <v>334</v>
      </c>
      <c r="E13" s="4" t="s">
        <v>1081</v>
      </c>
      <c r="F13" s="4" t="s">
        <v>1884</v>
      </c>
      <c r="G13" t="s">
        <v>1169</v>
      </c>
      <c r="H13" t="s">
        <v>207</v>
      </c>
      <c r="I13" s="3">
        <f t="shared" si="0"/>
        <v>7.0000000000000007E-2</v>
      </c>
      <c r="J13" s="3">
        <f>D13/(VLOOKUP(B13,'2023 Team'!$B$2:$G$33,2,FALSE))</f>
        <v>0.23577235772357724</v>
      </c>
      <c r="K13" t="s">
        <v>1179</v>
      </c>
      <c r="L13" t="s">
        <v>300</v>
      </c>
    </row>
    <row r="14" spans="1:12" x14ac:dyDescent="0.25">
      <c r="A14" t="s">
        <v>167</v>
      </c>
      <c r="B14" t="s">
        <v>18</v>
      </c>
      <c r="C14" s="1" t="s">
        <v>163</v>
      </c>
      <c r="D14" s="4" t="s">
        <v>1485</v>
      </c>
      <c r="E14" s="4" t="s">
        <v>508</v>
      </c>
      <c r="F14" s="4" t="s">
        <v>1885</v>
      </c>
      <c r="G14" t="s">
        <v>1119</v>
      </c>
      <c r="H14" t="s">
        <v>225</v>
      </c>
      <c r="I14" s="3">
        <f t="shared" si="0"/>
        <v>8.3333333333333329E-2</v>
      </c>
      <c r="J14" s="3">
        <f>D14/(VLOOKUP(B14,'2023 Team'!$B$2:$G$33,2,FALSE))</f>
        <v>0.26510721247563351</v>
      </c>
      <c r="K14" t="s">
        <v>1408</v>
      </c>
      <c r="L14" t="s">
        <v>300</v>
      </c>
    </row>
    <row r="15" spans="1:12" x14ac:dyDescent="0.25">
      <c r="A15" t="s">
        <v>737</v>
      </c>
      <c r="B15" t="s">
        <v>48</v>
      </c>
      <c r="C15" s="1" t="s">
        <v>153</v>
      </c>
      <c r="D15" s="4" t="s">
        <v>578</v>
      </c>
      <c r="E15" s="4" t="s">
        <v>468</v>
      </c>
      <c r="F15" s="4" t="s">
        <v>1886</v>
      </c>
      <c r="G15" t="s">
        <v>1116</v>
      </c>
      <c r="H15" t="s">
        <v>220</v>
      </c>
      <c r="I15" s="3">
        <f t="shared" si="0"/>
        <v>5.2631578947368418E-2</v>
      </c>
      <c r="J15" s="3">
        <f>D15/(VLOOKUP(B15,'2023 Team'!$B$2:$G$33,2,FALSE))</f>
        <v>0.20126782884310618</v>
      </c>
      <c r="K15" t="s">
        <v>1887</v>
      </c>
      <c r="L15" t="s">
        <v>300</v>
      </c>
    </row>
    <row r="16" spans="1:12" x14ac:dyDescent="0.25">
      <c r="A16" t="s">
        <v>986</v>
      </c>
      <c r="B16" t="s">
        <v>56</v>
      </c>
      <c r="C16" s="1" t="s">
        <v>163</v>
      </c>
      <c r="D16" s="4" t="s">
        <v>484</v>
      </c>
      <c r="E16" s="4" t="s">
        <v>468</v>
      </c>
      <c r="F16" s="4" t="s">
        <v>1888</v>
      </c>
      <c r="G16" t="s">
        <v>779</v>
      </c>
      <c r="H16" t="s">
        <v>314</v>
      </c>
      <c r="I16" s="3">
        <f t="shared" si="0"/>
        <v>3.1578947368421054E-2</v>
      </c>
      <c r="J16" s="3">
        <f>D16/(VLOOKUP(B16,'2023 Team'!$B$2:$G$33,2,FALSE))</f>
        <v>0.27953410981697169</v>
      </c>
      <c r="K16" t="s">
        <v>1484</v>
      </c>
      <c r="L16" t="s">
        <v>289</v>
      </c>
    </row>
    <row r="17" spans="1:12" x14ac:dyDescent="0.25">
      <c r="A17" t="s">
        <v>777</v>
      </c>
      <c r="B17" t="s">
        <v>38</v>
      </c>
      <c r="C17" s="1" t="s">
        <v>153</v>
      </c>
      <c r="D17" s="4" t="s">
        <v>1088</v>
      </c>
      <c r="E17" s="4" t="s">
        <v>523</v>
      </c>
      <c r="F17" s="4" t="s">
        <v>1889</v>
      </c>
      <c r="G17" t="s">
        <v>1190</v>
      </c>
      <c r="H17" t="s">
        <v>220</v>
      </c>
      <c r="I17" s="3">
        <f t="shared" si="0"/>
        <v>5.3763440860215055E-2</v>
      </c>
      <c r="J17" s="3">
        <f>D17/(VLOOKUP(B17,'2023 Team'!$B$2:$G$33,2,FALSE))</f>
        <v>0.19055118110236222</v>
      </c>
      <c r="K17" t="s">
        <v>1397</v>
      </c>
      <c r="L17" t="s">
        <v>300</v>
      </c>
    </row>
    <row r="18" spans="1:12" x14ac:dyDescent="0.25">
      <c r="A18" t="s">
        <v>177</v>
      </c>
      <c r="B18" t="s">
        <v>52</v>
      </c>
      <c r="C18" s="1" t="s">
        <v>163</v>
      </c>
      <c r="D18" s="4" t="s">
        <v>1671</v>
      </c>
      <c r="E18" s="4" t="s">
        <v>598</v>
      </c>
      <c r="F18" s="4" t="s">
        <v>1890</v>
      </c>
      <c r="G18" t="s">
        <v>1090</v>
      </c>
      <c r="H18" t="s">
        <v>220</v>
      </c>
      <c r="I18" s="3">
        <f t="shared" si="0"/>
        <v>5.7471264367816091E-2</v>
      </c>
      <c r="J18" s="3">
        <f>D18/(VLOOKUP(B18,'2023 Team'!$B$2:$G$33,2,FALSE))</f>
        <v>0.22772277227722773</v>
      </c>
      <c r="K18" t="s">
        <v>1891</v>
      </c>
      <c r="L18" t="s">
        <v>417</v>
      </c>
    </row>
    <row r="19" spans="1:12" x14ac:dyDescent="0.25">
      <c r="A19" t="s">
        <v>873</v>
      </c>
      <c r="B19" t="s">
        <v>28</v>
      </c>
      <c r="C19" t="s">
        <v>153</v>
      </c>
      <c r="D19" s="4" t="s">
        <v>1121</v>
      </c>
      <c r="E19" s="4" t="s">
        <v>371</v>
      </c>
      <c r="F19" s="4" t="s">
        <v>1180</v>
      </c>
      <c r="G19" t="s">
        <v>1533</v>
      </c>
      <c r="H19" t="s">
        <v>211</v>
      </c>
      <c r="I19" s="3">
        <f t="shared" si="0"/>
        <v>0.11627906976744186</v>
      </c>
      <c r="J19" s="3">
        <f>D19/(VLOOKUP(B19,'2023 Team'!$B$2:$G$33,2,FALSE))</f>
        <v>0.19801980198019803</v>
      </c>
      <c r="K19" t="s">
        <v>1348</v>
      </c>
      <c r="L19" t="s">
        <v>417</v>
      </c>
    </row>
    <row r="20" spans="1:12" x14ac:dyDescent="0.25">
      <c r="A20" t="s">
        <v>1025</v>
      </c>
      <c r="B20" t="s">
        <v>66</v>
      </c>
      <c r="C20" t="s">
        <v>163</v>
      </c>
      <c r="D20" s="4" t="s">
        <v>325</v>
      </c>
      <c r="E20" s="4" t="s">
        <v>381</v>
      </c>
      <c r="F20" s="4" t="s">
        <v>1892</v>
      </c>
      <c r="G20" t="s">
        <v>1236</v>
      </c>
      <c r="H20" t="s">
        <v>289</v>
      </c>
      <c r="I20" s="3">
        <f t="shared" si="0"/>
        <v>2.4096385542168676E-2</v>
      </c>
      <c r="J20" s="3">
        <f>D20/(VLOOKUP(B20,'2023 Team'!$B$2:$G$33,2,FALSE))</f>
        <v>0.22887323943661972</v>
      </c>
      <c r="K20" t="s">
        <v>1893</v>
      </c>
      <c r="L20" t="s">
        <v>417</v>
      </c>
    </row>
    <row r="21" spans="1:12" x14ac:dyDescent="0.25">
      <c r="A21" t="s">
        <v>795</v>
      </c>
      <c r="B21" t="s">
        <v>8</v>
      </c>
      <c r="C21" t="s">
        <v>153</v>
      </c>
      <c r="D21" s="4" t="s">
        <v>491</v>
      </c>
      <c r="E21" s="4" t="s">
        <v>698</v>
      </c>
      <c r="F21" s="4" t="s">
        <v>1894</v>
      </c>
      <c r="G21" t="s">
        <v>1148</v>
      </c>
      <c r="H21" t="s">
        <v>314</v>
      </c>
      <c r="I21" s="3">
        <f t="shared" si="0"/>
        <v>3.7037037037037035E-2</v>
      </c>
      <c r="J21" s="3">
        <f>D21/(VLOOKUP(B21,'2023 Team'!$B$2:$G$33,2,FALSE))</f>
        <v>0.19099099099099098</v>
      </c>
      <c r="K21" t="s">
        <v>1895</v>
      </c>
      <c r="L21" t="s">
        <v>300</v>
      </c>
    </row>
    <row r="22" spans="1:12" x14ac:dyDescent="0.25">
      <c r="A22" t="s">
        <v>852</v>
      </c>
      <c r="B22" t="s">
        <v>22</v>
      </c>
      <c r="C22" t="s">
        <v>153</v>
      </c>
      <c r="D22" s="4" t="s">
        <v>515</v>
      </c>
      <c r="E22" s="4" t="s">
        <v>698</v>
      </c>
      <c r="F22" s="4" t="s">
        <v>1896</v>
      </c>
      <c r="G22" t="s">
        <v>1184</v>
      </c>
      <c r="H22" t="s">
        <v>247</v>
      </c>
      <c r="I22" s="3">
        <f t="shared" si="0"/>
        <v>7.407407407407407E-2</v>
      </c>
      <c r="J22" s="3">
        <f>D22/(VLOOKUP(B22,'2023 Team'!$B$2:$G$33,2,FALSE))</f>
        <v>0.19711538461538461</v>
      </c>
      <c r="K22" t="s">
        <v>1208</v>
      </c>
      <c r="L22" t="s">
        <v>289</v>
      </c>
    </row>
    <row r="23" spans="1:12" x14ac:dyDescent="0.25">
      <c r="A23" t="s">
        <v>996</v>
      </c>
      <c r="B23" t="s">
        <v>58</v>
      </c>
      <c r="C23" s="1" t="s">
        <v>163</v>
      </c>
      <c r="D23" s="4" t="s">
        <v>337</v>
      </c>
      <c r="E23" s="4" t="s">
        <v>698</v>
      </c>
      <c r="F23" s="4" t="s">
        <v>1897</v>
      </c>
      <c r="G23" t="s">
        <v>1151</v>
      </c>
      <c r="H23" t="s">
        <v>207</v>
      </c>
      <c r="I23" s="3">
        <f t="shared" si="0"/>
        <v>8.6419753086419748E-2</v>
      </c>
      <c r="J23" s="3">
        <f>D23/(VLOOKUP(B23,'2023 Team'!$B$2:$G$33,2,FALSE))</f>
        <v>0.19893428063943161</v>
      </c>
      <c r="K23" t="s">
        <v>1898</v>
      </c>
      <c r="L23" t="s">
        <v>300</v>
      </c>
    </row>
    <row r="24" spans="1:12" x14ac:dyDescent="0.25">
      <c r="A24" t="s">
        <v>725</v>
      </c>
      <c r="B24" t="s">
        <v>32</v>
      </c>
      <c r="C24" s="1" t="s">
        <v>163</v>
      </c>
      <c r="D24" s="4" t="s">
        <v>455</v>
      </c>
      <c r="E24" s="4" t="s">
        <v>1135</v>
      </c>
      <c r="F24" s="4" t="s">
        <v>1899</v>
      </c>
      <c r="G24" t="s">
        <v>1900</v>
      </c>
      <c r="H24" t="s">
        <v>225</v>
      </c>
      <c r="I24" s="3">
        <f t="shared" si="0"/>
        <v>0.1</v>
      </c>
      <c r="J24" s="3">
        <f>D24/(VLOOKUP(B24,'2023 Team'!$B$2:$G$33,2,FALSE))</f>
        <v>0.18412162162162163</v>
      </c>
      <c r="K24" t="s">
        <v>1901</v>
      </c>
      <c r="L24" t="s">
        <v>300</v>
      </c>
    </row>
    <row r="25" spans="1:12" x14ac:dyDescent="0.25">
      <c r="A25" t="s">
        <v>1024</v>
      </c>
      <c r="B25" t="s">
        <v>66</v>
      </c>
      <c r="C25" s="1" t="s">
        <v>163</v>
      </c>
      <c r="D25" s="4" t="s">
        <v>1485</v>
      </c>
      <c r="E25" s="4" t="s">
        <v>562</v>
      </c>
      <c r="F25" s="4" t="s">
        <v>1902</v>
      </c>
      <c r="G25" t="s">
        <v>1903</v>
      </c>
      <c r="H25" t="s">
        <v>234</v>
      </c>
      <c r="I25" s="3">
        <f t="shared" si="0"/>
        <v>0.16455696202531644</v>
      </c>
      <c r="J25" s="3">
        <f>D25/(VLOOKUP(B25,'2023 Team'!$B$2:$G$33,2,FALSE))</f>
        <v>0.23943661971830985</v>
      </c>
      <c r="K25" t="s">
        <v>1904</v>
      </c>
      <c r="L25" t="s">
        <v>417</v>
      </c>
    </row>
    <row r="26" spans="1:12" x14ac:dyDescent="0.25">
      <c r="A26" t="s">
        <v>935</v>
      </c>
      <c r="B26" t="s">
        <v>64</v>
      </c>
      <c r="C26" s="1" t="s">
        <v>163</v>
      </c>
      <c r="D26" s="4" t="s">
        <v>357</v>
      </c>
      <c r="E26" s="4" t="s">
        <v>562</v>
      </c>
      <c r="F26" s="4" t="s">
        <v>1905</v>
      </c>
      <c r="G26" t="s">
        <v>680</v>
      </c>
      <c r="H26" t="s">
        <v>220</v>
      </c>
      <c r="I26" s="3">
        <f t="shared" si="0"/>
        <v>6.3291139240506333E-2</v>
      </c>
      <c r="J26" s="3">
        <f>D26/(VLOOKUP(B26,'2023 Team'!$B$2:$G$33,2,FALSE))</f>
        <v>0.21217391304347827</v>
      </c>
      <c r="K26" t="s">
        <v>1906</v>
      </c>
      <c r="L26" t="s">
        <v>417</v>
      </c>
    </row>
    <row r="27" spans="1:12" x14ac:dyDescent="0.25">
      <c r="A27" t="s">
        <v>1048</v>
      </c>
      <c r="B27" t="s">
        <v>70</v>
      </c>
      <c r="C27" s="1" t="s">
        <v>163</v>
      </c>
      <c r="D27" s="4" t="s">
        <v>309</v>
      </c>
      <c r="E27" s="4" t="s">
        <v>562</v>
      </c>
      <c r="F27" s="4" t="s">
        <v>1907</v>
      </c>
      <c r="G27" t="s">
        <v>1268</v>
      </c>
      <c r="H27" t="s">
        <v>229</v>
      </c>
      <c r="I27" s="3">
        <f t="shared" si="0"/>
        <v>5.0632911392405063E-2</v>
      </c>
      <c r="J27" s="3">
        <f>D27/(VLOOKUP(B27,'2023 Team'!$B$2:$G$33,2,FALSE))</f>
        <v>0.20754716981132076</v>
      </c>
      <c r="K27" t="s">
        <v>1908</v>
      </c>
      <c r="L27" t="s">
        <v>417</v>
      </c>
    </row>
    <row r="28" spans="1:12" x14ac:dyDescent="0.25">
      <c r="A28" t="s">
        <v>657</v>
      </c>
      <c r="B28" t="s">
        <v>38</v>
      </c>
      <c r="C28" t="s">
        <v>163</v>
      </c>
      <c r="D28" s="4" t="s">
        <v>1102</v>
      </c>
      <c r="E28" s="4" t="s">
        <v>562</v>
      </c>
      <c r="F28" s="4" t="s">
        <v>1095</v>
      </c>
      <c r="G28" t="s">
        <v>1132</v>
      </c>
      <c r="H28" t="s">
        <v>207</v>
      </c>
      <c r="I28" s="3">
        <f t="shared" si="0"/>
        <v>8.8607594936708861E-2</v>
      </c>
      <c r="J28" s="3">
        <f>D28/(VLOOKUP(B28,'2023 Team'!$B$2:$G$33,2,FALSE))</f>
        <v>0.16062992125984252</v>
      </c>
      <c r="K28" t="s">
        <v>1909</v>
      </c>
      <c r="L28" t="s">
        <v>289</v>
      </c>
    </row>
    <row r="29" spans="1:12" x14ac:dyDescent="0.25">
      <c r="A29" t="s">
        <v>572</v>
      </c>
      <c r="B29" t="s">
        <v>12</v>
      </c>
      <c r="C29" t="s">
        <v>163</v>
      </c>
      <c r="D29" s="4" t="s">
        <v>1162</v>
      </c>
      <c r="E29" s="4" t="s">
        <v>402</v>
      </c>
      <c r="F29" s="4" t="s">
        <v>1910</v>
      </c>
      <c r="G29" t="s">
        <v>1336</v>
      </c>
      <c r="H29" t="s">
        <v>220</v>
      </c>
      <c r="I29" s="3">
        <f t="shared" si="0"/>
        <v>6.4935064935064929E-2</v>
      </c>
      <c r="J29" s="3">
        <f>D29/(VLOOKUP(B29,'2023 Team'!$B$2:$G$33,2,FALSE))</f>
        <v>0.21862348178137653</v>
      </c>
      <c r="K29" t="s">
        <v>1911</v>
      </c>
      <c r="L29" t="s">
        <v>417</v>
      </c>
    </row>
    <row r="30" spans="1:12" x14ac:dyDescent="0.25">
      <c r="A30" t="s">
        <v>178</v>
      </c>
      <c r="B30" t="s">
        <v>56</v>
      </c>
      <c r="C30" t="s">
        <v>159</v>
      </c>
      <c r="D30" s="4" t="s">
        <v>468</v>
      </c>
      <c r="E30" s="4" t="s">
        <v>533</v>
      </c>
      <c r="F30" s="4" t="s">
        <v>1194</v>
      </c>
      <c r="G30" t="s">
        <v>611</v>
      </c>
      <c r="H30" t="s">
        <v>229</v>
      </c>
      <c r="I30" s="3">
        <f t="shared" si="0"/>
        <v>5.2631578947368418E-2</v>
      </c>
      <c r="J30" s="3">
        <f>D30/(VLOOKUP(B30,'2023 Team'!$B$2:$G$33,2,FALSE))</f>
        <v>0.15806988352745424</v>
      </c>
      <c r="K30" t="s">
        <v>1329</v>
      </c>
      <c r="L30" t="s">
        <v>289</v>
      </c>
    </row>
    <row r="31" spans="1:12" x14ac:dyDescent="0.25">
      <c r="A31" t="s">
        <v>1038</v>
      </c>
      <c r="B31" t="s">
        <v>36</v>
      </c>
      <c r="C31" t="s">
        <v>163</v>
      </c>
      <c r="D31" s="4" t="s">
        <v>1485</v>
      </c>
      <c r="E31" s="4" t="s">
        <v>533</v>
      </c>
      <c r="F31" s="4" t="s">
        <v>1912</v>
      </c>
      <c r="G31" t="s">
        <v>1913</v>
      </c>
      <c r="H31" t="s">
        <v>225</v>
      </c>
      <c r="I31" s="3">
        <f t="shared" si="0"/>
        <v>0.10526315789473684</v>
      </c>
      <c r="J31" s="3">
        <f>D31/(VLOOKUP(B31,'2023 Team'!$B$2:$G$33,2,FALSE))</f>
        <v>0.21935483870967742</v>
      </c>
      <c r="K31" t="s">
        <v>1914</v>
      </c>
      <c r="L31" t="s">
        <v>300</v>
      </c>
    </row>
    <row r="32" spans="1:12" x14ac:dyDescent="0.25">
      <c r="A32" t="s">
        <v>1771</v>
      </c>
      <c r="B32" t="s">
        <v>62</v>
      </c>
      <c r="C32" s="1" t="s">
        <v>163</v>
      </c>
      <c r="D32" s="4" t="s">
        <v>354</v>
      </c>
      <c r="E32" s="4" t="s">
        <v>536</v>
      </c>
      <c r="F32" s="4" t="s">
        <v>1915</v>
      </c>
      <c r="G32" t="s">
        <v>1916</v>
      </c>
      <c r="H32" t="s">
        <v>207</v>
      </c>
      <c r="I32" s="3">
        <f t="shared" si="0"/>
        <v>9.3333333333333338E-2</v>
      </c>
      <c r="J32" s="3">
        <f>D32/(VLOOKUP(B32,'2023 Team'!$B$2:$G$33,2,FALSE))</f>
        <v>0.21384928716904278</v>
      </c>
      <c r="K32" t="s">
        <v>1363</v>
      </c>
      <c r="L32" t="s">
        <v>300</v>
      </c>
    </row>
    <row r="33" spans="1:12" x14ac:dyDescent="0.25">
      <c r="A33" t="s">
        <v>813</v>
      </c>
      <c r="B33" t="s">
        <v>68</v>
      </c>
      <c r="C33" s="1" t="s">
        <v>163</v>
      </c>
      <c r="D33" s="4" t="s">
        <v>1105</v>
      </c>
      <c r="E33" s="4" t="s">
        <v>536</v>
      </c>
      <c r="F33" s="4" t="s">
        <v>1917</v>
      </c>
      <c r="G33" t="s">
        <v>1071</v>
      </c>
      <c r="H33" t="s">
        <v>207</v>
      </c>
      <c r="I33" s="3">
        <f t="shared" si="0"/>
        <v>9.3333333333333338E-2</v>
      </c>
      <c r="J33" s="3">
        <f>D33/(VLOOKUP(B33,'2023 Team'!$B$2:$G$33,2,FALSE))</f>
        <v>0.27732793522267207</v>
      </c>
      <c r="K33" t="s">
        <v>1271</v>
      </c>
      <c r="L33" t="s">
        <v>417</v>
      </c>
    </row>
    <row r="34" spans="1:12" x14ac:dyDescent="0.25">
      <c r="A34" t="s">
        <v>348</v>
      </c>
      <c r="B34" t="s">
        <v>52</v>
      </c>
      <c r="C34" t="s">
        <v>159</v>
      </c>
      <c r="D34" s="4" t="s">
        <v>371</v>
      </c>
      <c r="E34" s="4" t="s">
        <v>536</v>
      </c>
      <c r="F34" s="4" t="s">
        <v>1918</v>
      </c>
      <c r="G34" t="s">
        <v>574</v>
      </c>
      <c r="H34" t="s">
        <v>300</v>
      </c>
      <c r="I34" s="3">
        <f t="shared" si="0"/>
        <v>1.3333333333333334E-2</v>
      </c>
      <c r="J34" s="3">
        <f>D34/(VLOOKUP(B34,'2023 Team'!$B$2:$G$33,2,FALSE))</f>
        <v>0.14191419141914191</v>
      </c>
      <c r="K34" t="s">
        <v>1919</v>
      </c>
      <c r="L34" t="s">
        <v>417</v>
      </c>
    </row>
    <row r="35" spans="1:12" x14ac:dyDescent="0.25">
      <c r="A35" t="s">
        <v>824</v>
      </c>
      <c r="B35" t="s">
        <v>14</v>
      </c>
      <c r="C35" s="1" t="s">
        <v>153</v>
      </c>
      <c r="D35" s="4" t="s">
        <v>1202</v>
      </c>
      <c r="E35" s="4" t="s">
        <v>511</v>
      </c>
      <c r="F35" s="4" t="s">
        <v>1920</v>
      </c>
      <c r="G35" t="s">
        <v>1273</v>
      </c>
      <c r="H35" t="s">
        <v>289</v>
      </c>
      <c r="I35" s="3">
        <f t="shared" si="0"/>
        <v>2.7397260273972601E-2</v>
      </c>
      <c r="J35" s="3">
        <f>D35/(VLOOKUP(B35,'2023 Team'!$B$2:$G$33,2,FALSE))</f>
        <v>0.15716753022452504</v>
      </c>
      <c r="K35" t="s">
        <v>1921</v>
      </c>
      <c r="L35" t="s">
        <v>300</v>
      </c>
    </row>
    <row r="36" spans="1:12" x14ac:dyDescent="0.25">
      <c r="A36" t="s">
        <v>168</v>
      </c>
      <c r="B36" t="s">
        <v>18</v>
      </c>
      <c r="C36" s="1" t="s">
        <v>153</v>
      </c>
      <c r="D36" s="4" t="s">
        <v>1209</v>
      </c>
      <c r="E36" s="4" t="s">
        <v>511</v>
      </c>
      <c r="F36" s="4" t="s">
        <v>1144</v>
      </c>
      <c r="G36" t="s">
        <v>579</v>
      </c>
      <c r="H36" t="s">
        <v>247</v>
      </c>
      <c r="I36" s="3">
        <f t="shared" si="0"/>
        <v>8.2191780821917804E-2</v>
      </c>
      <c r="J36" s="3">
        <f>D36/(VLOOKUP(B36,'2023 Team'!$B$2:$G$33,2,FALSE))</f>
        <v>0.17543859649122806</v>
      </c>
      <c r="K36" t="s">
        <v>1448</v>
      </c>
      <c r="L36" t="s">
        <v>300</v>
      </c>
    </row>
    <row r="37" spans="1:12" x14ac:dyDescent="0.25">
      <c r="A37" t="s">
        <v>1787</v>
      </c>
      <c r="B37" t="s">
        <v>22</v>
      </c>
      <c r="C37" t="s">
        <v>163</v>
      </c>
      <c r="D37" s="4" t="s">
        <v>1922</v>
      </c>
      <c r="E37" s="4" t="s">
        <v>411</v>
      </c>
      <c r="F37" s="4" t="s">
        <v>1923</v>
      </c>
      <c r="G37" t="s">
        <v>1538</v>
      </c>
      <c r="H37" t="s">
        <v>220</v>
      </c>
      <c r="I37" s="3">
        <f t="shared" si="0"/>
        <v>6.9444444444444448E-2</v>
      </c>
      <c r="J37" s="3">
        <f>D37/(VLOOKUP(B37,'2023 Team'!$B$2:$G$33,2,FALSE))</f>
        <v>0.20512820512820512</v>
      </c>
      <c r="K37" t="s">
        <v>1511</v>
      </c>
      <c r="L37" t="s">
        <v>289</v>
      </c>
    </row>
    <row r="38" spans="1:12" x14ac:dyDescent="0.25">
      <c r="A38" t="s">
        <v>175</v>
      </c>
      <c r="B38" t="s">
        <v>46</v>
      </c>
      <c r="C38" t="s">
        <v>163</v>
      </c>
      <c r="D38" s="4" t="s">
        <v>521</v>
      </c>
      <c r="E38" s="4" t="s">
        <v>411</v>
      </c>
      <c r="F38" s="4" t="s">
        <v>1078</v>
      </c>
      <c r="G38" t="s">
        <v>1071</v>
      </c>
      <c r="H38" t="s">
        <v>229</v>
      </c>
      <c r="I38" s="3">
        <f t="shared" si="0"/>
        <v>5.5555555555555552E-2</v>
      </c>
      <c r="J38" s="3">
        <f>D38/(VLOOKUP(B38,'2023 Team'!$B$2:$G$33,2,FALSE))</f>
        <v>0.18374558303886926</v>
      </c>
      <c r="K38" t="s">
        <v>1342</v>
      </c>
      <c r="L38" t="s">
        <v>417</v>
      </c>
    </row>
    <row r="39" spans="1:12" x14ac:dyDescent="0.25">
      <c r="A39" t="s">
        <v>784</v>
      </c>
      <c r="B39" t="s">
        <v>24</v>
      </c>
      <c r="C39" t="s">
        <v>153</v>
      </c>
      <c r="D39" s="4" t="s">
        <v>1102</v>
      </c>
      <c r="E39" s="4" t="s">
        <v>392</v>
      </c>
      <c r="F39" s="4" t="s">
        <v>1924</v>
      </c>
      <c r="G39" t="s">
        <v>1331</v>
      </c>
      <c r="H39" t="s">
        <v>220</v>
      </c>
      <c r="I39" s="3">
        <f t="shared" si="0"/>
        <v>7.0422535211267609E-2</v>
      </c>
      <c r="J39" s="3">
        <f>D39/(VLOOKUP(B39,'2023 Team'!$B$2:$G$33,2,FALSE))</f>
        <v>0.16612377850162866</v>
      </c>
      <c r="K39" t="s">
        <v>1869</v>
      </c>
      <c r="L39" t="s">
        <v>417</v>
      </c>
    </row>
    <row r="40" spans="1:12" x14ac:dyDescent="0.25">
      <c r="A40" t="s">
        <v>654</v>
      </c>
      <c r="B40" t="s">
        <v>40</v>
      </c>
      <c r="C40" t="s">
        <v>163</v>
      </c>
      <c r="D40" s="4" t="s">
        <v>491</v>
      </c>
      <c r="E40" s="4" t="s">
        <v>392</v>
      </c>
      <c r="F40" s="4" t="s">
        <v>1925</v>
      </c>
      <c r="G40" t="s">
        <v>1372</v>
      </c>
      <c r="H40" t="s">
        <v>225</v>
      </c>
      <c r="I40" s="3">
        <f t="shared" si="0"/>
        <v>0.11267605633802817</v>
      </c>
      <c r="J40" s="3">
        <f>D40/(VLOOKUP(B40,'2023 Team'!$B$2:$G$33,2,FALSE))</f>
        <v>0.19030520646319568</v>
      </c>
      <c r="K40" t="s">
        <v>1926</v>
      </c>
      <c r="L40" t="s">
        <v>417</v>
      </c>
    </row>
    <row r="41" spans="1:12" x14ac:dyDescent="0.25">
      <c r="A41" t="s">
        <v>697</v>
      </c>
      <c r="B41" t="s">
        <v>48</v>
      </c>
      <c r="C41" t="s">
        <v>163</v>
      </c>
      <c r="D41" s="4" t="s">
        <v>1162</v>
      </c>
      <c r="E41" s="4" t="s">
        <v>383</v>
      </c>
      <c r="F41" s="4" t="s">
        <v>285</v>
      </c>
      <c r="G41" t="s">
        <v>1466</v>
      </c>
      <c r="H41" t="s">
        <v>211</v>
      </c>
      <c r="I41" s="3">
        <f t="shared" si="0"/>
        <v>0.14285714285714285</v>
      </c>
      <c r="J41" s="3">
        <f>D41/(VLOOKUP(B41,'2023 Team'!$B$2:$G$33,2,FALSE))</f>
        <v>0.17115689381933438</v>
      </c>
      <c r="K41" t="s">
        <v>1906</v>
      </c>
      <c r="L41" t="s">
        <v>417</v>
      </c>
    </row>
    <row r="42" spans="1:12" x14ac:dyDescent="0.25">
      <c r="A42" t="s">
        <v>803</v>
      </c>
      <c r="B42" t="s">
        <v>10</v>
      </c>
      <c r="C42" t="s">
        <v>163</v>
      </c>
      <c r="D42" s="4" t="s">
        <v>538</v>
      </c>
      <c r="E42" s="4" t="s">
        <v>497</v>
      </c>
      <c r="F42" s="4" t="s">
        <v>1612</v>
      </c>
      <c r="G42" t="s">
        <v>1100</v>
      </c>
      <c r="H42" t="s">
        <v>289</v>
      </c>
      <c r="I42" s="3">
        <f t="shared" si="0"/>
        <v>2.8985507246376812E-2</v>
      </c>
      <c r="J42" s="3">
        <f>D42/(VLOOKUP(B42,'2023 Team'!$B$2:$G$33,2,FALSE))</f>
        <v>0.20754716981132076</v>
      </c>
      <c r="K42" t="s">
        <v>1927</v>
      </c>
      <c r="L42" t="s">
        <v>417</v>
      </c>
    </row>
    <row r="43" spans="1:12" x14ac:dyDescent="0.25">
      <c r="A43" t="s">
        <v>706</v>
      </c>
      <c r="B43" t="s">
        <v>34</v>
      </c>
      <c r="C43" s="1" t="s">
        <v>163</v>
      </c>
      <c r="D43" s="4" t="s">
        <v>1223</v>
      </c>
      <c r="E43" s="4" t="s">
        <v>1125</v>
      </c>
      <c r="F43" s="4" t="s">
        <v>1928</v>
      </c>
      <c r="G43" t="s">
        <v>680</v>
      </c>
      <c r="H43" t="s">
        <v>289</v>
      </c>
      <c r="I43" s="3">
        <f t="shared" si="0"/>
        <v>2.9411764705882353E-2</v>
      </c>
      <c r="J43" s="3">
        <f>D43/(VLOOKUP(B43,'2023 Team'!$B$2:$G$33,2,FALSE))</f>
        <v>0.17073170731707318</v>
      </c>
      <c r="K43" t="s">
        <v>1222</v>
      </c>
      <c r="L43" t="s">
        <v>417</v>
      </c>
    </row>
    <row r="44" spans="1:12" x14ac:dyDescent="0.25">
      <c r="A44" t="s">
        <v>700</v>
      </c>
      <c r="B44" t="s">
        <v>48</v>
      </c>
      <c r="C44" t="s">
        <v>163</v>
      </c>
      <c r="D44" s="4" t="s">
        <v>1081</v>
      </c>
      <c r="E44" s="4" t="s">
        <v>1125</v>
      </c>
      <c r="F44" s="4" t="s">
        <v>1929</v>
      </c>
      <c r="G44" t="s">
        <v>1930</v>
      </c>
      <c r="H44" t="s">
        <v>220</v>
      </c>
      <c r="I44" s="3">
        <f t="shared" si="0"/>
        <v>7.3529411764705885E-2</v>
      </c>
      <c r="J44" s="3">
        <f>D44/(VLOOKUP(B44,'2023 Team'!$B$2:$G$33,2,FALSE))</f>
        <v>0.15847860538827258</v>
      </c>
      <c r="K44" t="s">
        <v>1062</v>
      </c>
      <c r="L44" t="s">
        <v>300</v>
      </c>
    </row>
    <row r="45" spans="1:12" x14ac:dyDescent="0.25">
      <c r="A45" t="s">
        <v>1582</v>
      </c>
      <c r="B45" t="s">
        <v>20</v>
      </c>
      <c r="C45" t="s">
        <v>163</v>
      </c>
      <c r="D45" s="4" t="s">
        <v>1223</v>
      </c>
      <c r="E45" s="4" t="s">
        <v>376</v>
      </c>
      <c r="F45" s="4" t="s">
        <v>1931</v>
      </c>
      <c r="G45" t="s">
        <v>662</v>
      </c>
      <c r="H45" t="s">
        <v>289</v>
      </c>
      <c r="I45" s="3">
        <f t="shared" si="0"/>
        <v>2.9850746268656716E-2</v>
      </c>
      <c r="J45" s="3">
        <f>D45/(VLOOKUP(B45,'2023 Team'!$B$2:$G$33,2,FALSE))</f>
        <v>0.15934959349593497</v>
      </c>
      <c r="K45" t="s">
        <v>1438</v>
      </c>
      <c r="L45" t="s">
        <v>417</v>
      </c>
    </row>
    <row r="46" spans="1:12" x14ac:dyDescent="0.25">
      <c r="A46" t="s">
        <v>182</v>
      </c>
      <c r="B46" t="s">
        <v>62</v>
      </c>
      <c r="C46" t="s">
        <v>159</v>
      </c>
      <c r="D46" s="4" t="s">
        <v>381</v>
      </c>
      <c r="E46" s="4" t="s">
        <v>376</v>
      </c>
      <c r="F46" s="4" t="s">
        <v>1932</v>
      </c>
      <c r="G46" t="s">
        <v>1257</v>
      </c>
      <c r="H46" t="s">
        <v>207</v>
      </c>
      <c r="I46" s="3">
        <f t="shared" si="0"/>
        <v>0.1044776119402985</v>
      </c>
      <c r="J46" s="3">
        <f>D46/(VLOOKUP(B46,'2023 Team'!$B$2:$G$33,2,FALSE))</f>
        <v>0.1690427698574338</v>
      </c>
      <c r="K46" t="s">
        <v>1933</v>
      </c>
      <c r="L46" t="s">
        <v>314</v>
      </c>
    </row>
    <row r="47" spans="1:12" x14ac:dyDescent="0.25">
      <c r="A47" t="s">
        <v>707</v>
      </c>
      <c r="B47" t="s">
        <v>64</v>
      </c>
      <c r="C47" t="s">
        <v>163</v>
      </c>
      <c r="D47" s="4" t="s">
        <v>346</v>
      </c>
      <c r="E47" s="4" t="s">
        <v>1160</v>
      </c>
      <c r="F47" s="4" t="s">
        <v>1934</v>
      </c>
      <c r="G47" t="s">
        <v>1510</v>
      </c>
      <c r="H47" t="s">
        <v>225</v>
      </c>
      <c r="I47" s="3">
        <f t="shared" si="0"/>
        <v>0.12121212121212122</v>
      </c>
      <c r="J47" s="3">
        <f>D47/(VLOOKUP(B47,'2023 Team'!$B$2:$G$33,2,FALSE))</f>
        <v>0.20695652173913043</v>
      </c>
      <c r="K47" t="s">
        <v>1935</v>
      </c>
      <c r="L47" t="s">
        <v>417</v>
      </c>
    </row>
    <row r="48" spans="1:12" x14ac:dyDescent="0.25">
      <c r="A48" t="s">
        <v>770</v>
      </c>
      <c r="B48" t="s">
        <v>62</v>
      </c>
      <c r="C48" t="s">
        <v>153</v>
      </c>
      <c r="D48" s="4" t="s">
        <v>1209</v>
      </c>
      <c r="E48" s="4" t="s">
        <v>422</v>
      </c>
      <c r="F48" s="4" t="s">
        <v>1936</v>
      </c>
      <c r="G48" t="s">
        <v>1123</v>
      </c>
      <c r="H48" t="s">
        <v>247</v>
      </c>
      <c r="I48" s="3">
        <f t="shared" si="0"/>
        <v>9.2307692307692313E-2</v>
      </c>
      <c r="J48" s="3">
        <f>D48/(VLOOKUP(B48,'2023 Team'!$B$2:$G$33,2,FALSE))</f>
        <v>0.18329938900203666</v>
      </c>
      <c r="K48" t="s">
        <v>1403</v>
      </c>
      <c r="L48" t="s">
        <v>417</v>
      </c>
    </row>
    <row r="49" spans="1:12" x14ac:dyDescent="0.25">
      <c r="A49" t="s">
        <v>675</v>
      </c>
      <c r="B49" t="s">
        <v>30</v>
      </c>
      <c r="C49" s="1" t="s">
        <v>163</v>
      </c>
      <c r="D49" s="4" t="s">
        <v>526</v>
      </c>
      <c r="E49" s="4" t="s">
        <v>424</v>
      </c>
      <c r="F49" s="4" t="s">
        <v>1937</v>
      </c>
      <c r="G49" t="s">
        <v>1360</v>
      </c>
      <c r="H49" t="s">
        <v>225</v>
      </c>
      <c r="I49" s="3">
        <f t="shared" si="0"/>
        <v>0.125</v>
      </c>
      <c r="J49" s="3">
        <f>D49/(VLOOKUP(B49,'2023 Team'!$B$2:$G$33,2,FALSE))</f>
        <v>0.16179001721170397</v>
      </c>
      <c r="K49" t="s">
        <v>1101</v>
      </c>
      <c r="L49" t="s">
        <v>289</v>
      </c>
    </row>
    <row r="50" spans="1:12" x14ac:dyDescent="0.25">
      <c r="A50" t="s">
        <v>341</v>
      </c>
      <c r="B50" t="s">
        <v>66</v>
      </c>
      <c r="C50" t="s">
        <v>159</v>
      </c>
      <c r="D50" s="4" t="s">
        <v>383</v>
      </c>
      <c r="E50" s="4" t="s">
        <v>424</v>
      </c>
      <c r="F50" s="4" t="s">
        <v>1938</v>
      </c>
      <c r="G50" t="s">
        <v>616</v>
      </c>
      <c r="H50" t="s">
        <v>314</v>
      </c>
      <c r="I50" s="3">
        <f t="shared" si="0"/>
        <v>4.6875E-2</v>
      </c>
      <c r="J50" s="3">
        <f>D50/(VLOOKUP(B50,'2023 Team'!$B$2:$G$33,2,FALSE))</f>
        <v>0.12323943661971831</v>
      </c>
      <c r="K50" t="s">
        <v>1433</v>
      </c>
      <c r="L50" t="s">
        <v>314</v>
      </c>
    </row>
    <row r="51" spans="1:12" x14ac:dyDescent="0.25">
      <c r="A51" t="s">
        <v>859</v>
      </c>
      <c r="B51" t="s">
        <v>60</v>
      </c>
      <c r="C51" t="s">
        <v>163</v>
      </c>
      <c r="D51" s="4" t="s">
        <v>491</v>
      </c>
      <c r="E51" s="4" t="s">
        <v>1094</v>
      </c>
      <c r="F51" s="4" t="s">
        <v>206</v>
      </c>
      <c r="G51" t="s">
        <v>1939</v>
      </c>
      <c r="H51" t="s">
        <v>220</v>
      </c>
      <c r="I51" s="3">
        <f t="shared" si="0"/>
        <v>7.9365079365079361E-2</v>
      </c>
      <c r="J51" s="3">
        <f>D51/(VLOOKUP(B51,'2023 Team'!$B$2:$G$33,2,FALSE))</f>
        <v>0.20948616600790515</v>
      </c>
      <c r="K51" t="s">
        <v>1940</v>
      </c>
      <c r="L51" t="s">
        <v>314</v>
      </c>
    </row>
    <row r="52" spans="1:12" x14ac:dyDescent="0.25">
      <c r="A52" t="s">
        <v>623</v>
      </c>
      <c r="B52" t="s">
        <v>64</v>
      </c>
      <c r="C52" s="1" t="s">
        <v>163</v>
      </c>
      <c r="D52" s="4" t="s">
        <v>523</v>
      </c>
      <c r="E52" s="4" t="s">
        <v>1094</v>
      </c>
      <c r="F52" s="4" t="s">
        <v>1277</v>
      </c>
      <c r="G52" t="s">
        <v>662</v>
      </c>
      <c r="H52" t="s">
        <v>229</v>
      </c>
      <c r="I52" s="3">
        <f t="shared" si="0"/>
        <v>6.3492063492063489E-2</v>
      </c>
      <c r="J52" s="3">
        <f>D52/(VLOOKUP(B52,'2023 Team'!$B$2:$G$33,2,FALSE))</f>
        <v>0.16173913043478261</v>
      </c>
      <c r="K52" t="s">
        <v>1258</v>
      </c>
      <c r="L52" t="s">
        <v>417</v>
      </c>
    </row>
    <row r="53" spans="1:12" x14ac:dyDescent="0.25">
      <c r="A53" t="s">
        <v>828</v>
      </c>
      <c r="B53" t="s">
        <v>70</v>
      </c>
      <c r="C53" t="s">
        <v>163</v>
      </c>
      <c r="D53" s="4" t="s">
        <v>1202</v>
      </c>
      <c r="E53" s="4" t="s">
        <v>573</v>
      </c>
      <c r="F53" s="4" t="s">
        <v>1636</v>
      </c>
      <c r="G53" t="s">
        <v>1195</v>
      </c>
      <c r="H53" t="s">
        <v>229</v>
      </c>
      <c r="I53" s="3">
        <f t="shared" si="0"/>
        <v>6.4516129032258063E-2</v>
      </c>
      <c r="J53" s="3">
        <f>D53/(VLOOKUP(B53,'2023 Team'!$B$2:$G$33,2,FALSE))</f>
        <v>0.1430817610062893</v>
      </c>
      <c r="K53" t="s">
        <v>1101</v>
      </c>
      <c r="L53" t="s">
        <v>417</v>
      </c>
    </row>
    <row r="54" spans="1:12" x14ac:dyDescent="0.25">
      <c r="A54" t="s">
        <v>766</v>
      </c>
      <c r="B54" t="s">
        <v>56</v>
      </c>
      <c r="C54" t="s">
        <v>153</v>
      </c>
      <c r="D54" s="4" t="s">
        <v>598</v>
      </c>
      <c r="E54" s="4" t="s">
        <v>529</v>
      </c>
      <c r="F54" s="4" t="s">
        <v>1941</v>
      </c>
      <c r="G54" t="s">
        <v>1148</v>
      </c>
      <c r="H54" t="s">
        <v>417</v>
      </c>
      <c r="I54" s="3">
        <f t="shared" si="0"/>
        <v>0</v>
      </c>
      <c r="J54" s="3">
        <f>D54/(VLOOKUP(B54,'2023 Team'!$B$2:$G$33,2,FALSE))</f>
        <v>0.14475873544093179</v>
      </c>
      <c r="K54" t="s">
        <v>1942</v>
      </c>
      <c r="L54" t="s">
        <v>417</v>
      </c>
    </row>
    <row r="55" spans="1:12" x14ac:dyDescent="0.25">
      <c r="A55" t="s">
        <v>271</v>
      </c>
      <c r="B55" t="s">
        <v>60</v>
      </c>
      <c r="C55" t="s">
        <v>159</v>
      </c>
      <c r="D55" s="4" t="s">
        <v>1138</v>
      </c>
      <c r="E55" s="4" t="s">
        <v>529</v>
      </c>
      <c r="F55" s="4" t="s">
        <v>1943</v>
      </c>
      <c r="G55" t="s">
        <v>568</v>
      </c>
      <c r="H55" t="s">
        <v>417</v>
      </c>
      <c r="I55" s="3">
        <f t="shared" si="0"/>
        <v>0</v>
      </c>
      <c r="J55" s="3">
        <f>D55/(VLOOKUP(B55,'2023 Team'!$B$2:$G$33,2,FALSE))</f>
        <v>0.14624505928853754</v>
      </c>
      <c r="K55" t="s">
        <v>1944</v>
      </c>
      <c r="L55" t="s">
        <v>229</v>
      </c>
    </row>
    <row r="56" spans="1:12" x14ac:dyDescent="0.25">
      <c r="A56" t="s">
        <v>681</v>
      </c>
      <c r="B56" t="s">
        <v>54</v>
      </c>
      <c r="C56" t="s">
        <v>163</v>
      </c>
      <c r="D56" s="4" t="s">
        <v>552</v>
      </c>
      <c r="E56" s="4" t="s">
        <v>477</v>
      </c>
      <c r="F56" s="4" t="s">
        <v>1287</v>
      </c>
      <c r="G56" t="s">
        <v>1192</v>
      </c>
      <c r="H56" t="s">
        <v>300</v>
      </c>
      <c r="I56" s="3">
        <f t="shared" si="0"/>
        <v>1.6666666666666666E-2</v>
      </c>
      <c r="J56" s="3">
        <f>D56/(VLOOKUP(B56,'2023 Team'!$B$2:$G$33,2,FALSE))</f>
        <v>0.15057915057915058</v>
      </c>
      <c r="K56" t="s">
        <v>1397</v>
      </c>
      <c r="L56" t="s">
        <v>417</v>
      </c>
    </row>
    <row r="57" spans="1:12" x14ac:dyDescent="0.25">
      <c r="A57" t="s">
        <v>534</v>
      </c>
      <c r="B57" t="s">
        <v>62</v>
      </c>
      <c r="C57" s="1" t="s">
        <v>163</v>
      </c>
      <c r="D57" s="4" t="s">
        <v>559</v>
      </c>
      <c r="E57" s="4" t="s">
        <v>477</v>
      </c>
      <c r="F57" s="4" t="s">
        <v>1945</v>
      </c>
      <c r="G57" t="s">
        <v>1096</v>
      </c>
      <c r="H57" t="s">
        <v>207</v>
      </c>
      <c r="I57" s="3">
        <f t="shared" si="0"/>
        <v>0.11666666666666667</v>
      </c>
      <c r="J57" s="3">
        <f>D57/(VLOOKUP(B57,'2023 Team'!$B$2:$G$33,2,FALSE))</f>
        <v>0.18126272912423624</v>
      </c>
      <c r="K57" t="s">
        <v>1346</v>
      </c>
      <c r="L57" t="s">
        <v>300</v>
      </c>
    </row>
    <row r="58" spans="1:12" x14ac:dyDescent="0.25">
      <c r="A58" t="s">
        <v>879</v>
      </c>
      <c r="B58" t="s">
        <v>30</v>
      </c>
      <c r="C58" t="s">
        <v>163</v>
      </c>
      <c r="D58" s="4" t="s">
        <v>508</v>
      </c>
      <c r="E58" s="4" t="s">
        <v>398</v>
      </c>
      <c r="F58" s="4" t="s">
        <v>1946</v>
      </c>
      <c r="G58" t="s">
        <v>1372</v>
      </c>
      <c r="H58" t="s">
        <v>225</v>
      </c>
      <c r="I58" s="3">
        <f t="shared" si="0"/>
        <v>0.13559322033898305</v>
      </c>
      <c r="J58" s="3">
        <f>D58/(VLOOKUP(B58,'2023 Team'!$B$2:$G$33,2,FALSE))</f>
        <v>0.16523235800344235</v>
      </c>
      <c r="K58" t="s">
        <v>1947</v>
      </c>
      <c r="L58" t="s">
        <v>300</v>
      </c>
    </row>
    <row r="59" spans="1:12" x14ac:dyDescent="0.25">
      <c r="A59" t="s">
        <v>994</v>
      </c>
      <c r="B59" t="s">
        <v>58</v>
      </c>
      <c r="C59" t="s">
        <v>153</v>
      </c>
      <c r="D59" s="4" t="s">
        <v>381</v>
      </c>
      <c r="E59" s="4" t="s">
        <v>398</v>
      </c>
      <c r="F59" s="4" t="s">
        <v>1948</v>
      </c>
      <c r="G59" t="s">
        <v>662</v>
      </c>
      <c r="H59" t="s">
        <v>314</v>
      </c>
      <c r="I59" s="3">
        <f t="shared" si="0"/>
        <v>5.0847457627118647E-2</v>
      </c>
      <c r="J59" s="3">
        <f>D59/(VLOOKUP(B59,'2023 Team'!$B$2:$G$33,2,FALSE))</f>
        <v>0.14742451154529307</v>
      </c>
      <c r="K59" t="s">
        <v>1949</v>
      </c>
      <c r="L59" t="s">
        <v>417</v>
      </c>
    </row>
    <row r="60" spans="1:12" x14ac:dyDescent="0.25">
      <c r="A60" t="s">
        <v>181</v>
      </c>
      <c r="B60" t="s">
        <v>44</v>
      </c>
      <c r="C60" t="s">
        <v>163</v>
      </c>
      <c r="D60" s="4" t="s">
        <v>468</v>
      </c>
      <c r="E60" s="4" t="s">
        <v>398</v>
      </c>
      <c r="F60" s="4" t="s">
        <v>1950</v>
      </c>
      <c r="G60" t="s">
        <v>1065</v>
      </c>
      <c r="H60" t="s">
        <v>220</v>
      </c>
      <c r="I60" s="3">
        <f t="shared" si="0"/>
        <v>8.4745762711864403E-2</v>
      </c>
      <c r="J60" s="3">
        <f>D60/(VLOOKUP(B60,'2023 Team'!$B$2:$G$33,2,FALSE))</f>
        <v>0.16295025728987994</v>
      </c>
      <c r="K60" t="s">
        <v>1951</v>
      </c>
      <c r="L60" t="s">
        <v>417</v>
      </c>
    </row>
    <row r="61" spans="1:12" x14ac:dyDescent="0.25">
      <c r="A61" t="s">
        <v>634</v>
      </c>
      <c r="B61" t="s">
        <v>22</v>
      </c>
      <c r="C61" t="s">
        <v>163</v>
      </c>
      <c r="D61" s="4" t="s">
        <v>521</v>
      </c>
      <c r="E61" s="4" t="s">
        <v>398</v>
      </c>
      <c r="F61" s="4" t="s">
        <v>1952</v>
      </c>
      <c r="G61" t="s">
        <v>1130</v>
      </c>
      <c r="H61" t="s">
        <v>289</v>
      </c>
      <c r="I61" s="3">
        <f t="shared" si="0"/>
        <v>3.3898305084745763E-2</v>
      </c>
      <c r="J61" s="3">
        <f>D61/(VLOOKUP(B61,'2023 Team'!$B$2:$G$33,2,FALSE))</f>
        <v>0.16666666666666666</v>
      </c>
      <c r="K61" t="s">
        <v>1953</v>
      </c>
      <c r="L61" t="s">
        <v>289</v>
      </c>
    </row>
    <row r="62" spans="1:12" x14ac:dyDescent="0.25">
      <c r="A62" t="s">
        <v>889</v>
      </c>
      <c r="B62" t="s">
        <v>32</v>
      </c>
      <c r="C62" t="s">
        <v>153</v>
      </c>
      <c r="D62" s="4" t="s">
        <v>1109</v>
      </c>
      <c r="E62" s="4" t="s">
        <v>398</v>
      </c>
      <c r="F62" s="4" t="s">
        <v>1954</v>
      </c>
      <c r="G62" t="s">
        <v>1130</v>
      </c>
      <c r="H62" t="s">
        <v>220</v>
      </c>
      <c r="I62" s="3">
        <f t="shared" si="0"/>
        <v>8.4745762711864403E-2</v>
      </c>
      <c r="J62" s="3">
        <f>D62/(VLOOKUP(B62,'2023 Team'!$B$2:$G$33,2,FALSE))</f>
        <v>0.14864864864864866</v>
      </c>
      <c r="K62" t="s">
        <v>1926</v>
      </c>
      <c r="L62" t="s">
        <v>300</v>
      </c>
    </row>
    <row r="63" spans="1:12" x14ac:dyDescent="0.25">
      <c r="A63" t="s">
        <v>184</v>
      </c>
      <c r="B63" t="s">
        <v>26</v>
      </c>
      <c r="C63" t="s">
        <v>163</v>
      </c>
      <c r="D63" s="4" t="s">
        <v>1209</v>
      </c>
      <c r="E63" s="4" t="s">
        <v>398</v>
      </c>
      <c r="F63" s="4" t="s">
        <v>332</v>
      </c>
      <c r="G63" t="s">
        <v>1100</v>
      </c>
      <c r="H63" t="s">
        <v>211</v>
      </c>
      <c r="I63" s="3">
        <f t="shared" si="0"/>
        <v>0.16949152542372881</v>
      </c>
      <c r="J63" s="3">
        <f>D63/(VLOOKUP(B63,'2023 Team'!$B$2:$G$33,2,FALSE))</f>
        <v>0.17543859649122806</v>
      </c>
      <c r="K63" t="s">
        <v>1881</v>
      </c>
      <c r="L63" t="s">
        <v>314</v>
      </c>
    </row>
    <row r="64" spans="1:12" x14ac:dyDescent="0.25">
      <c r="A64" t="s">
        <v>236</v>
      </c>
      <c r="B64" t="s">
        <v>36</v>
      </c>
      <c r="C64" t="s">
        <v>159</v>
      </c>
      <c r="D64" s="4" t="s">
        <v>511</v>
      </c>
      <c r="E64" s="4" t="s">
        <v>413</v>
      </c>
      <c r="F64" s="4" t="s">
        <v>1955</v>
      </c>
      <c r="G64" t="s">
        <v>1309</v>
      </c>
      <c r="H64" t="s">
        <v>300</v>
      </c>
      <c r="I64" s="3">
        <f t="shared" si="0"/>
        <v>1.7241379310344827E-2</v>
      </c>
      <c r="J64" s="3">
        <f>D64/(VLOOKUP(B64,'2023 Team'!$B$2:$G$33,2,FALSE))</f>
        <v>0.11774193548387096</v>
      </c>
      <c r="K64" t="s">
        <v>1956</v>
      </c>
      <c r="L64" t="s">
        <v>417</v>
      </c>
    </row>
    <row r="65" spans="1:12" x14ac:dyDescent="0.25">
      <c r="A65" t="s">
        <v>213</v>
      </c>
      <c r="B65" t="s">
        <v>10</v>
      </c>
      <c r="C65" t="s">
        <v>159</v>
      </c>
      <c r="D65" s="4" t="s">
        <v>371</v>
      </c>
      <c r="E65" s="4" t="s">
        <v>413</v>
      </c>
      <c r="F65" s="4" t="s">
        <v>372</v>
      </c>
      <c r="G65" t="s">
        <v>1257</v>
      </c>
      <c r="H65" t="s">
        <v>229</v>
      </c>
      <c r="I65" s="3">
        <f t="shared" si="0"/>
        <v>6.8965517241379309E-2</v>
      </c>
      <c r="J65" s="3">
        <f>D65/(VLOOKUP(B65,'2023 Team'!$B$2:$G$33,2,FALSE))</f>
        <v>0.16226415094339622</v>
      </c>
      <c r="K65" t="s">
        <v>1346</v>
      </c>
      <c r="L65" t="s">
        <v>229</v>
      </c>
    </row>
    <row r="66" spans="1:12" x14ac:dyDescent="0.25">
      <c r="A66" t="s">
        <v>888</v>
      </c>
      <c r="B66" t="s">
        <v>36</v>
      </c>
      <c r="C66" t="s">
        <v>163</v>
      </c>
      <c r="D66" s="4" t="s">
        <v>548</v>
      </c>
      <c r="E66" s="4" t="s">
        <v>436</v>
      </c>
      <c r="F66" s="4" t="s">
        <v>1957</v>
      </c>
      <c r="G66" t="s">
        <v>1254</v>
      </c>
      <c r="H66" t="s">
        <v>314</v>
      </c>
      <c r="I66" s="3">
        <f t="shared" ref="I66:I129" si="1">H66/E66</f>
        <v>5.2631578947368418E-2</v>
      </c>
      <c r="J66" s="3">
        <f>D66/(VLOOKUP(B66,'2023 Team'!$B$2:$G$33,2,FALSE))</f>
        <v>0.13709677419354838</v>
      </c>
      <c r="K66" t="s">
        <v>1232</v>
      </c>
      <c r="L66" t="s">
        <v>289</v>
      </c>
    </row>
    <row r="67" spans="1:12" x14ac:dyDescent="0.25">
      <c r="A67" t="s">
        <v>252</v>
      </c>
      <c r="B67" t="s">
        <v>24</v>
      </c>
      <c r="C67" t="s">
        <v>159</v>
      </c>
      <c r="D67" s="4" t="s">
        <v>376</v>
      </c>
      <c r="E67" s="4" t="s">
        <v>433</v>
      </c>
      <c r="F67" s="4" t="s">
        <v>209</v>
      </c>
      <c r="G67" t="s">
        <v>226</v>
      </c>
      <c r="H67" t="s">
        <v>417</v>
      </c>
      <c r="I67" s="3">
        <f t="shared" si="1"/>
        <v>0</v>
      </c>
      <c r="J67" s="3">
        <f>D67/(VLOOKUP(B67,'2023 Team'!$B$2:$G$33,2,FALSE))</f>
        <v>0.10912052117263844</v>
      </c>
      <c r="K67" t="s">
        <v>1958</v>
      </c>
      <c r="L67" t="s">
        <v>314</v>
      </c>
    </row>
    <row r="68" spans="1:12" x14ac:dyDescent="0.25">
      <c r="A68" t="s">
        <v>1763</v>
      </c>
      <c r="B68" t="s">
        <v>70</v>
      </c>
      <c r="C68" t="s">
        <v>153</v>
      </c>
      <c r="D68" s="4" t="s">
        <v>552</v>
      </c>
      <c r="E68" s="4" t="s">
        <v>433</v>
      </c>
      <c r="F68" s="4" t="s">
        <v>329</v>
      </c>
      <c r="G68" t="s">
        <v>732</v>
      </c>
      <c r="H68" t="s">
        <v>229</v>
      </c>
      <c r="I68" s="3">
        <f t="shared" si="1"/>
        <v>7.2727272727272724E-2</v>
      </c>
      <c r="J68" s="3">
        <f>D68/(VLOOKUP(B68,'2023 Team'!$B$2:$G$33,2,FALSE))</f>
        <v>0.12264150943396226</v>
      </c>
      <c r="K68" t="s">
        <v>1959</v>
      </c>
      <c r="L68" t="s">
        <v>289</v>
      </c>
    </row>
    <row r="69" spans="1:12" x14ac:dyDescent="0.25">
      <c r="A69" t="s">
        <v>820</v>
      </c>
      <c r="B69" t="s">
        <v>24</v>
      </c>
      <c r="C69" t="s">
        <v>163</v>
      </c>
      <c r="D69" s="4" t="s">
        <v>698</v>
      </c>
      <c r="E69" s="4" t="s">
        <v>429</v>
      </c>
      <c r="F69" s="4" t="s">
        <v>1649</v>
      </c>
      <c r="G69" t="s">
        <v>1169</v>
      </c>
      <c r="H69" t="s">
        <v>225</v>
      </c>
      <c r="I69" s="3">
        <f t="shared" si="1"/>
        <v>0.14814814814814814</v>
      </c>
      <c r="J69" s="3">
        <f>D69/(VLOOKUP(B69,'2023 Team'!$B$2:$G$33,2,FALSE))</f>
        <v>0.13192182410423453</v>
      </c>
      <c r="K69" t="s">
        <v>1297</v>
      </c>
      <c r="L69" t="s">
        <v>300</v>
      </c>
    </row>
    <row r="70" spans="1:12" x14ac:dyDescent="0.25">
      <c r="A70" t="s">
        <v>762</v>
      </c>
      <c r="B70" t="s">
        <v>26</v>
      </c>
      <c r="C70" t="s">
        <v>163</v>
      </c>
      <c r="D70" s="4" t="s">
        <v>598</v>
      </c>
      <c r="E70" s="4" t="s">
        <v>429</v>
      </c>
      <c r="F70" s="4" t="s">
        <v>296</v>
      </c>
      <c r="G70" t="s">
        <v>696</v>
      </c>
      <c r="H70" t="s">
        <v>289</v>
      </c>
      <c r="I70" s="3">
        <f t="shared" si="1"/>
        <v>3.7037037037037035E-2</v>
      </c>
      <c r="J70" s="3">
        <f>D70/(VLOOKUP(B70,'2023 Team'!$B$2:$G$33,2,FALSE))</f>
        <v>0.16959064327485379</v>
      </c>
      <c r="K70" t="s">
        <v>1951</v>
      </c>
      <c r="L70" t="s">
        <v>300</v>
      </c>
    </row>
    <row r="71" spans="1:12" x14ac:dyDescent="0.25">
      <c r="A71" t="s">
        <v>1034</v>
      </c>
      <c r="B71" t="s">
        <v>68</v>
      </c>
      <c r="C71" t="s">
        <v>153</v>
      </c>
      <c r="D71" s="4" t="s">
        <v>402</v>
      </c>
      <c r="E71" s="4" t="s">
        <v>429</v>
      </c>
      <c r="F71" s="4" t="s">
        <v>1242</v>
      </c>
      <c r="G71" t="s">
        <v>579</v>
      </c>
      <c r="H71" t="s">
        <v>300</v>
      </c>
      <c r="I71" s="3">
        <f t="shared" si="1"/>
        <v>1.8518518518518517E-2</v>
      </c>
      <c r="J71" s="3">
        <f>D71/(VLOOKUP(B71,'2023 Team'!$B$2:$G$33,2,FALSE))</f>
        <v>0.15587044534412955</v>
      </c>
      <c r="K71" t="s">
        <v>1942</v>
      </c>
      <c r="L71" t="s">
        <v>417</v>
      </c>
    </row>
    <row r="72" spans="1:12" x14ac:dyDescent="0.25">
      <c r="A72" t="s">
        <v>808</v>
      </c>
      <c r="B72" t="s">
        <v>10</v>
      </c>
      <c r="C72" t="s">
        <v>153</v>
      </c>
      <c r="D72" s="4" t="s">
        <v>1209</v>
      </c>
      <c r="E72" s="4" t="s">
        <v>446</v>
      </c>
      <c r="F72" s="4" t="s">
        <v>1931</v>
      </c>
      <c r="G72" t="s">
        <v>1215</v>
      </c>
      <c r="H72" t="s">
        <v>314</v>
      </c>
      <c r="I72" s="3">
        <f t="shared" si="1"/>
        <v>5.6603773584905662E-2</v>
      </c>
      <c r="J72" s="3">
        <f>D72/(VLOOKUP(B72,'2023 Team'!$B$2:$G$33,2,FALSE))</f>
        <v>0.16981132075471697</v>
      </c>
      <c r="K72" t="s">
        <v>1882</v>
      </c>
      <c r="L72" t="s">
        <v>417</v>
      </c>
    </row>
    <row r="73" spans="1:12" x14ac:dyDescent="0.25">
      <c r="A73" t="s">
        <v>256</v>
      </c>
      <c r="B73" t="s">
        <v>28</v>
      </c>
      <c r="C73" t="s">
        <v>159</v>
      </c>
      <c r="D73" s="4" t="s">
        <v>392</v>
      </c>
      <c r="E73" s="4" t="s">
        <v>441</v>
      </c>
      <c r="F73" s="4" t="s">
        <v>1960</v>
      </c>
      <c r="G73" t="s">
        <v>568</v>
      </c>
      <c r="H73" t="s">
        <v>300</v>
      </c>
      <c r="I73" s="3">
        <f t="shared" si="1"/>
        <v>1.9230769230769232E-2</v>
      </c>
      <c r="J73" s="3">
        <f>D73/(VLOOKUP(B73,'2023 Team'!$B$2:$G$33,2,FALSE))</f>
        <v>0.11716171617161716</v>
      </c>
      <c r="K73" t="s">
        <v>1196</v>
      </c>
      <c r="L73" t="s">
        <v>289</v>
      </c>
    </row>
    <row r="74" spans="1:12" x14ac:dyDescent="0.25">
      <c r="A74" t="s">
        <v>1593</v>
      </c>
      <c r="B74" t="s">
        <v>20</v>
      </c>
      <c r="C74" t="s">
        <v>159</v>
      </c>
      <c r="D74" s="4" t="s">
        <v>424</v>
      </c>
      <c r="E74" s="4" t="s">
        <v>441</v>
      </c>
      <c r="F74" s="4" t="s">
        <v>1961</v>
      </c>
      <c r="G74" t="s">
        <v>1458</v>
      </c>
      <c r="H74" t="s">
        <v>314</v>
      </c>
      <c r="I74" s="3">
        <f t="shared" si="1"/>
        <v>5.7692307692307696E-2</v>
      </c>
      <c r="J74" s="3">
        <f>D74/(VLOOKUP(B74,'2023 Team'!$B$2:$G$33,2,FALSE))</f>
        <v>0.1040650406504065</v>
      </c>
      <c r="K74" t="s">
        <v>1447</v>
      </c>
      <c r="L74" t="s">
        <v>417</v>
      </c>
    </row>
    <row r="75" spans="1:12" x14ac:dyDescent="0.25">
      <c r="A75" t="s">
        <v>410</v>
      </c>
      <c r="B75" t="s">
        <v>68</v>
      </c>
      <c r="C75" t="s">
        <v>159</v>
      </c>
      <c r="D75" s="4" t="s">
        <v>383</v>
      </c>
      <c r="E75" s="4" t="s">
        <v>441</v>
      </c>
      <c r="F75" s="4" t="s">
        <v>1962</v>
      </c>
      <c r="G75" t="s">
        <v>656</v>
      </c>
      <c r="H75" t="s">
        <v>300</v>
      </c>
      <c r="I75" s="3">
        <f t="shared" si="1"/>
        <v>1.9230769230769232E-2</v>
      </c>
      <c r="J75" s="3">
        <f>D75/(VLOOKUP(B75,'2023 Team'!$B$2:$G$33,2,FALSE))</f>
        <v>0.1417004048582996</v>
      </c>
      <c r="K75" t="s">
        <v>1442</v>
      </c>
      <c r="L75" t="s">
        <v>300</v>
      </c>
    </row>
    <row r="76" spans="1:12" x14ac:dyDescent="0.25">
      <c r="A76" t="s">
        <v>736</v>
      </c>
      <c r="B76" t="s">
        <v>54</v>
      </c>
      <c r="C76" t="s">
        <v>153</v>
      </c>
      <c r="D76" s="4" t="s">
        <v>1138</v>
      </c>
      <c r="E76" s="4" t="s">
        <v>441</v>
      </c>
      <c r="F76" s="4" t="s">
        <v>1963</v>
      </c>
      <c r="G76" t="s">
        <v>1190</v>
      </c>
      <c r="H76" t="s">
        <v>300</v>
      </c>
      <c r="I76" s="3">
        <f t="shared" si="1"/>
        <v>1.9230769230769232E-2</v>
      </c>
      <c r="J76" s="3">
        <f>D76/(VLOOKUP(B76,'2023 Team'!$B$2:$G$33,2,FALSE))</f>
        <v>0.14285714285714285</v>
      </c>
      <c r="K76" t="s">
        <v>1964</v>
      </c>
      <c r="L76" t="s">
        <v>417</v>
      </c>
    </row>
    <row r="77" spans="1:12" x14ac:dyDescent="0.25">
      <c r="A77" t="s">
        <v>907</v>
      </c>
      <c r="B77" t="s">
        <v>8</v>
      </c>
      <c r="C77" t="s">
        <v>163</v>
      </c>
      <c r="D77" s="4" t="s">
        <v>369</v>
      </c>
      <c r="E77" s="4" t="s">
        <v>582</v>
      </c>
      <c r="F77" s="4" t="s">
        <v>1965</v>
      </c>
      <c r="G77" t="s">
        <v>680</v>
      </c>
      <c r="H77" t="s">
        <v>229</v>
      </c>
      <c r="I77" s="3">
        <f t="shared" si="1"/>
        <v>7.8431372549019607E-2</v>
      </c>
      <c r="J77" s="3">
        <f>D77/(VLOOKUP(B77,'2023 Team'!$B$2:$G$33,2,FALSE))</f>
        <v>0.18198198198198198</v>
      </c>
      <c r="K77" t="s">
        <v>1966</v>
      </c>
      <c r="L77" t="s">
        <v>417</v>
      </c>
    </row>
    <row r="78" spans="1:12" x14ac:dyDescent="0.25">
      <c r="A78" t="s">
        <v>549</v>
      </c>
      <c r="B78" t="s">
        <v>42</v>
      </c>
      <c r="C78" t="s">
        <v>159</v>
      </c>
      <c r="D78" s="4" t="s">
        <v>1138</v>
      </c>
      <c r="E78" s="4" t="s">
        <v>582</v>
      </c>
      <c r="F78" s="4" t="s">
        <v>1967</v>
      </c>
      <c r="G78" t="s">
        <v>717</v>
      </c>
      <c r="H78" t="s">
        <v>300</v>
      </c>
      <c r="I78" s="3">
        <f t="shared" si="1"/>
        <v>1.9607843137254902E-2</v>
      </c>
      <c r="J78" s="3">
        <f>D78/(VLOOKUP(B78,'2023 Team'!$B$2:$G$33,2,FALSE))</f>
        <v>0.11708860759493671</v>
      </c>
      <c r="K78" t="s">
        <v>1302</v>
      </c>
      <c r="L78" t="s">
        <v>220</v>
      </c>
    </row>
    <row r="79" spans="1:12" x14ac:dyDescent="0.25">
      <c r="A79" t="s">
        <v>1627</v>
      </c>
      <c r="B79" t="s">
        <v>50</v>
      </c>
      <c r="C79" t="s">
        <v>159</v>
      </c>
      <c r="D79" s="4" t="s">
        <v>422</v>
      </c>
      <c r="E79" s="4" t="s">
        <v>582</v>
      </c>
      <c r="F79" s="4" t="s">
        <v>1289</v>
      </c>
      <c r="G79" t="s">
        <v>568</v>
      </c>
      <c r="H79" t="s">
        <v>289</v>
      </c>
      <c r="I79" s="3">
        <f t="shared" si="1"/>
        <v>3.9215686274509803E-2</v>
      </c>
      <c r="J79" s="3">
        <f>D79/(VLOOKUP(B79,'2023 Team'!$B$2:$G$33,2,FALSE))</f>
        <v>0.11669658886894076</v>
      </c>
      <c r="K79" t="s">
        <v>1968</v>
      </c>
      <c r="L79" t="s">
        <v>289</v>
      </c>
    </row>
    <row r="80" spans="1:12" x14ac:dyDescent="0.25">
      <c r="A80" t="s">
        <v>1729</v>
      </c>
      <c r="B80" t="s">
        <v>42</v>
      </c>
      <c r="C80" t="s">
        <v>153</v>
      </c>
      <c r="D80" s="4" t="s">
        <v>383</v>
      </c>
      <c r="E80" s="4" t="s">
        <v>582</v>
      </c>
      <c r="F80" s="4" t="s">
        <v>1647</v>
      </c>
      <c r="G80" t="s">
        <v>1328</v>
      </c>
      <c r="H80" t="s">
        <v>314</v>
      </c>
      <c r="I80" s="3">
        <f t="shared" si="1"/>
        <v>5.8823529411764705E-2</v>
      </c>
      <c r="J80" s="3">
        <f>D80/(VLOOKUP(B80,'2023 Team'!$B$2:$G$33,2,FALSE))</f>
        <v>0.11075949367088607</v>
      </c>
      <c r="K80" t="s">
        <v>1072</v>
      </c>
      <c r="L80" t="s">
        <v>314</v>
      </c>
    </row>
    <row r="81" spans="1:12" x14ac:dyDescent="0.25">
      <c r="A81" t="s">
        <v>1812</v>
      </c>
      <c r="B81" t="s">
        <v>60</v>
      </c>
      <c r="C81" t="s">
        <v>163</v>
      </c>
      <c r="D81" s="4" t="s">
        <v>598</v>
      </c>
      <c r="E81" s="4" t="s">
        <v>582</v>
      </c>
      <c r="F81" s="4" t="s">
        <v>1969</v>
      </c>
      <c r="G81" t="s">
        <v>1071</v>
      </c>
      <c r="H81" t="s">
        <v>220</v>
      </c>
      <c r="I81" s="3">
        <f t="shared" si="1"/>
        <v>9.8039215686274508E-2</v>
      </c>
      <c r="J81" s="3">
        <f>D81/(VLOOKUP(B81,'2023 Team'!$B$2:$G$33,2,FALSE))</f>
        <v>0.17193675889328064</v>
      </c>
      <c r="K81" t="s">
        <v>1970</v>
      </c>
      <c r="L81" t="s">
        <v>300</v>
      </c>
    </row>
    <row r="82" spans="1:12" x14ac:dyDescent="0.25">
      <c r="A82" t="s">
        <v>404</v>
      </c>
      <c r="B82" t="s">
        <v>26</v>
      </c>
      <c r="C82" t="s">
        <v>159</v>
      </c>
      <c r="D82" s="4" t="s">
        <v>1244</v>
      </c>
      <c r="E82" s="4" t="s">
        <v>427</v>
      </c>
      <c r="F82" s="4" t="s">
        <v>1971</v>
      </c>
      <c r="G82" t="s">
        <v>622</v>
      </c>
      <c r="H82" t="s">
        <v>417</v>
      </c>
      <c r="I82" s="3">
        <f t="shared" si="1"/>
        <v>0</v>
      </c>
      <c r="J82" s="3">
        <f>D82/(VLOOKUP(B82,'2023 Team'!$B$2:$G$33,2,FALSE))</f>
        <v>0.10916179337231968</v>
      </c>
      <c r="K82" t="s">
        <v>1972</v>
      </c>
      <c r="L82" t="s">
        <v>314</v>
      </c>
    </row>
    <row r="83" spans="1:12" x14ac:dyDescent="0.25">
      <c r="A83" t="s">
        <v>976</v>
      </c>
      <c r="B83" t="s">
        <v>54</v>
      </c>
      <c r="C83" t="s">
        <v>163</v>
      </c>
      <c r="D83" s="4" t="s">
        <v>562</v>
      </c>
      <c r="E83" s="4" t="s">
        <v>427</v>
      </c>
      <c r="F83" s="4" t="s">
        <v>1973</v>
      </c>
      <c r="G83" t="s">
        <v>1107</v>
      </c>
      <c r="H83" t="s">
        <v>229</v>
      </c>
      <c r="I83" s="3">
        <f t="shared" si="1"/>
        <v>0.08</v>
      </c>
      <c r="J83" s="3">
        <f>D83/(VLOOKUP(B83,'2023 Team'!$B$2:$G$33,2,FALSE))</f>
        <v>0.15250965250965251</v>
      </c>
      <c r="K83" t="s">
        <v>1264</v>
      </c>
      <c r="L83" t="s">
        <v>417</v>
      </c>
    </row>
    <row r="84" spans="1:12" x14ac:dyDescent="0.25">
      <c r="A84" t="s">
        <v>610</v>
      </c>
      <c r="B84" t="s">
        <v>10</v>
      </c>
      <c r="C84" t="s">
        <v>153</v>
      </c>
      <c r="D84" s="4" t="s">
        <v>383</v>
      </c>
      <c r="E84" s="4" t="s">
        <v>427</v>
      </c>
      <c r="F84" s="4" t="s">
        <v>1262</v>
      </c>
      <c r="G84" t="s">
        <v>1083</v>
      </c>
      <c r="H84" t="s">
        <v>314</v>
      </c>
      <c r="I84" s="3">
        <f t="shared" si="1"/>
        <v>0.06</v>
      </c>
      <c r="J84" s="3">
        <f>D84/(VLOOKUP(B84,'2023 Team'!$B$2:$G$33,2,FALSE))</f>
        <v>0.13207547169811321</v>
      </c>
      <c r="K84" t="s">
        <v>1363</v>
      </c>
      <c r="L84" t="s">
        <v>300</v>
      </c>
    </row>
    <row r="85" spans="1:12" x14ac:dyDescent="0.25">
      <c r="A85" t="s">
        <v>992</v>
      </c>
      <c r="B85" t="s">
        <v>70</v>
      </c>
      <c r="C85" t="s">
        <v>163</v>
      </c>
      <c r="D85" s="4" t="s">
        <v>381</v>
      </c>
      <c r="E85" s="4" t="s">
        <v>554</v>
      </c>
      <c r="F85" s="4" t="s">
        <v>1974</v>
      </c>
      <c r="G85" t="s">
        <v>1190</v>
      </c>
      <c r="H85" t="s">
        <v>229</v>
      </c>
      <c r="I85" s="3">
        <f t="shared" si="1"/>
        <v>8.1632653061224483E-2</v>
      </c>
      <c r="J85" s="3">
        <f>D85/(VLOOKUP(B85,'2023 Team'!$B$2:$G$33,2,FALSE))</f>
        <v>0.13050314465408805</v>
      </c>
      <c r="K85" t="s">
        <v>1975</v>
      </c>
      <c r="L85" t="s">
        <v>417</v>
      </c>
    </row>
    <row r="86" spans="1:12" x14ac:dyDescent="0.25">
      <c r="A86" t="s">
        <v>624</v>
      </c>
      <c r="B86" t="s">
        <v>50</v>
      </c>
      <c r="C86" t="s">
        <v>163</v>
      </c>
      <c r="D86" s="4" t="s">
        <v>562</v>
      </c>
      <c r="E86" s="4" t="s">
        <v>554</v>
      </c>
      <c r="F86" s="4" t="s">
        <v>1976</v>
      </c>
      <c r="G86" t="s">
        <v>1372</v>
      </c>
      <c r="H86" t="s">
        <v>417</v>
      </c>
      <c r="I86" s="3">
        <f t="shared" si="1"/>
        <v>0</v>
      </c>
      <c r="J86" s="3">
        <f>D86/(VLOOKUP(B86,'2023 Team'!$B$2:$G$33,2,FALSE))</f>
        <v>0.14183123877917414</v>
      </c>
      <c r="K86" t="s">
        <v>1170</v>
      </c>
      <c r="L86" t="s">
        <v>314</v>
      </c>
    </row>
    <row r="87" spans="1:12" x14ac:dyDescent="0.25">
      <c r="A87" t="s">
        <v>499</v>
      </c>
      <c r="B87" t="s">
        <v>70</v>
      </c>
      <c r="C87" t="s">
        <v>159</v>
      </c>
      <c r="D87" s="4" t="s">
        <v>398</v>
      </c>
      <c r="E87" s="4" t="s">
        <v>450</v>
      </c>
      <c r="F87" s="4" t="s">
        <v>1667</v>
      </c>
      <c r="G87" t="s">
        <v>1328</v>
      </c>
      <c r="H87" t="s">
        <v>289</v>
      </c>
      <c r="I87" s="3">
        <f t="shared" si="1"/>
        <v>4.1666666666666664E-2</v>
      </c>
      <c r="J87" s="3">
        <f>D87/(VLOOKUP(B87,'2023 Team'!$B$2:$G$33,2,FALSE))</f>
        <v>9.276729559748427E-2</v>
      </c>
      <c r="K87" t="s">
        <v>1977</v>
      </c>
      <c r="L87" t="s">
        <v>229</v>
      </c>
    </row>
    <row r="88" spans="1:12" x14ac:dyDescent="0.25">
      <c r="A88" t="s">
        <v>1827</v>
      </c>
      <c r="B88" t="s">
        <v>48</v>
      </c>
      <c r="C88" t="s">
        <v>163</v>
      </c>
      <c r="D88" s="4" t="s">
        <v>536</v>
      </c>
      <c r="E88" s="4" t="s">
        <v>450</v>
      </c>
      <c r="F88" s="4" t="s">
        <v>340</v>
      </c>
      <c r="G88" t="s">
        <v>680</v>
      </c>
      <c r="H88" t="s">
        <v>314</v>
      </c>
      <c r="I88" s="3">
        <f t="shared" si="1"/>
        <v>6.25E-2</v>
      </c>
      <c r="J88" s="3">
        <f>D88/(VLOOKUP(B88,'2023 Team'!$B$2:$G$33,2,FALSE))</f>
        <v>0.11885895404120443</v>
      </c>
      <c r="K88" t="s">
        <v>1120</v>
      </c>
      <c r="L88" t="s">
        <v>300</v>
      </c>
    </row>
    <row r="89" spans="1:12" x14ac:dyDescent="0.25">
      <c r="A89" t="s">
        <v>1584</v>
      </c>
      <c r="B89" t="s">
        <v>32</v>
      </c>
      <c r="C89" t="s">
        <v>163</v>
      </c>
      <c r="D89" s="4" t="s">
        <v>536</v>
      </c>
      <c r="E89" s="4" t="s">
        <v>438</v>
      </c>
      <c r="F89" s="4" t="s">
        <v>1183</v>
      </c>
      <c r="G89" t="s">
        <v>1058</v>
      </c>
      <c r="H89" t="s">
        <v>207</v>
      </c>
      <c r="I89" s="3">
        <f t="shared" si="1"/>
        <v>0.14893617021276595</v>
      </c>
      <c r="J89" s="3">
        <f>D89/(VLOOKUP(B89,'2023 Team'!$B$2:$G$33,2,FALSE))</f>
        <v>0.1266891891891892</v>
      </c>
      <c r="K89" t="s">
        <v>1927</v>
      </c>
      <c r="L89" t="s">
        <v>300</v>
      </c>
    </row>
    <row r="90" spans="1:12" x14ac:dyDescent="0.25">
      <c r="A90" t="s">
        <v>927</v>
      </c>
      <c r="B90" t="s">
        <v>44</v>
      </c>
      <c r="C90" t="s">
        <v>153</v>
      </c>
      <c r="D90" s="4" t="s">
        <v>383</v>
      </c>
      <c r="E90" s="4" t="s">
        <v>438</v>
      </c>
      <c r="F90" s="4" t="s">
        <v>1978</v>
      </c>
      <c r="G90" t="s">
        <v>605</v>
      </c>
      <c r="H90" t="s">
        <v>289</v>
      </c>
      <c r="I90" s="3">
        <f t="shared" si="1"/>
        <v>4.2553191489361701E-2</v>
      </c>
      <c r="J90" s="3">
        <f>D90/(VLOOKUP(B90,'2023 Team'!$B$2:$G$33,2,FALSE))</f>
        <v>0.12006861063464837</v>
      </c>
      <c r="K90" t="s">
        <v>1232</v>
      </c>
      <c r="L90" t="s">
        <v>417</v>
      </c>
    </row>
    <row r="91" spans="1:12" x14ac:dyDescent="0.25">
      <c r="A91" t="s">
        <v>1027</v>
      </c>
      <c r="B91" t="s">
        <v>66</v>
      </c>
      <c r="C91" t="s">
        <v>153</v>
      </c>
      <c r="D91" s="4" t="s">
        <v>376</v>
      </c>
      <c r="E91" s="4" t="s">
        <v>438</v>
      </c>
      <c r="F91" s="4" t="s">
        <v>1971</v>
      </c>
      <c r="G91" t="s">
        <v>1233</v>
      </c>
      <c r="H91" t="s">
        <v>229</v>
      </c>
      <c r="I91" s="3">
        <f t="shared" si="1"/>
        <v>8.5106382978723402E-2</v>
      </c>
      <c r="J91" s="3">
        <f>D91/(VLOOKUP(B91,'2023 Team'!$B$2:$G$33,2,FALSE))</f>
        <v>0.11795774647887323</v>
      </c>
      <c r="K91" t="s">
        <v>1942</v>
      </c>
      <c r="L91" t="s">
        <v>300</v>
      </c>
    </row>
    <row r="92" spans="1:12" x14ac:dyDescent="0.25">
      <c r="A92" t="s">
        <v>263</v>
      </c>
      <c r="B92" t="s">
        <v>26</v>
      </c>
      <c r="C92" t="s">
        <v>159</v>
      </c>
      <c r="D92" s="4" t="s">
        <v>413</v>
      </c>
      <c r="E92" s="4" t="s">
        <v>438</v>
      </c>
      <c r="F92" s="4" t="s">
        <v>1607</v>
      </c>
      <c r="G92" t="s">
        <v>203</v>
      </c>
      <c r="H92" t="s">
        <v>289</v>
      </c>
      <c r="I92" s="3">
        <f t="shared" si="1"/>
        <v>4.2553191489361701E-2</v>
      </c>
      <c r="J92" s="3">
        <f>D92/(VLOOKUP(B92,'2023 Team'!$B$2:$G$33,2,FALSE))</f>
        <v>0.11306042884990253</v>
      </c>
      <c r="K92" t="s">
        <v>1334</v>
      </c>
      <c r="L92" t="s">
        <v>300</v>
      </c>
    </row>
    <row r="93" spans="1:12" x14ac:dyDescent="0.25">
      <c r="A93" t="s">
        <v>621</v>
      </c>
      <c r="B93" t="s">
        <v>52</v>
      </c>
      <c r="C93" t="s">
        <v>163</v>
      </c>
      <c r="D93" s="4" t="s">
        <v>536</v>
      </c>
      <c r="E93" s="4" t="s">
        <v>459</v>
      </c>
      <c r="F93" s="4" t="s">
        <v>1144</v>
      </c>
      <c r="G93" t="s">
        <v>1979</v>
      </c>
      <c r="H93" t="s">
        <v>220</v>
      </c>
      <c r="I93" s="3">
        <f t="shared" si="1"/>
        <v>0.10869565217391304</v>
      </c>
      <c r="J93" s="3">
        <f>D93/(VLOOKUP(B93,'2023 Team'!$B$2:$G$33,2,FALSE))</f>
        <v>0.12376237623762376</v>
      </c>
      <c r="K93" t="s">
        <v>1456</v>
      </c>
      <c r="L93" t="s">
        <v>300</v>
      </c>
    </row>
    <row r="94" spans="1:12" x14ac:dyDescent="0.25">
      <c r="A94" t="s">
        <v>571</v>
      </c>
      <c r="B94" t="s">
        <v>12</v>
      </c>
      <c r="C94" t="s">
        <v>153</v>
      </c>
      <c r="D94" s="4" t="s">
        <v>529</v>
      </c>
      <c r="E94" s="4" t="s">
        <v>452</v>
      </c>
      <c r="F94" s="4" t="s">
        <v>1980</v>
      </c>
      <c r="G94" t="s">
        <v>1350</v>
      </c>
      <c r="H94" t="s">
        <v>247</v>
      </c>
      <c r="I94" s="3">
        <f t="shared" si="1"/>
        <v>0.13333333333333333</v>
      </c>
      <c r="J94" s="3">
        <f>D94/(VLOOKUP(B94,'2023 Team'!$B$2:$G$33,2,FALSE))</f>
        <v>0.12348178137651822</v>
      </c>
      <c r="K94" t="s">
        <v>1981</v>
      </c>
      <c r="L94" t="s">
        <v>300</v>
      </c>
    </row>
    <row r="95" spans="1:12" x14ac:dyDescent="0.25">
      <c r="A95" t="s">
        <v>821</v>
      </c>
      <c r="B95" t="s">
        <v>14</v>
      </c>
      <c r="C95" t="s">
        <v>163</v>
      </c>
      <c r="D95" s="4" t="s">
        <v>698</v>
      </c>
      <c r="E95" s="4" t="s">
        <v>452</v>
      </c>
      <c r="F95" s="4" t="s">
        <v>335</v>
      </c>
      <c r="G95" t="s">
        <v>1526</v>
      </c>
      <c r="H95" t="s">
        <v>207</v>
      </c>
      <c r="I95" s="3">
        <f t="shared" si="1"/>
        <v>0.15555555555555556</v>
      </c>
      <c r="J95" s="3">
        <f>D95/(VLOOKUP(B95,'2023 Team'!$B$2:$G$33,2,FALSE))</f>
        <v>0.13989637305699482</v>
      </c>
      <c r="K95" t="s">
        <v>1496</v>
      </c>
      <c r="L95" t="s">
        <v>300</v>
      </c>
    </row>
    <row r="96" spans="1:12" x14ac:dyDescent="0.25">
      <c r="A96" t="s">
        <v>195</v>
      </c>
      <c r="B96" t="s">
        <v>14</v>
      </c>
      <c r="C96" s="1" t="s">
        <v>159</v>
      </c>
      <c r="D96" s="4" t="s">
        <v>429</v>
      </c>
      <c r="E96" s="4" t="s">
        <v>440</v>
      </c>
      <c r="F96" s="4" t="s">
        <v>1982</v>
      </c>
      <c r="G96" t="s">
        <v>1116</v>
      </c>
      <c r="H96" t="s">
        <v>229</v>
      </c>
      <c r="I96" s="3">
        <f t="shared" si="1"/>
        <v>9.0909090909090912E-2</v>
      </c>
      <c r="J96" s="3">
        <f>D96/(VLOOKUP(B96,'2023 Team'!$B$2:$G$33,2,FALSE))</f>
        <v>9.3264248704663211E-2</v>
      </c>
      <c r="K96" t="s">
        <v>1983</v>
      </c>
      <c r="L96" t="s">
        <v>229</v>
      </c>
    </row>
    <row r="97" spans="1:12" x14ac:dyDescent="0.25">
      <c r="A97" t="s">
        <v>519</v>
      </c>
      <c r="B97" t="s">
        <v>22</v>
      </c>
      <c r="C97" t="s">
        <v>159</v>
      </c>
      <c r="D97" s="4" t="s">
        <v>1094</v>
      </c>
      <c r="E97" s="4" t="s">
        <v>440</v>
      </c>
      <c r="F97" s="4" t="s">
        <v>1665</v>
      </c>
      <c r="G97" t="s">
        <v>691</v>
      </c>
      <c r="H97" t="s">
        <v>220</v>
      </c>
      <c r="I97" s="3">
        <f t="shared" si="1"/>
        <v>0.11363636363636363</v>
      </c>
      <c r="J97" s="3">
        <f>D97/(VLOOKUP(B97,'2023 Team'!$B$2:$G$33,2,FALSE))</f>
        <v>0.10096153846153846</v>
      </c>
      <c r="K97" t="s">
        <v>1344</v>
      </c>
      <c r="L97" t="s">
        <v>300</v>
      </c>
    </row>
    <row r="98" spans="1:12" x14ac:dyDescent="0.25">
      <c r="A98" t="s">
        <v>365</v>
      </c>
      <c r="B98" t="s">
        <v>38</v>
      </c>
      <c r="C98" t="s">
        <v>159</v>
      </c>
      <c r="D98" s="4" t="s">
        <v>554</v>
      </c>
      <c r="E98" s="4" t="s">
        <v>440</v>
      </c>
      <c r="F98" s="4" t="s">
        <v>1677</v>
      </c>
      <c r="G98" t="s">
        <v>445</v>
      </c>
      <c r="H98" t="s">
        <v>289</v>
      </c>
      <c r="I98" s="3">
        <f t="shared" si="1"/>
        <v>4.5454545454545456E-2</v>
      </c>
      <c r="J98" s="3">
        <f>D98/(VLOOKUP(B98,'2023 Team'!$B$2:$G$33,2,FALSE))</f>
        <v>7.716535433070866E-2</v>
      </c>
      <c r="K98" t="s">
        <v>1984</v>
      </c>
      <c r="L98" t="s">
        <v>300</v>
      </c>
    </row>
    <row r="99" spans="1:12" x14ac:dyDescent="0.25">
      <c r="A99" t="s">
        <v>858</v>
      </c>
      <c r="B99" t="s">
        <v>16</v>
      </c>
      <c r="C99" t="s">
        <v>163</v>
      </c>
      <c r="D99" s="4" t="s">
        <v>548</v>
      </c>
      <c r="E99" s="4" t="s">
        <v>444</v>
      </c>
      <c r="F99" s="4" t="s">
        <v>1985</v>
      </c>
      <c r="G99" t="s">
        <v>1233</v>
      </c>
      <c r="H99" t="s">
        <v>417</v>
      </c>
      <c r="I99" s="3">
        <f t="shared" si="1"/>
        <v>0</v>
      </c>
      <c r="J99" s="3">
        <f>D99/(VLOOKUP(B99,'2023 Team'!$B$2:$G$33,2,FALSE))</f>
        <v>0.14505119453924914</v>
      </c>
      <c r="K99" t="s">
        <v>1986</v>
      </c>
      <c r="L99" t="s">
        <v>300</v>
      </c>
    </row>
    <row r="100" spans="1:12" x14ac:dyDescent="0.25">
      <c r="A100" t="s">
        <v>966</v>
      </c>
      <c r="B100" t="s">
        <v>50</v>
      </c>
      <c r="C100" t="s">
        <v>153</v>
      </c>
      <c r="D100" s="4" t="s">
        <v>529</v>
      </c>
      <c r="E100" s="4" t="s">
        <v>1199</v>
      </c>
      <c r="F100" s="4" t="s">
        <v>1987</v>
      </c>
      <c r="G100" t="s">
        <v>662</v>
      </c>
      <c r="H100" t="s">
        <v>247</v>
      </c>
      <c r="I100" s="3">
        <f t="shared" si="1"/>
        <v>0.14285714285714285</v>
      </c>
      <c r="J100" s="3">
        <f>D100/(VLOOKUP(B100,'2023 Team'!$B$2:$G$33,2,FALSE))</f>
        <v>0.10951526032315978</v>
      </c>
      <c r="K100" t="s">
        <v>1302</v>
      </c>
      <c r="L100" t="s">
        <v>300</v>
      </c>
    </row>
    <row r="101" spans="1:12" x14ac:dyDescent="0.25">
      <c r="A101" t="s">
        <v>846</v>
      </c>
      <c r="B101" t="s">
        <v>20</v>
      </c>
      <c r="C101" t="s">
        <v>163</v>
      </c>
      <c r="D101" s="4" t="s">
        <v>533</v>
      </c>
      <c r="E101" s="4" t="s">
        <v>1199</v>
      </c>
      <c r="F101" s="4" t="s">
        <v>1646</v>
      </c>
      <c r="G101" t="s">
        <v>1979</v>
      </c>
      <c r="H101" t="s">
        <v>220</v>
      </c>
      <c r="I101" s="3">
        <f t="shared" si="1"/>
        <v>0.11904761904761904</v>
      </c>
      <c r="J101" s="3">
        <f>D101/(VLOOKUP(B101,'2023 Team'!$B$2:$G$33,2,FALSE))</f>
        <v>0.12357723577235773</v>
      </c>
      <c r="K101" t="s">
        <v>1988</v>
      </c>
      <c r="L101" t="s">
        <v>417</v>
      </c>
    </row>
    <row r="102" spans="1:12" x14ac:dyDescent="0.25">
      <c r="A102" t="s">
        <v>204</v>
      </c>
      <c r="B102" t="s">
        <v>54</v>
      </c>
      <c r="C102" t="s">
        <v>159</v>
      </c>
      <c r="D102" s="4" t="s">
        <v>477</v>
      </c>
      <c r="E102" s="4" t="s">
        <v>454</v>
      </c>
      <c r="F102" s="4" t="s">
        <v>205</v>
      </c>
      <c r="G102" t="s">
        <v>1539</v>
      </c>
      <c r="H102" t="s">
        <v>229</v>
      </c>
      <c r="I102" s="3">
        <f t="shared" si="1"/>
        <v>9.7560975609756101E-2</v>
      </c>
      <c r="J102" s="3">
        <f>D102/(VLOOKUP(B102,'2023 Team'!$B$2:$G$33,2,FALSE))</f>
        <v>0.11583011583011583</v>
      </c>
      <c r="K102" t="s">
        <v>1373</v>
      </c>
      <c r="L102" t="s">
        <v>289</v>
      </c>
    </row>
    <row r="103" spans="1:12" x14ac:dyDescent="0.25">
      <c r="A103" t="s">
        <v>1686</v>
      </c>
      <c r="B103" t="s">
        <v>8</v>
      </c>
      <c r="C103" t="s">
        <v>163</v>
      </c>
      <c r="D103" s="4" t="s">
        <v>573</v>
      </c>
      <c r="E103" s="4" t="s">
        <v>592</v>
      </c>
      <c r="F103" s="4" t="s">
        <v>1330</v>
      </c>
      <c r="G103" t="s">
        <v>1192</v>
      </c>
      <c r="H103" t="s">
        <v>300</v>
      </c>
      <c r="I103" s="3">
        <f t="shared" si="1"/>
        <v>2.5000000000000001E-2</v>
      </c>
      <c r="J103" s="3">
        <f>D103/(VLOOKUP(B103,'2023 Team'!$B$2:$G$33,2,FALSE))</f>
        <v>0.11171171171171171</v>
      </c>
      <c r="K103" t="s">
        <v>1091</v>
      </c>
      <c r="L103" t="s">
        <v>300</v>
      </c>
    </row>
    <row r="104" spans="1:12" x14ac:dyDescent="0.25">
      <c r="A104" t="s">
        <v>981</v>
      </c>
      <c r="B104" t="s">
        <v>28</v>
      </c>
      <c r="C104" t="s">
        <v>163</v>
      </c>
      <c r="D104" s="4" t="s">
        <v>424</v>
      </c>
      <c r="E104" s="4" t="s">
        <v>592</v>
      </c>
      <c r="F104" s="4" t="s">
        <v>1291</v>
      </c>
      <c r="G104" t="s">
        <v>1437</v>
      </c>
      <c r="H104" t="s">
        <v>220</v>
      </c>
      <c r="I104" s="3">
        <f t="shared" si="1"/>
        <v>0.125</v>
      </c>
      <c r="J104" s="3">
        <f>D104/(VLOOKUP(B104,'2023 Team'!$B$2:$G$33,2,FALSE))</f>
        <v>0.10561056105610561</v>
      </c>
      <c r="K104" t="s">
        <v>1185</v>
      </c>
      <c r="L104" t="s">
        <v>300</v>
      </c>
    </row>
    <row r="105" spans="1:12" x14ac:dyDescent="0.25">
      <c r="A105" t="s">
        <v>1768</v>
      </c>
      <c r="B105" t="s">
        <v>32</v>
      </c>
      <c r="C105" t="s">
        <v>163</v>
      </c>
      <c r="D105" s="4" t="s">
        <v>536</v>
      </c>
      <c r="E105" s="4" t="s">
        <v>592</v>
      </c>
      <c r="F105" s="4" t="s">
        <v>1989</v>
      </c>
      <c r="G105" t="s">
        <v>1331</v>
      </c>
      <c r="H105" t="s">
        <v>300</v>
      </c>
      <c r="I105" s="3">
        <f t="shared" si="1"/>
        <v>2.5000000000000001E-2</v>
      </c>
      <c r="J105" s="3">
        <f>D105/(VLOOKUP(B105,'2023 Team'!$B$2:$G$33,2,FALSE))</f>
        <v>0.1266891891891892</v>
      </c>
      <c r="K105" t="s">
        <v>1990</v>
      </c>
      <c r="L105" t="s">
        <v>417</v>
      </c>
    </row>
    <row r="106" spans="1:12" x14ac:dyDescent="0.25">
      <c r="A106" t="s">
        <v>926</v>
      </c>
      <c r="B106" t="s">
        <v>44</v>
      </c>
      <c r="C106" t="s">
        <v>163</v>
      </c>
      <c r="D106" s="4" t="s">
        <v>376</v>
      </c>
      <c r="E106" s="4" t="s">
        <v>470</v>
      </c>
      <c r="F106" s="4" t="s">
        <v>1301</v>
      </c>
      <c r="G106" t="s">
        <v>1360</v>
      </c>
      <c r="H106" t="s">
        <v>314</v>
      </c>
      <c r="I106" s="3">
        <f t="shared" si="1"/>
        <v>7.6923076923076927E-2</v>
      </c>
      <c r="J106" s="3">
        <f>D106/(VLOOKUP(B106,'2023 Team'!$B$2:$G$33,2,FALSE))</f>
        <v>0.11492281303602059</v>
      </c>
      <c r="K106" t="s">
        <v>1991</v>
      </c>
      <c r="L106" t="s">
        <v>417</v>
      </c>
    </row>
    <row r="107" spans="1:12" x14ac:dyDescent="0.25">
      <c r="A107" t="s">
        <v>320</v>
      </c>
      <c r="B107" t="s">
        <v>16</v>
      </c>
      <c r="C107" t="s">
        <v>159</v>
      </c>
      <c r="D107" s="4" t="s">
        <v>440</v>
      </c>
      <c r="E107" s="4" t="s">
        <v>470</v>
      </c>
      <c r="F107" s="4" t="s">
        <v>1604</v>
      </c>
      <c r="G107" t="s">
        <v>389</v>
      </c>
      <c r="H107" t="s">
        <v>417</v>
      </c>
      <c r="I107" s="3">
        <f t="shared" si="1"/>
        <v>0</v>
      </c>
      <c r="J107" s="3">
        <f>D107/(VLOOKUP(B107,'2023 Team'!$B$2:$G$33,2,FALSE))</f>
        <v>7.5085324232081918E-2</v>
      </c>
      <c r="K107" t="s">
        <v>1992</v>
      </c>
      <c r="L107" t="s">
        <v>300</v>
      </c>
    </row>
    <row r="108" spans="1:12" x14ac:dyDescent="0.25">
      <c r="A108" t="s">
        <v>847</v>
      </c>
      <c r="B108" t="s">
        <v>20</v>
      </c>
      <c r="C108" t="s">
        <v>153</v>
      </c>
      <c r="D108" s="4" t="s">
        <v>427</v>
      </c>
      <c r="E108" s="4" t="s">
        <v>470</v>
      </c>
      <c r="F108" s="4" t="s">
        <v>1330</v>
      </c>
      <c r="G108" t="s">
        <v>732</v>
      </c>
      <c r="H108" t="s">
        <v>300</v>
      </c>
      <c r="I108" s="3">
        <f t="shared" si="1"/>
        <v>2.564102564102564E-2</v>
      </c>
      <c r="J108" s="3">
        <f>D108/(VLOOKUP(B108,'2023 Team'!$B$2:$G$33,2,FALSE))</f>
        <v>8.1300813008130079E-2</v>
      </c>
      <c r="K108" t="s">
        <v>1326</v>
      </c>
      <c r="L108" t="s">
        <v>417</v>
      </c>
    </row>
    <row r="109" spans="1:12" x14ac:dyDescent="0.25">
      <c r="A109" t="s">
        <v>1734</v>
      </c>
      <c r="B109" t="s">
        <v>66</v>
      </c>
      <c r="C109" t="s">
        <v>163</v>
      </c>
      <c r="D109" s="4" t="s">
        <v>1125</v>
      </c>
      <c r="E109" s="4" t="s">
        <v>470</v>
      </c>
      <c r="F109" s="4" t="s">
        <v>1962</v>
      </c>
      <c r="G109" t="s">
        <v>1195</v>
      </c>
      <c r="H109" t="s">
        <v>314</v>
      </c>
      <c r="I109" s="3">
        <f t="shared" si="1"/>
        <v>7.6923076923076927E-2</v>
      </c>
      <c r="J109" s="3">
        <f>D109/(VLOOKUP(B109,'2023 Team'!$B$2:$G$33,2,FALSE))</f>
        <v>0.11971830985915492</v>
      </c>
      <c r="K109" t="s">
        <v>1093</v>
      </c>
      <c r="L109" t="s">
        <v>314</v>
      </c>
    </row>
    <row r="110" spans="1:12" x14ac:dyDescent="0.25">
      <c r="A110" t="s">
        <v>744</v>
      </c>
      <c r="B110" t="s">
        <v>14</v>
      </c>
      <c r="C110" t="s">
        <v>163</v>
      </c>
      <c r="D110" s="4" t="s">
        <v>452</v>
      </c>
      <c r="E110" s="4" t="s">
        <v>470</v>
      </c>
      <c r="F110" s="4" t="s">
        <v>307</v>
      </c>
      <c r="G110" t="s">
        <v>1123</v>
      </c>
      <c r="H110" t="s">
        <v>289</v>
      </c>
      <c r="I110" s="3">
        <f t="shared" si="1"/>
        <v>5.128205128205128E-2</v>
      </c>
      <c r="J110" s="3">
        <f>D110/(VLOOKUP(B110,'2023 Team'!$B$2:$G$33,2,FALSE))</f>
        <v>7.7720207253886009E-2</v>
      </c>
      <c r="K110" t="s">
        <v>1523</v>
      </c>
      <c r="L110" t="s">
        <v>300</v>
      </c>
    </row>
    <row r="111" spans="1:12" x14ac:dyDescent="0.25">
      <c r="A111" t="s">
        <v>267</v>
      </c>
      <c r="B111" t="s">
        <v>58</v>
      </c>
      <c r="C111" s="1" t="s">
        <v>159</v>
      </c>
      <c r="D111" s="4" t="s">
        <v>554</v>
      </c>
      <c r="E111" s="4" t="s">
        <v>470</v>
      </c>
      <c r="F111" s="4" t="s">
        <v>1616</v>
      </c>
      <c r="G111" t="s">
        <v>445</v>
      </c>
      <c r="H111" t="s">
        <v>300</v>
      </c>
      <c r="I111" s="3">
        <f t="shared" si="1"/>
        <v>2.564102564102564E-2</v>
      </c>
      <c r="J111" s="3">
        <f>D111/(VLOOKUP(B111,'2023 Team'!$B$2:$G$33,2,FALSE))</f>
        <v>8.7033747779751328E-2</v>
      </c>
      <c r="K111" t="s">
        <v>1313</v>
      </c>
      <c r="L111" t="s">
        <v>314</v>
      </c>
    </row>
    <row r="112" spans="1:12" x14ac:dyDescent="0.25">
      <c r="A112" t="s">
        <v>1853</v>
      </c>
      <c r="B112" t="s">
        <v>52</v>
      </c>
      <c r="C112" t="s">
        <v>163</v>
      </c>
      <c r="D112" s="4" t="s">
        <v>424</v>
      </c>
      <c r="E112" s="4" t="s">
        <v>470</v>
      </c>
      <c r="F112" s="4" t="s">
        <v>1993</v>
      </c>
      <c r="G112" t="s">
        <v>1181</v>
      </c>
      <c r="H112" t="s">
        <v>300</v>
      </c>
      <c r="I112" s="3">
        <f t="shared" si="1"/>
        <v>2.564102564102564E-2</v>
      </c>
      <c r="J112" s="3">
        <f>D112/(VLOOKUP(B112,'2023 Team'!$B$2:$G$33,2,FALSE))</f>
        <v>0.10561056105610561</v>
      </c>
      <c r="K112" t="s">
        <v>1494</v>
      </c>
      <c r="L112" t="s">
        <v>417</v>
      </c>
    </row>
    <row r="113" spans="1:12" x14ac:dyDescent="0.25">
      <c r="A113" t="s">
        <v>740</v>
      </c>
      <c r="B113" t="s">
        <v>30</v>
      </c>
      <c r="C113" t="s">
        <v>163</v>
      </c>
      <c r="D113" s="4" t="s">
        <v>413</v>
      </c>
      <c r="E113" s="4" t="s">
        <v>470</v>
      </c>
      <c r="F113" s="4" t="s">
        <v>1994</v>
      </c>
      <c r="G113" t="s">
        <v>1096</v>
      </c>
      <c r="H113" t="s">
        <v>229</v>
      </c>
      <c r="I113" s="3">
        <f t="shared" si="1"/>
        <v>0.10256410256410256</v>
      </c>
      <c r="J113" s="3">
        <f>D113/(VLOOKUP(B113,'2023 Team'!$B$2:$G$33,2,FALSE))</f>
        <v>9.9827882960413075E-2</v>
      </c>
      <c r="K113" t="s">
        <v>1995</v>
      </c>
      <c r="L113" t="s">
        <v>314</v>
      </c>
    </row>
    <row r="114" spans="1:12" x14ac:dyDescent="0.25">
      <c r="A114" t="s">
        <v>715</v>
      </c>
      <c r="B114" t="s">
        <v>42</v>
      </c>
      <c r="C114" t="s">
        <v>163</v>
      </c>
      <c r="D114" s="4" t="s">
        <v>376</v>
      </c>
      <c r="E114" s="4" t="s">
        <v>480</v>
      </c>
      <c r="F114" s="4" t="s">
        <v>1996</v>
      </c>
      <c r="G114" t="s">
        <v>680</v>
      </c>
      <c r="H114" t="s">
        <v>289</v>
      </c>
      <c r="I114" s="3">
        <f t="shared" si="1"/>
        <v>5.2631578947368418E-2</v>
      </c>
      <c r="J114" s="3">
        <f>D114/(VLOOKUP(B114,'2023 Team'!$B$2:$G$33,2,FALSE))</f>
        <v>0.1060126582278481</v>
      </c>
      <c r="K114" t="s">
        <v>1953</v>
      </c>
      <c r="L114" t="s">
        <v>417</v>
      </c>
    </row>
    <row r="115" spans="1:12" x14ac:dyDescent="0.25">
      <c r="A115" t="s">
        <v>827</v>
      </c>
      <c r="B115" t="s">
        <v>42</v>
      </c>
      <c r="C115" t="s">
        <v>163</v>
      </c>
      <c r="D115" s="4" t="s">
        <v>529</v>
      </c>
      <c r="E115" s="4" t="s">
        <v>480</v>
      </c>
      <c r="F115" s="4" t="s">
        <v>1994</v>
      </c>
      <c r="G115" t="s">
        <v>1263</v>
      </c>
      <c r="H115" t="s">
        <v>289</v>
      </c>
      <c r="I115" s="3">
        <f t="shared" si="1"/>
        <v>5.2631578947368418E-2</v>
      </c>
      <c r="J115" s="3">
        <f>D115/(VLOOKUP(B115,'2023 Team'!$B$2:$G$33,2,FALSE))</f>
        <v>9.6518987341772153E-2</v>
      </c>
      <c r="K115" t="s">
        <v>1161</v>
      </c>
      <c r="L115" t="s">
        <v>300</v>
      </c>
    </row>
    <row r="116" spans="1:12" x14ac:dyDescent="0.25">
      <c r="A116" t="s">
        <v>324</v>
      </c>
      <c r="B116" t="s">
        <v>50</v>
      </c>
      <c r="C116" t="s">
        <v>159</v>
      </c>
      <c r="D116" s="4" t="s">
        <v>582</v>
      </c>
      <c r="E116" s="4" t="s">
        <v>480</v>
      </c>
      <c r="F116" s="4" t="s">
        <v>223</v>
      </c>
      <c r="G116" t="s">
        <v>488</v>
      </c>
      <c r="H116" t="s">
        <v>417</v>
      </c>
      <c r="I116" s="3">
        <f t="shared" si="1"/>
        <v>0</v>
      </c>
      <c r="J116" s="3">
        <f>D116/(VLOOKUP(B116,'2023 Team'!$B$2:$G$33,2,FALSE))</f>
        <v>9.1561938958707359E-2</v>
      </c>
      <c r="K116" t="s">
        <v>1997</v>
      </c>
      <c r="L116" t="s">
        <v>300</v>
      </c>
    </row>
    <row r="117" spans="1:12" x14ac:dyDescent="0.25">
      <c r="A117" t="s">
        <v>800</v>
      </c>
      <c r="B117" t="s">
        <v>8</v>
      </c>
      <c r="C117" t="s">
        <v>163</v>
      </c>
      <c r="D117" s="4" t="s">
        <v>413</v>
      </c>
      <c r="E117" s="4" t="s">
        <v>480</v>
      </c>
      <c r="F117" s="4" t="s">
        <v>1998</v>
      </c>
      <c r="G117" t="s">
        <v>1096</v>
      </c>
      <c r="H117" t="s">
        <v>314</v>
      </c>
      <c r="I117" s="3">
        <f t="shared" si="1"/>
        <v>7.8947368421052627E-2</v>
      </c>
      <c r="J117" s="3">
        <f>D117/(VLOOKUP(B117,'2023 Team'!$B$2:$G$33,2,FALSE))</f>
        <v>0.10450450450450451</v>
      </c>
      <c r="K117" t="s">
        <v>1999</v>
      </c>
      <c r="L117" t="s">
        <v>417</v>
      </c>
    </row>
    <row r="118" spans="1:12" x14ac:dyDescent="0.25">
      <c r="A118" t="s">
        <v>1014</v>
      </c>
      <c r="B118" t="s">
        <v>50</v>
      </c>
      <c r="C118" t="s">
        <v>163</v>
      </c>
      <c r="D118" s="4" t="s">
        <v>433</v>
      </c>
      <c r="E118" s="4" t="s">
        <v>461</v>
      </c>
      <c r="F118" s="4" t="s">
        <v>2000</v>
      </c>
      <c r="G118" t="s">
        <v>779</v>
      </c>
      <c r="H118" t="s">
        <v>229</v>
      </c>
      <c r="I118" s="3">
        <f t="shared" si="1"/>
        <v>0.10810810810810811</v>
      </c>
      <c r="J118" s="3">
        <f>D118/(VLOOKUP(B118,'2023 Team'!$B$2:$G$33,2,FALSE))</f>
        <v>9.8743267504488336E-2</v>
      </c>
      <c r="K118" t="s">
        <v>1149</v>
      </c>
      <c r="L118" t="s">
        <v>300</v>
      </c>
    </row>
    <row r="119" spans="1:12" x14ac:dyDescent="0.25">
      <c r="A119" t="s">
        <v>231</v>
      </c>
      <c r="B119" t="s">
        <v>40</v>
      </c>
      <c r="C119" t="s">
        <v>159</v>
      </c>
      <c r="D119" s="4" t="s">
        <v>429</v>
      </c>
      <c r="E119" s="4" t="s">
        <v>461</v>
      </c>
      <c r="F119" s="4" t="s">
        <v>2001</v>
      </c>
      <c r="G119" t="s">
        <v>531</v>
      </c>
      <c r="H119" t="s">
        <v>417</v>
      </c>
      <c r="I119" s="3">
        <f t="shared" si="1"/>
        <v>0</v>
      </c>
      <c r="J119" s="3">
        <f>D119/(VLOOKUP(B119,'2023 Team'!$B$2:$G$33,2,FALSE))</f>
        <v>9.6947935368043081E-2</v>
      </c>
      <c r="K119" t="s">
        <v>2002</v>
      </c>
      <c r="L119" t="s">
        <v>314</v>
      </c>
    </row>
    <row r="120" spans="1:12" x14ac:dyDescent="0.25">
      <c r="A120" t="s">
        <v>956</v>
      </c>
      <c r="B120" t="s">
        <v>52</v>
      </c>
      <c r="C120" t="s">
        <v>153</v>
      </c>
      <c r="D120" s="4" t="s">
        <v>398</v>
      </c>
      <c r="E120" s="4" t="s">
        <v>461</v>
      </c>
      <c r="F120" s="4" t="s">
        <v>1298</v>
      </c>
      <c r="G120" t="s">
        <v>1195</v>
      </c>
      <c r="H120" t="s">
        <v>229</v>
      </c>
      <c r="I120" s="3">
        <f t="shared" si="1"/>
        <v>0.10810810810810811</v>
      </c>
      <c r="J120" s="3">
        <f>D120/(VLOOKUP(B120,'2023 Team'!$B$2:$G$33,2,FALSE))</f>
        <v>9.7359735973597358E-2</v>
      </c>
      <c r="K120" t="s">
        <v>1927</v>
      </c>
      <c r="L120" t="s">
        <v>417</v>
      </c>
    </row>
    <row r="121" spans="1:12" x14ac:dyDescent="0.25">
      <c r="A121" t="s">
        <v>373</v>
      </c>
      <c r="B121" t="s">
        <v>70</v>
      </c>
      <c r="C121" t="s">
        <v>159</v>
      </c>
      <c r="D121" s="4" t="s">
        <v>444</v>
      </c>
      <c r="E121" s="4" t="s">
        <v>476</v>
      </c>
      <c r="F121" s="4" t="s">
        <v>1298</v>
      </c>
      <c r="G121" t="s">
        <v>1148</v>
      </c>
      <c r="H121" t="s">
        <v>229</v>
      </c>
      <c r="I121" s="3">
        <f t="shared" si="1"/>
        <v>0.1111111111111111</v>
      </c>
      <c r="J121" s="3">
        <f>D121/(VLOOKUP(B121,'2023 Team'!$B$2:$G$33,2,FALSE))</f>
        <v>6.761006289308176E-2</v>
      </c>
      <c r="K121" t="s">
        <v>2003</v>
      </c>
      <c r="L121" t="s">
        <v>229</v>
      </c>
    </row>
    <row r="122" spans="1:12" x14ac:dyDescent="0.25">
      <c r="A122" t="s">
        <v>1770</v>
      </c>
      <c r="B122" t="s">
        <v>12</v>
      </c>
      <c r="C122" t="s">
        <v>163</v>
      </c>
      <c r="D122" s="4" t="s">
        <v>452</v>
      </c>
      <c r="E122" s="4" t="s">
        <v>467</v>
      </c>
      <c r="F122" s="4" t="s">
        <v>2004</v>
      </c>
      <c r="G122" t="s">
        <v>1184</v>
      </c>
      <c r="H122" t="s">
        <v>229</v>
      </c>
      <c r="I122" s="3">
        <f t="shared" si="1"/>
        <v>0.11428571428571428</v>
      </c>
      <c r="J122" s="3">
        <f>D122/(VLOOKUP(B122,'2023 Team'!$B$2:$G$33,2,FALSE))</f>
        <v>9.1093117408906882E-2</v>
      </c>
      <c r="K122" t="s">
        <v>1424</v>
      </c>
      <c r="L122" t="s">
        <v>300</v>
      </c>
    </row>
    <row r="123" spans="1:12" x14ac:dyDescent="0.25">
      <c r="A123" t="s">
        <v>1774</v>
      </c>
      <c r="B123" t="s">
        <v>12</v>
      </c>
      <c r="C123" t="s">
        <v>163</v>
      </c>
      <c r="D123" s="4" t="s">
        <v>424</v>
      </c>
      <c r="E123" s="4" t="s">
        <v>467</v>
      </c>
      <c r="F123" s="4" t="s">
        <v>1998</v>
      </c>
      <c r="G123" t="s">
        <v>2005</v>
      </c>
      <c r="H123" t="s">
        <v>314</v>
      </c>
      <c r="I123" s="3">
        <f t="shared" si="1"/>
        <v>8.5714285714285715E-2</v>
      </c>
      <c r="J123" s="3">
        <f>D123/(VLOOKUP(B123,'2023 Team'!$B$2:$G$33,2,FALSE))</f>
        <v>0.12955465587044535</v>
      </c>
      <c r="K123" t="s">
        <v>1271</v>
      </c>
      <c r="L123" t="s">
        <v>300</v>
      </c>
    </row>
    <row r="124" spans="1:12" x14ac:dyDescent="0.25">
      <c r="A124" t="s">
        <v>1781</v>
      </c>
      <c r="B124" t="s">
        <v>16</v>
      </c>
      <c r="C124" t="s">
        <v>163</v>
      </c>
      <c r="D124" s="4" t="s">
        <v>1160</v>
      </c>
      <c r="E124" s="4" t="s">
        <v>467</v>
      </c>
      <c r="F124" s="4" t="s">
        <v>1287</v>
      </c>
      <c r="G124" t="s">
        <v>1212</v>
      </c>
      <c r="H124" t="s">
        <v>220</v>
      </c>
      <c r="I124" s="3">
        <f t="shared" si="1"/>
        <v>0.14285714285714285</v>
      </c>
      <c r="J124" s="3">
        <f>D124/(VLOOKUP(B124,'2023 Team'!$B$2:$G$33,2,FALSE))</f>
        <v>0.11262798634812286</v>
      </c>
      <c r="K124" t="s">
        <v>2006</v>
      </c>
      <c r="L124" t="s">
        <v>289</v>
      </c>
    </row>
    <row r="125" spans="1:12" x14ac:dyDescent="0.25">
      <c r="A125" t="s">
        <v>722</v>
      </c>
      <c r="B125" t="s">
        <v>28</v>
      </c>
      <c r="C125" t="s">
        <v>163</v>
      </c>
      <c r="D125" s="4" t="s">
        <v>440</v>
      </c>
      <c r="E125" s="4" t="s">
        <v>467</v>
      </c>
      <c r="F125" s="4" t="s">
        <v>1361</v>
      </c>
      <c r="G125" t="s">
        <v>696</v>
      </c>
      <c r="H125" t="s">
        <v>300</v>
      </c>
      <c r="I125" s="3">
        <f t="shared" si="1"/>
        <v>2.8571428571428571E-2</v>
      </c>
      <c r="J125" s="3">
        <f>D125/(VLOOKUP(B125,'2023 Team'!$B$2:$G$33,2,FALSE))</f>
        <v>7.2607260726072612E-2</v>
      </c>
      <c r="K125" t="s">
        <v>1956</v>
      </c>
      <c r="L125" t="s">
        <v>300</v>
      </c>
    </row>
    <row r="126" spans="1:12" x14ac:dyDescent="0.25">
      <c r="A126" t="s">
        <v>839</v>
      </c>
      <c r="B126" t="s">
        <v>46</v>
      </c>
      <c r="C126" t="s">
        <v>153</v>
      </c>
      <c r="D126" s="4" t="s">
        <v>444</v>
      </c>
      <c r="E126" s="4" t="s">
        <v>467</v>
      </c>
      <c r="F126" s="4" t="s">
        <v>2007</v>
      </c>
      <c r="G126" t="s">
        <v>605</v>
      </c>
      <c r="H126" t="s">
        <v>417</v>
      </c>
      <c r="I126" s="3">
        <f t="shared" si="1"/>
        <v>0</v>
      </c>
      <c r="J126" s="3">
        <f>D126/(VLOOKUP(B126,'2023 Team'!$B$2:$G$33,2,FALSE))</f>
        <v>7.5971731448763249E-2</v>
      </c>
      <c r="K126" t="s">
        <v>1977</v>
      </c>
      <c r="L126" t="s">
        <v>417</v>
      </c>
    </row>
    <row r="127" spans="1:12" x14ac:dyDescent="0.25">
      <c r="A127" t="s">
        <v>1798</v>
      </c>
      <c r="B127" t="s">
        <v>24</v>
      </c>
      <c r="C127" t="s">
        <v>163</v>
      </c>
      <c r="D127" s="4" t="s">
        <v>436</v>
      </c>
      <c r="E127" s="4" t="s">
        <v>679</v>
      </c>
      <c r="F127" s="4" t="s">
        <v>1985</v>
      </c>
      <c r="G127" t="s">
        <v>1236</v>
      </c>
      <c r="H127" t="s">
        <v>289</v>
      </c>
      <c r="I127" s="3">
        <f t="shared" si="1"/>
        <v>5.8823529411764705E-2</v>
      </c>
      <c r="J127" s="3">
        <f>D127/(VLOOKUP(B127,'2023 Team'!$B$2:$G$33,2,FALSE))</f>
        <v>9.2833876221498371E-2</v>
      </c>
      <c r="K127" t="s">
        <v>1066</v>
      </c>
      <c r="L127" t="s">
        <v>417</v>
      </c>
    </row>
    <row r="128" spans="1:12" x14ac:dyDescent="0.25">
      <c r="A128" t="s">
        <v>716</v>
      </c>
      <c r="B128" t="s">
        <v>18</v>
      </c>
      <c r="C128" t="s">
        <v>159</v>
      </c>
      <c r="D128" s="4" t="s">
        <v>592</v>
      </c>
      <c r="E128" s="4" t="s">
        <v>679</v>
      </c>
      <c r="F128" s="4" t="s">
        <v>451</v>
      </c>
      <c r="G128" t="s">
        <v>568</v>
      </c>
      <c r="H128" t="s">
        <v>417</v>
      </c>
      <c r="I128" s="3">
        <f t="shared" si="1"/>
        <v>0</v>
      </c>
      <c r="J128" s="3">
        <f>D128/(VLOOKUP(B128,'2023 Team'!$B$2:$G$33,2,FALSE))</f>
        <v>7.7972709551656916E-2</v>
      </c>
      <c r="K128" t="s">
        <v>2008</v>
      </c>
      <c r="L128" t="s">
        <v>300</v>
      </c>
    </row>
    <row r="129" spans="1:12" x14ac:dyDescent="0.25">
      <c r="A129" t="s">
        <v>794</v>
      </c>
      <c r="B129" t="s">
        <v>36</v>
      </c>
      <c r="C129" t="s">
        <v>163</v>
      </c>
      <c r="D129" s="4" t="s">
        <v>424</v>
      </c>
      <c r="E129" s="4" t="s">
        <v>679</v>
      </c>
      <c r="F129" s="4" t="s">
        <v>2009</v>
      </c>
      <c r="G129" t="s">
        <v>1323</v>
      </c>
      <c r="H129" t="s">
        <v>289</v>
      </c>
      <c r="I129" s="3">
        <f t="shared" si="1"/>
        <v>5.8823529411764705E-2</v>
      </c>
      <c r="J129" s="3">
        <f>D129/(VLOOKUP(B129,'2023 Team'!$B$2:$G$33,2,FALSE))</f>
        <v>0.1032258064516129</v>
      </c>
      <c r="K129" t="s">
        <v>2010</v>
      </c>
      <c r="L129" t="s">
        <v>417</v>
      </c>
    </row>
    <row r="130" spans="1:12" x14ac:dyDescent="0.25">
      <c r="A130" t="s">
        <v>883</v>
      </c>
      <c r="B130" t="s">
        <v>30</v>
      </c>
      <c r="C130" t="s">
        <v>153</v>
      </c>
      <c r="D130" s="4" t="s">
        <v>459</v>
      </c>
      <c r="E130" s="4" t="s">
        <v>679</v>
      </c>
      <c r="F130" s="4" t="s">
        <v>1330</v>
      </c>
      <c r="G130" t="s">
        <v>1156</v>
      </c>
      <c r="H130" t="s">
        <v>300</v>
      </c>
      <c r="I130" s="3">
        <f t="shared" ref="I130:I192" si="2">H130/E130</f>
        <v>2.9411764705882353E-2</v>
      </c>
      <c r="J130" s="3">
        <f>D130/(VLOOKUP(B130,'2023 Team'!$B$2:$G$33,2,FALSE))</f>
        <v>7.9173838209982791E-2</v>
      </c>
      <c r="K130" t="s">
        <v>1388</v>
      </c>
      <c r="L130" t="s">
        <v>417</v>
      </c>
    </row>
    <row r="131" spans="1:12" x14ac:dyDescent="0.25">
      <c r="A131" t="s">
        <v>1838</v>
      </c>
      <c r="B131" t="s">
        <v>60</v>
      </c>
      <c r="C131" t="s">
        <v>163</v>
      </c>
      <c r="D131" s="4" t="s">
        <v>554</v>
      </c>
      <c r="E131" s="4" t="s">
        <v>679</v>
      </c>
      <c r="F131" s="4" t="s">
        <v>205</v>
      </c>
      <c r="G131" t="s">
        <v>1309</v>
      </c>
      <c r="H131" t="s">
        <v>417</v>
      </c>
      <c r="I131" s="3">
        <f t="shared" si="2"/>
        <v>0</v>
      </c>
      <c r="J131" s="3">
        <f>D131/(VLOOKUP(B131,'2023 Team'!$B$2:$G$33,2,FALSE))</f>
        <v>9.6837944664031617E-2</v>
      </c>
      <c r="K131" t="s">
        <v>1222</v>
      </c>
      <c r="L131" t="s">
        <v>417</v>
      </c>
    </row>
    <row r="132" spans="1:12" x14ac:dyDescent="0.25">
      <c r="A132" t="s">
        <v>1042</v>
      </c>
      <c r="B132" t="s">
        <v>32</v>
      </c>
      <c r="C132" t="s">
        <v>163</v>
      </c>
      <c r="D132" s="4" t="s">
        <v>433</v>
      </c>
      <c r="E132" s="4" t="s">
        <v>485</v>
      </c>
      <c r="F132" s="4" t="s">
        <v>2011</v>
      </c>
      <c r="G132" t="s">
        <v>1173</v>
      </c>
      <c r="H132" t="s">
        <v>289</v>
      </c>
      <c r="I132" s="3">
        <f t="shared" si="2"/>
        <v>6.0606060606060608E-2</v>
      </c>
      <c r="J132" s="3">
        <f>D132/(VLOOKUP(B132,'2023 Team'!$B$2:$G$33,2,FALSE))</f>
        <v>9.29054054054054E-2</v>
      </c>
      <c r="K132" t="s">
        <v>1290</v>
      </c>
      <c r="L132" t="s">
        <v>417</v>
      </c>
    </row>
    <row r="133" spans="1:12" x14ac:dyDescent="0.25">
      <c r="A133" t="s">
        <v>274</v>
      </c>
      <c r="B133" t="s">
        <v>64</v>
      </c>
      <c r="C133" t="s">
        <v>159</v>
      </c>
      <c r="D133" s="4" t="s">
        <v>592</v>
      </c>
      <c r="E133" s="4" t="s">
        <v>485</v>
      </c>
      <c r="F133" s="4" t="s">
        <v>451</v>
      </c>
      <c r="G133" t="s">
        <v>488</v>
      </c>
      <c r="H133" t="s">
        <v>417</v>
      </c>
      <c r="I133" s="3">
        <f t="shared" si="2"/>
        <v>0</v>
      </c>
      <c r="J133" s="3">
        <f>D133/(VLOOKUP(B133,'2023 Team'!$B$2:$G$33,2,FALSE))</f>
        <v>6.9565217391304349E-2</v>
      </c>
      <c r="K133" t="s">
        <v>1386</v>
      </c>
      <c r="L133" t="s">
        <v>417</v>
      </c>
    </row>
    <row r="134" spans="1:12" x14ac:dyDescent="0.25">
      <c r="A134" t="s">
        <v>152</v>
      </c>
      <c r="B134" t="s">
        <v>52</v>
      </c>
      <c r="C134" t="s">
        <v>1571</v>
      </c>
      <c r="D134" s="4" t="s">
        <v>592</v>
      </c>
      <c r="E134" s="4" t="s">
        <v>485</v>
      </c>
      <c r="F134" s="4" t="s">
        <v>1385</v>
      </c>
      <c r="G134" t="s">
        <v>1192</v>
      </c>
      <c r="H134" t="s">
        <v>289</v>
      </c>
      <c r="I134" s="3">
        <f t="shared" si="2"/>
        <v>6.0606060606060608E-2</v>
      </c>
      <c r="J134" s="3">
        <f>D134/(VLOOKUP(B134,'2023 Team'!$B$2:$G$33,2,FALSE))</f>
        <v>6.6006600660066E-2</v>
      </c>
      <c r="K134" t="s">
        <v>1386</v>
      </c>
      <c r="L134" t="s">
        <v>300</v>
      </c>
    </row>
    <row r="135" spans="1:12" x14ac:dyDescent="0.25">
      <c r="A135" t="s">
        <v>1829</v>
      </c>
      <c r="B135" t="s">
        <v>50</v>
      </c>
      <c r="C135" t="s">
        <v>163</v>
      </c>
      <c r="D135" s="4" t="s">
        <v>433</v>
      </c>
      <c r="E135" s="4" t="s">
        <v>485</v>
      </c>
      <c r="F135" s="4" t="s">
        <v>1379</v>
      </c>
      <c r="G135" t="s">
        <v>1132</v>
      </c>
      <c r="H135" t="s">
        <v>417</v>
      </c>
      <c r="I135" s="3">
        <f t="shared" si="2"/>
        <v>0</v>
      </c>
      <c r="J135" s="3">
        <f>D135/(VLOOKUP(B135,'2023 Team'!$B$2:$G$33,2,FALSE))</f>
        <v>9.8743267504488336E-2</v>
      </c>
      <c r="K135" t="s">
        <v>1290</v>
      </c>
      <c r="L135" t="s">
        <v>417</v>
      </c>
    </row>
    <row r="136" spans="1:12" x14ac:dyDescent="0.25">
      <c r="A136" t="s">
        <v>812</v>
      </c>
      <c r="B136" t="s">
        <v>12</v>
      </c>
      <c r="C136" t="s">
        <v>163</v>
      </c>
      <c r="D136" s="4" t="s">
        <v>1244</v>
      </c>
      <c r="E136" s="4" t="s">
        <v>475</v>
      </c>
      <c r="F136" s="4" t="s">
        <v>2012</v>
      </c>
      <c r="G136" t="s">
        <v>1181</v>
      </c>
      <c r="H136" t="s">
        <v>300</v>
      </c>
      <c r="I136" s="3">
        <f t="shared" si="2"/>
        <v>3.125E-2</v>
      </c>
      <c r="J136" s="3">
        <f>D136/(VLOOKUP(B136,'2023 Team'!$B$2:$G$33,2,FALSE))</f>
        <v>0.11336032388663968</v>
      </c>
      <c r="K136" t="s">
        <v>1488</v>
      </c>
      <c r="L136" t="s">
        <v>417</v>
      </c>
    </row>
    <row r="137" spans="1:12" x14ac:dyDescent="0.25">
      <c r="A137" t="s">
        <v>841</v>
      </c>
      <c r="B137" t="s">
        <v>64</v>
      </c>
      <c r="C137" t="s">
        <v>153</v>
      </c>
      <c r="D137" s="4" t="s">
        <v>444</v>
      </c>
      <c r="E137" s="4" t="s">
        <v>475</v>
      </c>
      <c r="F137" s="4" t="s">
        <v>2013</v>
      </c>
      <c r="G137" t="s">
        <v>1090</v>
      </c>
      <c r="H137" t="s">
        <v>417</v>
      </c>
      <c r="I137" s="3">
        <f t="shared" si="2"/>
        <v>0</v>
      </c>
      <c r="J137" s="3">
        <f>D137/(VLOOKUP(B137,'2023 Team'!$B$2:$G$33,2,FALSE))</f>
        <v>7.4782608695652175E-2</v>
      </c>
      <c r="K137" t="s">
        <v>1191</v>
      </c>
      <c r="L137" t="s">
        <v>417</v>
      </c>
    </row>
    <row r="138" spans="1:12" x14ac:dyDescent="0.25">
      <c r="A138" t="s">
        <v>1000</v>
      </c>
      <c r="B138" t="s">
        <v>60</v>
      </c>
      <c r="C138" t="s">
        <v>153</v>
      </c>
      <c r="D138" s="4" t="s">
        <v>438</v>
      </c>
      <c r="E138" s="4" t="s">
        <v>475</v>
      </c>
      <c r="F138" s="4" t="s">
        <v>2014</v>
      </c>
      <c r="G138" t="s">
        <v>1112</v>
      </c>
      <c r="H138" t="s">
        <v>289</v>
      </c>
      <c r="I138" s="3">
        <f t="shared" si="2"/>
        <v>6.25E-2</v>
      </c>
      <c r="J138" s="3">
        <f>D138/(VLOOKUP(B138,'2023 Team'!$B$2:$G$33,2,FALSE))</f>
        <v>9.2885375494071151E-2</v>
      </c>
      <c r="K138" t="s">
        <v>1101</v>
      </c>
      <c r="L138" t="s">
        <v>417</v>
      </c>
    </row>
    <row r="139" spans="1:12" x14ac:dyDescent="0.25">
      <c r="A139" t="s">
        <v>897</v>
      </c>
      <c r="B139" t="s">
        <v>34</v>
      </c>
      <c r="C139" t="s">
        <v>163</v>
      </c>
      <c r="D139" s="4" t="s">
        <v>422</v>
      </c>
      <c r="E139" s="4" t="s">
        <v>475</v>
      </c>
      <c r="F139" s="4" t="s">
        <v>319</v>
      </c>
      <c r="G139" t="s">
        <v>2005</v>
      </c>
      <c r="H139" t="s">
        <v>289</v>
      </c>
      <c r="I139" s="3">
        <f t="shared" si="2"/>
        <v>6.25E-2</v>
      </c>
      <c r="J139" s="3">
        <f>D139/(VLOOKUP(B139,'2023 Team'!$B$2:$G$33,2,FALSE))</f>
        <v>0.1132404181184669</v>
      </c>
      <c r="K139" t="s">
        <v>2015</v>
      </c>
      <c r="L139" t="s">
        <v>417</v>
      </c>
    </row>
    <row r="140" spans="1:12" x14ac:dyDescent="0.25">
      <c r="A140" t="s">
        <v>248</v>
      </c>
      <c r="B140" t="s">
        <v>44</v>
      </c>
      <c r="C140" t="s">
        <v>159</v>
      </c>
      <c r="D140" s="4" t="s">
        <v>450</v>
      </c>
      <c r="E140" s="4" t="s">
        <v>475</v>
      </c>
      <c r="F140" s="4" t="s">
        <v>437</v>
      </c>
      <c r="G140" t="s">
        <v>1687</v>
      </c>
      <c r="H140" t="s">
        <v>314</v>
      </c>
      <c r="I140" s="3">
        <f t="shared" si="2"/>
        <v>9.375E-2</v>
      </c>
      <c r="J140" s="3">
        <f>D140/(VLOOKUP(B140,'2023 Team'!$B$2:$G$33,2,FALSE))</f>
        <v>8.2332761578044603E-2</v>
      </c>
      <c r="K140" t="s">
        <v>1297</v>
      </c>
      <c r="L140" t="s">
        <v>314</v>
      </c>
    </row>
    <row r="141" spans="1:12" x14ac:dyDescent="0.25">
      <c r="A141" t="s">
        <v>738</v>
      </c>
      <c r="B141" t="s">
        <v>30</v>
      </c>
      <c r="C141" t="s">
        <v>153</v>
      </c>
      <c r="D141" s="4" t="s">
        <v>592</v>
      </c>
      <c r="E141" s="4" t="s">
        <v>493</v>
      </c>
      <c r="F141" s="4" t="s">
        <v>2016</v>
      </c>
      <c r="G141" t="s">
        <v>1181</v>
      </c>
      <c r="H141" t="s">
        <v>289</v>
      </c>
      <c r="I141" s="3">
        <f t="shared" si="2"/>
        <v>6.4516129032258063E-2</v>
      </c>
      <c r="J141" s="3">
        <f>D141/(VLOOKUP(B141,'2023 Team'!$B$2:$G$33,2,FALSE))</f>
        <v>6.8846815834767636E-2</v>
      </c>
      <c r="K141" t="s">
        <v>1909</v>
      </c>
      <c r="L141" t="s">
        <v>417</v>
      </c>
    </row>
    <row r="142" spans="1:12" x14ac:dyDescent="0.25">
      <c r="A142" t="s">
        <v>482</v>
      </c>
      <c r="B142" t="s">
        <v>26</v>
      </c>
      <c r="C142" t="s">
        <v>159</v>
      </c>
      <c r="D142" s="4" t="s">
        <v>476</v>
      </c>
      <c r="E142" s="4" t="s">
        <v>493</v>
      </c>
      <c r="F142" s="4" t="s">
        <v>518</v>
      </c>
      <c r="G142" t="s">
        <v>194</v>
      </c>
      <c r="H142" t="s">
        <v>289</v>
      </c>
      <c r="I142" s="3">
        <f t="shared" si="2"/>
        <v>6.4516129032258063E-2</v>
      </c>
      <c r="J142" s="3">
        <f>D142/(VLOOKUP(B142,'2023 Team'!$B$2:$G$33,2,FALSE))</f>
        <v>7.0175438596491224E-2</v>
      </c>
      <c r="K142" t="s">
        <v>1399</v>
      </c>
      <c r="L142" t="s">
        <v>417</v>
      </c>
    </row>
    <row r="143" spans="1:12" x14ac:dyDescent="0.25">
      <c r="A143" t="s">
        <v>807</v>
      </c>
      <c r="B143" t="s">
        <v>18</v>
      </c>
      <c r="C143" t="s">
        <v>163</v>
      </c>
      <c r="D143" s="4" t="s">
        <v>529</v>
      </c>
      <c r="E143" s="4" t="s">
        <v>493</v>
      </c>
      <c r="F143" s="4" t="s">
        <v>2013</v>
      </c>
      <c r="G143" t="s">
        <v>1913</v>
      </c>
      <c r="H143" t="s">
        <v>300</v>
      </c>
      <c r="I143" s="3">
        <f t="shared" si="2"/>
        <v>3.2258064516129031E-2</v>
      </c>
      <c r="J143" s="3">
        <f>D143/(VLOOKUP(B143,'2023 Team'!$B$2:$G$33,2,FALSE))</f>
        <v>0.1189083820662768</v>
      </c>
      <c r="K143" t="s">
        <v>2017</v>
      </c>
      <c r="L143" t="s">
        <v>417</v>
      </c>
    </row>
    <row r="144" spans="1:12" x14ac:dyDescent="0.25">
      <c r="A144" t="s">
        <v>359</v>
      </c>
      <c r="B144" t="s">
        <v>58</v>
      </c>
      <c r="C144" t="s">
        <v>159</v>
      </c>
      <c r="D144" s="4" t="s">
        <v>461</v>
      </c>
      <c r="E144" s="4" t="s">
        <v>639</v>
      </c>
      <c r="F144" s="4" t="s">
        <v>1513</v>
      </c>
      <c r="G144" t="s">
        <v>568</v>
      </c>
      <c r="H144" t="s">
        <v>417</v>
      </c>
      <c r="I144" s="3">
        <f t="shared" si="2"/>
        <v>0</v>
      </c>
      <c r="J144" s="3">
        <f>D144/(VLOOKUP(B144,'2023 Team'!$B$2:$G$33,2,FALSE))</f>
        <v>6.5719360568383664E-2</v>
      </c>
      <c r="K144" t="s">
        <v>1448</v>
      </c>
      <c r="L144" t="s">
        <v>314</v>
      </c>
    </row>
    <row r="145" spans="1:12" x14ac:dyDescent="0.25">
      <c r="A145" t="s">
        <v>995</v>
      </c>
      <c r="B145" t="s">
        <v>34</v>
      </c>
      <c r="C145" t="s">
        <v>153</v>
      </c>
      <c r="D145" s="4" t="s">
        <v>427</v>
      </c>
      <c r="E145" s="4" t="s">
        <v>639</v>
      </c>
      <c r="F145" s="4" t="s">
        <v>1298</v>
      </c>
      <c r="G145" t="s">
        <v>1236</v>
      </c>
      <c r="H145" t="s">
        <v>300</v>
      </c>
      <c r="I145" s="3">
        <f t="shared" si="2"/>
        <v>3.3333333333333333E-2</v>
      </c>
      <c r="J145" s="3">
        <f>D145/(VLOOKUP(B145,'2023 Team'!$B$2:$G$33,2,FALSE))</f>
        <v>8.7108013937282236E-2</v>
      </c>
      <c r="K145" t="s">
        <v>1290</v>
      </c>
      <c r="L145" t="s">
        <v>417</v>
      </c>
    </row>
    <row r="146" spans="1:12" x14ac:dyDescent="0.25">
      <c r="A146" t="s">
        <v>308</v>
      </c>
      <c r="B146" t="s">
        <v>30</v>
      </c>
      <c r="C146" t="s">
        <v>159</v>
      </c>
      <c r="D146" s="4" t="s">
        <v>444</v>
      </c>
      <c r="E146" s="4" t="s">
        <v>639</v>
      </c>
      <c r="F146" s="4" t="s">
        <v>1604</v>
      </c>
      <c r="G146" t="s">
        <v>611</v>
      </c>
      <c r="H146" t="s">
        <v>300</v>
      </c>
      <c r="I146" s="3">
        <f t="shared" si="2"/>
        <v>3.3333333333333333E-2</v>
      </c>
      <c r="J146" s="3">
        <f>D146/(VLOOKUP(B146,'2023 Team'!$B$2:$G$33,2,FALSE))</f>
        <v>7.4010327022375214E-2</v>
      </c>
      <c r="K146" t="s">
        <v>1344</v>
      </c>
      <c r="L146" t="s">
        <v>289</v>
      </c>
    </row>
    <row r="147" spans="1:12" x14ac:dyDescent="0.25">
      <c r="A147" t="s">
        <v>815</v>
      </c>
      <c r="B147" t="s">
        <v>12</v>
      </c>
      <c r="C147" t="s">
        <v>153</v>
      </c>
      <c r="D147" s="4" t="s">
        <v>592</v>
      </c>
      <c r="E147" s="4" t="s">
        <v>639</v>
      </c>
      <c r="F147" s="4" t="s">
        <v>1647</v>
      </c>
      <c r="G147" t="s">
        <v>1140</v>
      </c>
      <c r="H147" t="s">
        <v>220</v>
      </c>
      <c r="I147" s="3">
        <f t="shared" si="2"/>
        <v>0.16666666666666666</v>
      </c>
      <c r="J147" s="3">
        <f>D147/(VLOOKUP(B147,'2023 Team'!$B$2:$G$33,2,FALSE))</f>
        <v>8.0971659919028341E-2</v>
      </c>
      <c r="K147" t="s">
        <v>1321</v>
      </c>
      <c r="L147" t="s">
        <v>417</v>
      </c>
    </row>
    <row r="148" spans="1:12" x14ac:dyDescent="0.25">
      <c r="A148" t="s">
        <v>1634</v>
      </c>
      <c r="B148" t="s">
        <v>48</v>
      </c>
      <c r="C148" t="s">
        <v>159</v>
      </c>
      <c r="D148" s="4" t="s">
        <v>440</v>
      </c>
      <c r="E148" s="4" t="s">
        <v>639</v>
      </c>
      <c r="F148" s="4" t="s">
        <v>1432</v>
      </c>
      <c r="G148" t="s">
        <v>1687</v>
      </c>
      <c r="H148" t="s">
        <v>314</v>
      </c>
      <c r="I148" s="3">
        <f t="shared" si="2"/>
        <v>0.1</v>
      </c>
      <c r="J148" s="3">
        <f>D148/(VLOOKUP(B148,'2023 Team'!$B$2:$G$33,2,FALSE))</f>
        <v>6.9730586370839939E-2</v>
      </c>
      <c r="K148" t="s">
        <v>2018</v>
      </c>
      <c r="L148" t="s">
        <v>314</v>
      </c>
    </row>
    <row r="149" spans="1:12" x14ac:dyDescent="0.25">
      <c r="A149" t="s">
        <v>345</v>
      </c>
      <c r="B149" t="s">
        <v>32</v>
      </c>
      <c r="C149" t="s">
        <v>159</v>
      </c>
      <c r="D149" s="4" t="s">
        <v>480</v>
      </c>
      <c r="E149" s="4" t="s">
        <v>639</v>
      </c>
      <c r="F149" s="4" t="s">
        <v>457</v>
      </c>
      <c r="G149" t="s">
        <v>1687</v>
      </c>
      <c r="H149" t="s">
        <v>417</v>
      </c>
      <c r="I149" s="3">
        <f t="shared" si="2"/>
        <v>0</v>
      </c>
      <c r="J149" s="3">
        <f>D149/(VLOOKUP(B149,'2023 Team'!$B$2:$G$33,2,FALSE))</f>
        <v>6.4189189189189186E-2</v>
      </c>
      <c r="K149" t="s">
        <v>1483</v>
      </c>
      <c r="L149" t="s">
        <v>300</v>
      </c>
    </row>
    <row r="150" spans="1:12" x14ac:dyDescent="0.25">
      <c r="A150" t="s">
        <v>844</v>
      </c>
      <c r="B150" t="s">
        <v>50</v>
      </c>
      <c r="C150" t="s">
        <v>153</v>
      </c>
      <c r="D150" s="4" t="s">
        <v>452</v>
      </c>
      <c r="E150" s="4" t="s">
        <v>503</v>
      </c>
      <c r="F150" s="4" t="s">
        <v>1677</v>
      </c>
      <c r="G150" t="s">
        <v>1257</v>
      </c>
      <c r="H150" t="s">
        <v>289</v>
      </c>
      <c r="I150" s="3">
        <f t="shared" si="2"/>
        <v>6.8965517241379309E-2</v>
      </c>
      <c r="J150" s="3">
        <f>D150/(VLOOKUP(B150,'2023 Team'!$B$2:$G$33,2,FALSE))</f>
        <v>8.0789946140035901E-2</v>
      </c>
      <c r="K150" t="s">
        <v>1284</v>
      </c>
      <c r="L150" t="s">
        <v>417</v>
      </c>
    </row>
    <row r="151" spans="1:12" x14ac:dyDescent="0.25">
      <c r="A151" t="s">
        <v>560</v>
      </c>
      <c r="B151" t="s">
        <v>60</v>
      </c>
      <c r="C151" t="s">
        <v>159</v>
      </c>
      <c r="D151" s="4" t="s">
        <v>480</v>
      </c>
      <c r="E151" s="4" t="s">
        <v>503</v>
      </c>
      <c r="F151" s="4" t="s">
        <v>1685</v>
      </c>
      <c r="G151" t="s">
        <v>420</v>
      </c>
      <c r="H151" t="s">
        <v>417</v>
      </c>
      <c r="I151" s="3">
        <f t="shared" si="2"/>
        <v>0</v>
      </c>
      <c r="J151" s="3">
        <f>D151/(VLOOKUP(B151,'2023 Team'!$B$2:$G$33,2,FALSE))</f>
        <v>7.5098814229249009E-2</v>
      </c>
      <c r="K151" t="s">
        <v>2019</v>
      </c>
      <c r="L151" t="s">
        <v>289</v>
      </c>
    </row>
    <row r="152" spans="1:12" x14ac:dyDescent="0.25">
      <c r="A152" t="s">
        <v>1720</v>
      </c>
      <c r="B152" t="s">
        <v>48</v>
      </c>
      <c r="C152" t="s">
        <v>163</v>
      </c>
      <c r="D152" s="4" t="s">
        <v>440</v>
      </c>
      <c r="E152" s="4" t="s">
        <v>503</v>
      </c>
      <c r="F152" s="4" t="s">
        <v>1398</v>
      </c>
      <c r="G152" t="s">
        <v>1164</v>
      </c>
      <c r="H152" t="s">
        <v>300</v>
      </c>
      <c r="I152" s="3">
        <f t="shared" si="2"/>
        <v>3.4482758620689655E-2</v>
      </c>
      <c r="J152" s="3">
        <f>D152/(VLOOKUP(B152,'2023 Team'!$B$2:$G$33,2,FALSE))</f>
        <v>6.9730586370839939E-2</v>
      </c>
      <c r="K152" t="s">
        <v>1208</v>
      </c>
      <c r="L152" t="s">
        <v>300</v>
      </c>
    </row>
    <row r="153" spans="1:12" x14ac:dyDescent="0.25">
      <c r="A153" t="s">
        <v>912</v>
      </c>
      <c r="B153" t="s">
        <v>50</v>
      </c>
      <c r="C153" t="s">
        <v>163</v>
      </c>
      <c r="D153" s="4" t="s">
        <v>438</v>
      </c>
      <c r="E153" s="4" t="s">
        <v>503</v>
      </c>
      <c r="F153" s="4" t="s">
        <v>237</v>
      </c>
      <c r="G153" t="s">
        <v>732</v>
      </c>
      <c r="H153" t="s">
        <v>300</v>
      </c>
      <c r="I153" s="3">
        <f t="shared" si="2"/>
        <v>3.4482758620689655E-2</v>
      </c>
      <c r="J153" s="3">
        <f>D153/(VLOOKUP(B153,'2023 Team'!$B$2:$G$33,2,FALSE))</f>
        <v>8.4380610412926396E-2</v>
      </c>
      <c r="K153" t="s">
        <v>2020</v>
      </c>
      <c r="L153" t="s">
        <v>417</v>
      </c>
    </row>
    <row r="154" spans="1:12" x14ac:dyDescent="0.25">
      <c r="A154" t="s">
        <v>240</v>
      </c>
      <c r="B154" t="s">
        <v>64</v>
      </c>
      <c r="C154" t="s">
        <v>159</v>
      </c>
      <c r="D154" s="4" t="s">
        <v>461</v>
      </c>
      <c r="E154" s="4" t="s">
        <v>503</v>
      </c>
      <c r="F154" s="4" t="s">
        <v>249</v>
      </c>
      <c r="G154" t="s">
        <v>1370</v>
      </c>
      <c r="H154" t="s">
        <v>300</v>
      </c>
      <c r="I154" s="3">
        <f t="shared" si="2"/>
        <v>3.4482758620689655E-2</v>
      </c>
      <c r="J154" s="3">
        <f>D154/(VLOOKUP(B154,'2023 Team'!$B$2:$G$33,2,FALSE))</f>
        <v>6.4347826086956522E-2</v>
      </c>
      <c r="K154" t="s">
        <v>1247</v>
      </c>
      <c r="L154" t="s">
        <v>300</v>
      </c>
    </row>
    <row r="155" spans="1:12" x14ac:dyDescent="0.25">
      <c r="A155" t="s">
        <v>909</v>
      </c>
      <c r="B155" t="s">
        <v>38</v>
      </c>
      <c r="C155" t="s">
        <v>153</v>
      </c>
      <c r="D155" s="4" t="s">
        <v>454</v>
      </c>
      <c r="E155" s="4" t="s">
        <v>496</v>
      </c>
      <c r="F155" s="4" t="s">
        <v>2021</v>
      </c>
      <c r="G155" t="s">
        <v>1184</v>
      </c>
      <c r="H155" t="s">
        <v>289</v>
      </c>
      <c r="I155" s="3">
        <f t="shared" si="2"/>
        <v>7.1428571428571425E-2</v>
      </c>
      <c r="J155" s="3">
        <f>D155/(VLOOKUP(B155,'2023 Team'!$B$2:$G$33,2,FALSE))</f>
        <v>6.4566929133858267E-2</v>
      </c>
      <c r="K155" t="s">
        <v>1373</v>
      </c>
      <c r="L155" t="s">
        <v>417</v>
      </c>
    </row>
    <row r="156" spans="1:12" x14ac:dyDescent="0.25">
      <c r="A156" t="s">
        <v>166</v>
      </c>
      <c r="B156" t="s">
        <v>68</v>
      </c>
      <c r="C156" t="s">
        <v>159</v>
      </c>
      <c r="D156" s="4" t="s">
        <v>476</v>
      </c>
      <c r="E156" s="4" t="s">
        <v>496</v>
      </c>
      <c r="F156" s="4" t="s">
        <v>1616</v>
      </c>
      <c r="G156" t="s">
        <v>1325</v>
      </c>
      <c r="H156" t="s">
        <v>417</v>
      </c>
      <c r="I156" s="3">
        <f t="shared" si="2"/>
        <v>0</v>
      </c>
      <c r="J156" s="3">
        <f>D156/(VLOOKUP(B156,'2023 Team'!$B$2:$G$33,2,FALSE))</f>
        <v>7.28744939271255E-2</v>
      </c>
      <c r="K156" t="s">
        <v>1424</v>
      </c>
      <c r="L156" t="s">
        <v>417</v>
      </c>
    </row>
    <row r="157" spans="1:12" x14ac:dyDescent="0.25">
      <c r="A157" t="s">
        <v>522</v>
      </c>
      <c r="B157" t="s">
        <v>12</v>
      </c>
      <c r="C157" t="s">
        <v>159</v>
      </c>
      <c r="D157" s="4" t="s">
        <v>470</v>
      </c>
      <c r="E157" s="4" t="s">
        <v>496</v>
      </c>
      <c r="F157" s="4" t="s">
        <v>437</v>
      </c>
      <c r="G157" t="s">
        <v>656</v>
      </c>
      <c r="H157" t="s">
        <v>300</v>
      </c>
      <c r="I157" s="3">
        <f t="shared" si="2"/>
        <v>3.5714285714285712E-2</v>
      </c>
      <c r="J157" s="3">
        <f>D157/(VLOOKUP(B157,'2023 Team'!$B$2:$G$33,2,FALSE))</f>
        <v>7.8947368421052627E-2</v>
      </c>
      <c r="K157" t="s">
        <v>2022</v>
      </c>
      <c r="L157" t="s">
        <v>300</v>
      </c>
    </row>
    <row r="158" spans="1:12" x14ac:dyDescent="0.25">
      <c r="A158" t="s">
        <v>739</v>
      </c>
      <c r="B158" t="s">
        <v>30</v>
      </c>
      <c r="C158" t="s">
        <v>163</v>
      </c>
      <c r="D158" s="4" t="s">
        <v>446</v>
      </c>
      <c r="E158" s="4" t="s">
        <v>496</v>
      </c>
      <c r="F158" s="4" t="s">
        <v>425</v>
      </c>
      <c r="G158" t="s">
        <v>1058</v>
      </c>
      <c r="H158" t="s">
        <v>220</v>
      </c>
      <c r="I158" s="3">
        <f t="shared" si="2"/>
        <v>0.17857142857142858</v>
      </c>
      <c r="J158" s="3">
        <f>D158/(VLOOKUP(B158,'2023 Team'!$B$2:$G$33,2,FALSE))</f>
        <v>9.1222030981067126E-2</v>
      </c>
      <c r="K158" t="s">
        <v>2023</v>
      </c>
      <c r="L158" t="s">
        <v>417</v>
      </c>
    </row>
    <row r="159" spans="1:12" x14ac:dyDescent="0.25">
      <c r="A159" t="s">
        <v>947</v>
      </c>
      <c r="B159" t="s">
        <v>68</v>
      </c>
      <c r="C159" t="s">
        <v>163</v>
      </c>
      <c r="D159" s="4" t="s">
        <v>452</v>
      </c>
      <c r="E159" s="4" t="s">
        <v>496</v>
      </c>
      <c r="F159" s="4" t="s">
        <v>1943</v>
      </c>
      <c r="G159" t="s">
        <v>1151</v>
      </c>
      <c r="H159" t="s">
        <v>314</v>
      </c>
      <c r="I159" s="3">
        <f t="shared" si="2"/>
        <v>0.10714285714285714</v>
      </c>
      <c r="J159" s="3">
        <f>D159/(VLOOKUP(B159,'2023 Team'!$B$2:$G$33,2,FALSE))</f>
        <v>9.1093117408906882E-2</v>
      </c>
      <c r="K159" t="s">
        <v>1390</v>
      </c>
      <c r="L159" t="s">
        <v>417</v>
      </c>
    </row>
    <row r="160" spans="1:12" x14ac:dyDescent="0.25">
      <c r="A160" t="s">
        <v>222</v>
      </c>
      <c r="B160" t="s">
        <v>46</v>
      </c>
      <c r="C160" t="s">
        <v>159</v>
      </c>
      <c r="D160" s="4" t="s">
        <v>461</v>
      </c>
      <c r="E160" s="4" t="s">
        <v>490</v>
      </c>
      <c r="F160" s="4" t="s">
        <v>1497</v>
      </c>
      <c r="G160" t="s">
        <v>691</v>
      </c>
      <c r="H160" t="s">
        <v>314</v>
      </c>
      <c r="I160" s="3">
        <f t="shared" si="2"/>
        <v>0.1111111111111111</v>
      </c>
      <c r="J160" s="3">
        <f>D160/(VLOOKUP(B160,'2023 Team'!$B$2:$G$33,2,FALSE))</f>
        <v>6.5371024734982339E-2</v>
      </c>
      <c r="K160" t="s">
        <v>1059</v>
      </c>
      <c r="L160" t="s">
        <v>300</v>
      </c>
    </row>
    <row r="161" spans="1:12" x14ac:dyDescent="0.25">
      <c r="A161" t="s">
        <v>885</v>
      </c>
      <c r="B161" t="s">
        <v>46</v>
      </c>
      <c r="C161" t="s">
        <v>163</v>
      </c>
      <c r="D161" s="4" t="s">
        <v>485</v>
      </c>
      <c r="E161" s="4" t="s">
        <v>490</v>
      </c>
      <c r="F161" s="4" t="s">
        <v>223</v>
      </c>
      <c r="G161" t="s">
        <v>1192</v>
      </c>
      <c r="H161" t="s">
        <v>300</v>
      </c>
      <c r="I161" s="3">
        <f t="shared" si="2"/>
        <v>3.7037037037037035E-2</v>
      </c>
      <c r="J161" s="3">
        <f>D161/(VLOOKUP(B161,'2023 Team'!$B$2:$G$33,2,FALSE))</f>
        <v>5.8303886925795051E-2</v>
      </c>
      <c r="K161" t="s">
        <v>1358</v>
      </c>
      <c r="L161" t="s">
        <v>300</v>
      </c>
    </row>
    <row r="162" spans="1:12" x14ac:dyDescent="0.25">
      <c r="A162" t="s">
        <v>501</v>
      </c>
      <c r="B162" t="s">
        <v>8</v>
      </c>
      <c r="C162" t="s">
        <v>159</v>
      </c>
      <c r="D162" s="4" t="s">
        <v>485</v>
      </c>
      <c r="E162" s="4" t="s">
        <v>490</v>
      </c>
      <c r="F162" s="4" t="s">
        <v>1475</v>
      </c>
      <c r="G162" t="s">
        <v>568</v>
      </c>
      <c r="H162" t="s">
        <v>289</v>
      </c>
      <c r="I162" s="3">
        <f t="shared" si="2"/>
        <v>7.407407407407407E-2</v>
      </c>
      <c r="J162" s="3">
        <f>D162/(VLOOKUP(B162,'2023 Team'!$B$2:$G$33,2,FALSE))</f>
        <v>5.9459459459459463E-2</v>
      </c>
      <c r="K162" t="s">
        <v>1358</v>
      </c>
      <c r="L162" t="s">
        <v>417</v>
      </c>
    </row>
    <row r="163" spans="1:12" x14ac:dyDescent="0.25">
      <c r="A163" t="s">
        <v>1044</v>
      </c>
      <c r="B163" t="s">
        <v>8</v>
      </c>
      <c r="C163" t="s">
        <v>153</v>
      </c>
      <c r="D163" s="4" t="s">
        <v>444</v>
      </c>
      <c r="E163" s="4" t="s">
        <v>490</v>
      </c>
      <c r="F163" s="4" t="s">
        <v>483</v>
      </c>
      <c r="G163" t="s">
        <v>434</v>
      </c>
      <c r="H163" t="s">
        <v>300</v>
      </c>
      <c r="I163" s="3">
        <f t="shared" si="2"/>
        <v>3.7037037037037035E-2</v>
      </c>
      <c r="J163" s="3">
        <f>D163/(VLOOKUP(B163,'2023 Team'!$B$2:$G$33,2,FALSE))</f>
        <v>7.7477477477477477E-2</v>
      </c>
      <c r="K163" t="s">
        <v>2024</v>
      </c>
      <c r="L163" t="s">
        <v>417</v>
      </c>
    </row>
    <row r="164" spans="1:12" x14ac:dyDescent="0.25">
      <c r="A164" t="s">
        <v>936</v>
      </c>
      <c r="B164" t="s">
        <v>40</v>
      </c>
      <c r="C164" t="s">
        <v>153</v>
      </c>
      <c r="D164" s="4" t="s">
        <v>592</v>
      </c>
      <c r="E164" s="4" t="s">
        <v>490</v>
      </c>
      <c r="F164" s="4" t="s">
        <v>2025</v>
      </c>
      <c r="G164" t="s">
        <v>680</v>
      </c>
      <c r="H164" t="s">
        <v>289</v>
      </c>
      <c r="I164" s="3">
        <f t="shared" si="2"/>
        <v>7.407407407407407E-2</v>
      </c>
      <c r="J164" s="3">
        <f>D164/(VLOOKUP(B164,'2023 Team'!$B$2:$G$33,2,FALSE))</f>
        <v>7.1813285457809697E-2</v>
      </c>
      <c r="K164" t="s">
        <v>2026</v>
      </c>
      <c r="L164" t="s">
        <v>417</v>
      </c>
    </row>
    <row r="165" spans="1:12" x14ac:dyDescent="0.25">
      <c r="A165" t="s">
        <v>1629</v>
      </c>
      <c r="B165" t="s">
        <v>34</v>
      </c>
      <c r="C165" t="s">
        <v>159</v>
      </c>
      <c r="D165" s="4" t="s">
        <v>461</v>
      </c>
      <c r="E165" s="4" t="s">
        <v>490</v>
      </c>
      <c r="F165" s="4" t="s">
        <v>1432</v>
      </c>
      <c r="G165" t="s">
        <v>473</v>
      </c>
      <c r="H165" t="s">
        <v>289</v>
      </c>
      <c r="I165" s="3">
        <f t="shared" si="2"/>
        <v>7.407407407407407E-2</v>
      </c>
      <c r="J165" s="3">
        <f>D165/(VLOOKUP(B165,'2023 Team'!$B$2:$G$33,2,FALSE))</f>
        <v>6.4459930313588848E-2</v>
      </c>
      <c r="K165" t="s">
        <v>1059</v>
      </c>
      <c r="L165" t="s">
        <v>417</v>
      </c>
    </row>
    <row r="166" spans="1:12" x14ac:dyDescent="0.25">
      <c r="A166" t="s">
        <v>1828</v>
      </c>
      <c r="B166" t="s">
        <v>42</v>
      </c>
      <c r="C166" t="s">
        <v>153</v>
      </c>
      <c r="D166" s="4" t="s">
        <v>454</v>
      </c>
      <c r="E166" s="4" t="s">
        <v>490</v>
      </c>
      <c r="F166" s="4" t="s">
        <v>2027</v>
      </c>
      <c r="G166" t="s">
        <v>1190</v>
      </c>
      <c r="H166" t="s">
        <v>229</v>
      </c>
      <c r="I166" s="3">
        <f t="shared" si="2"/>
        <v>0.14814814814814814</v>
      </c>
      <c r="J166" s="3">
        <f>D166/(VLOOKUP(B166,'2023 Team'!$B$2:$G$33,2,FALSE))</f>
        <v>6.4873417721518986E-2</v>
      </c>
      <c r="K166" t="s">
        <v>1208</v>
      </c>
      <c r="L166" t="s">
        <v>417</v>
      </c>
    </row>
    <row r="167" spans="1:12" x14ac:dyDescent="0.25">
      <c r="A167" t="s">
        <v>545</v>
      </c>
      <c r="B167" t="s">
        <v>16</v>
      </c>
      <c r="C167" t="s">
        <v>159</v>
      </c>
      <c r="D167" s="4" t="s">
        <v>454</v>
      </c>
      <c r="E167" s="4" t="s">
        <v>490</v>
      </c>
      <c r="F167" s="4" t="s">
        <v>2028</v>
      </c>
      <c r="G167" t="s">
        <v>226</v>
      </c>
      <c r="H167" t="s">
        <v>417</v>
      </c>
      <c r="I167" s="3">
        <f t="shared" si="2"/>
        <v>0</v>
      </c>
      <c r="J167" s="3">
        <f>D167/(VLOOKUP(B167,'2023 Team'!$B$2:$G$33,2,FALSE))</f>
        <v>6.9965870307167236E-2</v>
      </c>
      <c r="K167" t="s">
        <v>1208</v>
      </c>
      <c r="L167" t="s">
        <v>289</v>
      </c>
    </row>
    <row r="168" spans="1:12" x14ac:dyDescent="0.25">
      <c r="A168" t="s">
        <v>1586</v>
      </c>
      <c r="B168" t="s">
        <v>38</v>
      </c>
      <c r="C168" t="s">
        <v>163</v>
      </c>
      <c r="D168" s="4" t="s">
        <v>480</v>
      </c>
      <c r="E168" s="4" t="s">
        <v>490</v>
      </c>
      <c r="F168" s="4" t="s">
        <v>303</v>
      </c>
      <c r="G168" t="s">
        <v>488</v>
      </c>
      <c r="H168" t="s">
        <v>300</v>
      </c>
      <c r="I168" s="3">
        <f t="shared" si="2"/>
        <v>3.7037037037037035E-2</v>
      </c>
      <c r="J168" s="3">
        <f>D168/(VLOOKUP(B168,'2023 Team'!$B$2:$G$33,2,FALSE))</f>
        <v>5.9842519685039369E-2</v>
      </c>
      <c r="K168" t="s">
        <v>1949</v>
      </c>
      <c r="L168" t="s">
        <v>300</v>
      </c>
    </row>
    <row r="169" spans="1:12" x14ac:dyDescent="0.25">
      <c r="A169" t="s">
        <v>890</v>
      </c>
      <c r="B169" t="s">
        <v>38</v>
      </c>
      <c r="C169" t="s">
        <v>163</v>
      </c>
      <c r="D169" s="4" t="s">
        <v>446</v>
      </c>
      <c r="E169" s="4" t="s">
        <v>490</v>
      </c>
      <c r="F169" s="4" t="s">
        <v>2029</v>
      </c>
      <c r="G169" t="s">
        <v>1541</v>
      </c>
      <c r="H169" t="s">
        <v>314</v>
      </c>
      <c r="I169" s="3">
        <f t="shared" si="2"/>
        <v>0.1111111111111111</v>
      </c>
      <c r="J169" s="3">
        <f>D169/(VLOOKUP(B169,'2023 Team'!$B$2:$G$33,2,FALSE))</f>
        <v>8.3464566929133857E-2</v>
      </c>
      <c r="K169" t="s">
        <v>2030</v>
      </c>
      <c r="L169" t="s">
        <v>300</v>
      </c>
    </row>
    <row r="170" spans="1:12" x14ac:dyDescent="0.25">
      <c r="A170" t="s">
        <v>773</v>
      </c>
      <c r="B170" t="s">
        <v>44</v>
      </c>
      <c r="C170" t="s">
        <v>163</v>
      </c>
      <c r="D170" s="4" t="s">
        <v>470</v>
      </c>
      <c r="E170" s="4" t="s">
        <v>507</v>
      </c>
      <c r="F170" s="4" t="s">
        <v>1332</v>
      </c>
      <c r="G170" t="s">
        <v>1225</v>
      </c>
      <c r="H170" t="s">
        <v>229</v>
      </c>
      <c r="I170" s="3">
        <f t="shared" si="2"/>
        <v>0.15384615384615385</v>
      </c>
      <c r="J170" s="3">
        <f>D170/(VLOOKUP(B170,'2023 Team'!$B$2:$G$33,2,FALSE))</f>
        <v>6.6895368782161235E-2</v>
      </c>
      <c r="K170" t="s">
        <v>1297</v>
      </c>
      <c r="L170" t="s">
        <v>289</v>
      </c>
    </row>
    <row r="171" spans="1:12" x14ac:dyDescent="0.25">
      <c r="A171" t="s">
        <v>969</v>
      </c>
      <c r="B171" t="s">
        <v>54</v>
      </c>
      <c r="C171" t="s">
        <v>153</v>
      </c>
      <c r="D171" s="4" t="s">
        <v>496</v>
      </c>
      <c r="E171" s="4" t="s">
        <v>500</v>
      </c>
      <c r="F171" s="4" t="s">
        <v>1596</v>
      </c>
      <c r="G171" t="s">
        <v>1148</v>
      </c>
      <c r="H171" t="s">
        <v>417</v>
      </c>
      <c r="I171" s="3">
        <f t="shared" si="2"/>
        <v>0</v>
      </c>
      <c r="J171" s="3">
        <f>D171/(VLOOKUP(B171,'2023 Team'!$B$2:$G$33,2,FALSE))</f>
        <v>5.4054054054054057E-2</v>
      </c>
      <c r="K171" t="s">
        <v>1972</v>
      </c>
      <c r="L171" t="s">
        <v>417</v>
      </c>
    </row>
    <row r="172" spans="1:12" x14ac:dyDescent="0.25">
      <c r="A172" t="s">
        <v>967</v>
      </c>
      <c r="B172" t="s">
        <v>40</v>
      </c>
      <c r="C172" t="s">
        <v>153</v>
      </c>
      <c r="D172" s="4" t="s">
        <v>493</v>
      </c>
      <c r="E172" s="4" t="s">
        <v>500</v>
      </c>
      <c r="F172" s="4" t="s">
        <v>232</v>
      </c>
      <c r="G172" t="s">
        <v>1323</v>
      </c>
      <c r="H172" t="s">
        <v>417</v>
      </c>
      <c r="I172" s="3">
        <f t="shared" si="2"/>
        <v>0</v>
      </c>
      <c r="J172" s="3">
        <f>D172/(VLOOKUP(B172,'2023 Team'!$B$2:$G$33,2,FALSE))</f>
        <v>5.565529622980251E-2</v>
      </c>
      <c r="K172" t="s">
        <v>1415</v>
      </c>
      <c r="L172" t="s">
        <v>417</v>
      </c>
    </row>
    <row r="173" spans="1:12" x14ac:dyDescent="0.25">
      <c r="A173" t="s">
        <v>1807</v>
      </c>
      <c r="B173" t="s">
        <v>20</v>
      </c>
      <c r="C173" t="s">
        <v>163</v>
      </c>
      <c r="D173" s="4" t="s">
        <v>475</v>
      </c>
      <c r="E173" s="4" t="s">
        <v>500</v>
      </c>
      <c r="F173" s="4" t="s">
        <v>1960</v>
      </c>
      <c r="G173" t="s">
        <v>1215</v>
      </c>
      <c r="H173" t="s">
        <v>300</v>
      </c>
      <c r="I173" s="3">
        <f t="shared" si="2"/>
        <v>0.04</v>
      </c>
      <c r="J173" s="3">
        <f>D173/(VLOOKUP(B173,'2023 Team'!$B$2:$G$33,2,FALSE))</f>
        <v>5.2032520325203252E-2</v>
      </c>
      <c r="K173" t="s">
        <v>2031</v>
      </c>
      <c r="L173" t="s">
        <v>289</v>
      </c>
    </row>
    <row r="174" spans="1:12" x14ac:dyDescent="0.25">
      <c r="A174" t="s">
        <v>1581</v>
      </c>
      <c r="B174" t="s">
        <v>38</v>
      </c>
      <c r="C174" t="s">
        <v>159</v>
      </c>
      <c r="D174" s="4" t="s">
        <v>475</v>
      </c>
      <c r="E174" s="4" t="s">
        <v>500</v>
      </c>
      <c r="F174" s="4" t="s">
        <v>1432</v>
      </c>
      <c r="G174" t="s">
        <v>1489</v>
      </c>
      <c r="H174" t="s">
        <v>229</v>
      </c>
      <c r="I174" s="3">
        <f t="shared" si="2"/>
        <v>0.16</v>
      </c>
      <c r="J174" s="3">
        <f>D174/(VLOOKUP(B174,'2023 Team'!$B$2:$G$33,2,FALSE))</f>
        <v>5.0393700787401574E-2</v>
      </c>
      <c r="K174" t="s">
        <v>2031</v>
      </c>
      <c r="L174" t="s">
        <v>417</v>
      </c>
    </row>
    <row r="175" spans="1:12" x14ac:dyDescent="0.25">
      <c r="A175" t="s">
        <v>520</v>
      </c>
      <c r="B175" t="s">
        <v>46</v>
      </c>
      <c r="C175" t="s">
        <v>159</v>
      </c>
      <c r="D175" s="4" t="s">
        <v>475</v>
      </c>
      <c r="E175" s="4" t="s">
        <v>500</v>
      </c>
      <c r="F175" s="4" t="s">
        <v>278</v>
      </c>
      <c r="G175" t="s">
        <v>648</v>
      </c>
      <c r="H175" t="s">
        <v>314</v>
      </c>
      <c r="I175" s="3">
        <f t="shared" si="2"/>
        <v>0.12</v>
      </c>
      <c r="J175" s="3">
        <f>D175/(VLOOKUP(B175,'2023 Team'!$B$2:$G$33,2,FALSE))</f>
        <v>5.6537102473498232E-2</v>
      </c>
      <c r="K175" t="s">
        <v>2031</v>
      </c>
      <c r="L175" t="s">
        <v>229</v>
      </c>
    </row>
    <row r="176" spans="1:12" x14ac:dyDescent="0.25">
      <c r="A176" t="s">
        <v>929</v>
      </c>
      <c r="B176" t="s">
        <v>64</v>
      </c>
      <c r="C176" t="s">
        <v>153</v>
      </c>
      <c r="D176" s="4" t="s">
        <v>679</v>
      </c>
      <c r="E176" s="4" t="s">
        <v>500</v>
      </c>
      <c r="F176" s="4" t="s">
        <v>1599</v>
      </c>
      <c r="G176" t="s">
        <v>1195</v>
      </c>
      <c r="H176" t="s">
        <v>289</v>
      </c>
      <c r="I176" s="3">
        <f t="shared" si="2"/>
        <v>0.08</v>
      </c>
      <c r="J176" s="3">
        <f>D176/(VLOOKUP(B176,'2023 Team'!$B$2:$G$33,2,FALSE))</f>
        <v>5.9130434782608696E-2</v>
      </c>
      <c r="K176" t="s">
        <v>1315</v>
      </c>
      <c r="L176" t="s">
        <v>417</v>
      </c>
    </row>
    <row r="177" spans="1:12" x14ac:dyDescent="0.25">
      <c r="A177" t="s">
        <v>833</v>
      </c>
      <c r="B177" t="s">
        <v>40</v>
      </c>
      <c r="C177" t="s">
        <v>163</v>
      </c>
      <c r="D177" s="4" t="s">
        <v>461</v>
      </c>
      <c r="E177" s="4" t="s">
        <v>500</v>
      </c>
      <c r="F177" s="4" t="s">
        <v>1596</v>
      </c>
      <c r="G177" t="s">
        <v>1148</v>
      </c>
      <c r="H177" t="s">
        <v>417</v>
      </c>
      <c r="I177" s="3">
        <f t="shared" si="2"/>
        <v>0</v>
      </c>
      <c r="J177" s="3">
        <f>D177/(VLOOKUP(B177,'2023 Team'!$B$2:$G$33,2,FALSE))</f>
        <v>6.6427289048473961E-2</v>
      </c>
      <c r="K177" t="s">
        <v>1069</v>
      </c>
      <c r="L177" t="s">
        <v>300</v>
      </c>
    </row>
    <row r="178" spans="1:12" x14ac:dyDescent="0.25">
      <c r="A178" t="s">
        <v>636</v>
      </c>
      <c r="B178" t="s">
        <v>8</v>
      </c>
      <c r="C178" t="s">
        <v>163</v>
      </c>
      <c r="D178" s="4" t="s">
        <v>454</v>
      </c>
      <c r="E178" s="4" t="s">
        <v>487</v>
      </c>
      <c r="F178" s="4" t="s">
        <v>205</v>
      </c>
      <c r="G178" t="s">
        <v>1210</v>
      </c>
      <c r="H178" t="s">
        <v>289</v>
      </c>
      <c r="I178" s="3">
        <f t="shared" si="2"/>
        <v>8.3333333333333329E-2</v>
      </c>
      <c r="J178" s="3">
        <f>D178/(VLOOKUP(B178,'2023 Team'!$B$2:$G$33,2,FALSE))</f>
        <v>7.3873873873873869E-2</v>
      </c>
      <c r="K178" t="s">
        <v>2032</v>
      </c>
      <c r="L178" t="s">
        <v>417</v>
      </c>
    </row>
    <row r="179" spans="1:12" x14ac:dyDescent="0.25">
      <c r="A179" t="s">
        <v>642</v>
      </c>
      <c r="B179" t="s">
        <v>28</v>
      </c>
      <c r="C179" t="s">
        <v>163</v>
      </c>
      <c r="D179" s="4" t="s">
        <v>1199</v>
      </c>
      <c r="E179" s="4" t="s">
        <v>487</v>
      </c>
      <c r="F179" s="4" t="s">
        <v>2033</v>
      </c>
      <c r="G179" t="s">
        <v>1292</v>
      </c>
      <c r="H179" t="s">
        <v>289</v>
      </c>
      <c r="I179" s="3">
        <f t="shared" si="2"/>
        <v>8.3333333333333329E-2</v>
      </c>
      <c r="J179" s="3">
        <f>D179/(VLOOKUP(B179,'2023 Team'!$B$2:$G$33,2,FALSE))</f>
        <v>6.9306930693069313E-2</v>
      </c>
      <c r="K179" t="s">
        <v>1488</v>
      </c>
      <c r="L179" t="s">
        <v>300</v>
      </c>
    </row>
    <row r="180" spans="1:12" x14ac:dyDescent="0.25">
      <c r="A180" t="s">
        <v>395</v>
      </c>
      <c r="B180" t="s">
        <v>56</v>
      </c>
      <c r="C180" t="s">
        <v>159</v>
      </c>
      <c r="D180" s="4" t="s">
        <v>524</v>
      </c>
      <c r="E180" s="4" t="s">
        <v>557</v>
      </c>
      <c r="F180" s="4" t="s">
        <v>1125</v>
      </c>
      <c r="G180" t="s">
        <v>255</v>
      </c>
      <c r="H180" t="s">
        <v>417</v>
      </c>
      <c r="I180" s="3">
        <f t="shared" si="2"/>
        <v>0</v>
      </c>
      <c r="J180" s="3">
        <f>D180/(VLOOKUP(B180,'2023 Team'!$B$2:$G$33,2,FALSE))</f>
        <v>3.3277870216306155E-2</v>
      </c>
      <c r="K180" t="s">
        <v>1321</v>
      </c>
      <c r="L180" t="s">
        <v>417</v>
      </c>
    </row>
    <row r="181" spans="1:12" x14ac:dyDescent="0.25">
      <c r="A181" t="s">
        <v>395</v>
      </c>
      <c r="B181" t="s">
        <v>8</v>
      </c>
      <c r="C181" t="s">
        <v>159</v>
      </c>
      <c r="D181" s="4" t="s">
        <v>266</v>
      </c>
      <c r="E181" s="4" t="s">
        <v>270</v>
      </c>
      <c r="F181" s="4" t="s">
        <v>485</v>
      </c>
      <c r="G181" t="s">
        <v>221</v>
      </c>
      <c r="H181" t="s">
        <v>300</v>
      </c>
      <c r="I181" s="3">
        <f t="shared" si="2"/>
        <v>0.1111111111111111</v>
      </c>
      <c r="J181" s="3">
        <f>D181/(VLOOKUP(B181,'2023 Team'!$B$2:$G$33,2,FALSE))</f>
        <v>1.9819819819819819E-2</v>
      </c>
      <c r="K181" t="s">
        <v>1358</v>
      </c>
      <c r="L181" t="s">
        <v>417</v>
      </c>
    </row>
    <row r="182" spans="1:12" x14ac:dyDescent="0.25">
      <c r="A182" t="s">
        <v>556</v>
      </c>
      <c r="B182" t="s">
        <v>60</v>
      </c>
      <c r="C182" t="s">
        <v>153</v>
      </c>
      <c r="D182" s="4" t="s">
        <v>679</v>
      </c>
      <c r="E182" s="4" t="s">
        <v>510</v>
      </c>
      <c r="F182" s="4" t="s">
        <v>494</v>
      </c>
      <c r="G182" t="s">
        <v>691</v>
      </c>
      <c r="H182" t="s">
        <v>417</v>
      </c>
      <c r="I182" s="3">
        <f t="shared" si="2"/>
        <v>0</v>
      </c>
      <c r="J182" s="3">
        <f>D182/(VLOOKUP(B182,'2023 Team'!$B$2:$G$33,2,FALSE))</f>
        <v>6.7193675889328064E-2</v>
      </c>
      <c r="K182" t="s">
        <v>1069</v>
      </c>
      <c r="L182" t="s">
        <v>417</v>
      </c>
    </row>
    <row r="183" spans="1:12" x14ac:dyDescent="0.25">
      <c r="A183" t="s">
        <v>972</v>
      </c>
      <c r="B183" t="s">
        <v>54</v>
      </c>
      <c r="C183" t="s">
        <v>163</v>
      </c>
      <c r="D183" s="4" t="s">
        <v>592</v>
      </c>
      <c r="E183" s="4" t="s">
        <v>510</v>
      </c>
      <c r="F183" s="4" t="s">
        <v>2034</v>
      </c>
      <c r="G183" t="s">
        <v>1900</v>
      </c>
      <c r="H183" t="s">
        <v>417</v>
      </c>
      <c r="I183" s="3">
        <f t="shared" si="2"/>
        <v>0</v>
      </c>
      <c r="J183" s="3">
        <f>D183/(VLOOKUP(B183,'2023 Team'!$B$2:$G$33,2,FALSE))</f>
        <v>7.7220077220077218E-2</v>
      </c>
      <c r="K183" t="s">
        <v>1269</v>
      </c>
      <c r="L183" t="s">
        <v>300</v>
      </c>
    </row>
    <row r="184" spans="1:12" x14ac:dyDescent="0.25">
      <c r="A184" t="s">
        <v>978</v>
      </c>
      <c r="B184" t="s">
        <v>56</v>
      </c>
      <c r="C184" t="s">
        <v>163</v>
      </c>
      <c r="D184" s="4" t="s">
        <v>554</v>
      </c>
      <c r="E184" s="4" t="s">
        <v>510</v>
      </c>
      <c r="F184" s="4" t="s">
        <v>209</v>
      </c>
      <c r="G184" t="s">
        <v>1127</v>
      </c>
      <c r="H184" t="s">
        <v>300</v>
      </c>
      <c r="I184" s="3">
        <f t="shared" si="2"/>
        <v>4.3478260869565216E-2</v>
      </c>
      <c r="J184" s="3">
        <f>D184/(VLOOKUP(B184,'2023 Team'!$B$2:$G$33,2,FALSE))</f>
        <v>8.153078202995008E-2</v>
      </c>
      <c r="K184" t="s">
        <v>2035</v>
      </c>
      <c r="L184" t="s">
        <v>417</v>
      </c>
    </row>
    <row r="185" spans="1:12" x14ac:dyDescent="0.25">
      <c r="A185" t="s">
        <v>836</v>
      </c>
      <c r="B185" t="s">
        <v>16</v>
      </c>
      <c r="C185" t="s">
        <v>153</v>
      </c>
      <c r="D185" s="4" t="s">
        <v>475</v>
      </c>
      <c r="E185" s="4" t="s">
        <v>510</v>
      </c>
      <c r="F185" s="4" t="s">
        <v>2036</v>
      </c>
      <c r="G185" t="s">
        <v>1257</v>
      </c>
      <c r="H185" t="s">
        <v>314</v>
      </c>
      <c r="I185" s="3">
        <f t="shared" si="2"/>
        <v>0.13043478260869565</v>
      </c>
      <c r="J185" s="3">
        <f>D185/(VLOOKUP(B185,'2023 Team'!$B$2:$G$33,2,FALSE))</f>
        <v>5.4607508532423209E-2</v>
      </c>
      <c r="K185" t="s">
        <v>2037</v>
      </c>
      <c r="L185" t="s">
        <v>417</v>
      </c>
    </row>
    <row r="186" spans="1:12" x14ac:dyDescent="0.25">
      <c r="A186" t="s">
        <v>570</v>
      </c>
      <c r="B186" t="s">
        <v>30</v>
      </c>
      <c r="C186" t="s">
        <v>159</v>
      </c>
      <c r="D186" s="4" t="s">
        <v>496</v>
      </c>
      <c r="E186" s="4" t="s">
        <v>514</v>
      </c>
      <c r="F186" s="4" t="s">
        <v>268</v>
      </c>
      <c r="G186" t="s">
        <v>1116</v>
      </c>
      <c r="H186" t="s">
        <v>417</v>
      </c>
      <c r="I186" s="3">
        <f t="shared" si="2"/>
        <v>0</v>
      </c>
      <c r="J186" s="3">
        <f>D186/(VLOOKUP(B186,'2023 Team'!$B$2:$G$33,2,FALSE))</f>
        <v>4.8192771084337352E-2</v>
      </c>
      <c r="K186" t="s">
        <v>1520</v>
      </c>
      <c r="L186" t="s">
        <v>417</v>
      </c>
    </row>
    <row r="187" spans="1:12" x14ac:dyDescent="0.25">
      <c r="A187" t="s">
        <v>825</v>
      </c>
      <c r="B187" t="s">
        <v>14</v>
      </c>
      <c r="C187" t="s">
        <v>153</v>
      </c>
      <c r="D187" s="4" t="s">
        <v>476</v>
      </c>
      <c r="E187" s="4" t="s">
        <v>514</v>
      </c>
      <c r="F187" s="4" t="s">
        <v>463</v>
      </c>
      <c r="G187" t="s">
        <v>717</v>
      </c>
      <c r="H187" t="s">
        <v>289</v>
      </c>
      <c r="I187" s="3">
        <f t="shared" si="2"/>
        <v>9.0909090909090912E-2</v>
      </c>
      <c r="J187" s="3">
        <f>D187/(VLOOKUP(B187,'2023 Team'!$B$2:$G$33,2,FALSE))</f>
        <v>6.2176165803108807E-2</v>
      </c>
      <c r="K187" t="s">
        <v>1188</v>
      </c>
      <c r="L187" t="s">
        <v>417</v>
      </c>
    </row>
    <row r="188" spans="1:12" x14ac:dyDescent="0.25">
      <c r="A188" t="s">
        <v>590</v>
      </c>
      <c r="B188" t="s">
        <v>26</v>
      </c>
      <c r="C188" t="s">
        <v>163</v>
      </c>
      <c r="D188" s="4" t="s">
        <v>485</v>
      </c>
      <c r="E188" s="4" t="s">
        <v>514</v>
      </c>
      <c r="F188" s="4" t="s">
        <v>2038</v>
      </c>
      <c r="G188" t="s">
        <v>2039</v>
      </c>
      <c r="H188" t="s">
        <v>300</v>
      </c>
      <c r="I188" s="3">
        <f t="shared" si="2"/>
        <v>4.5454545454545456E-2</v>
      </c>
      <c r="J188" s="3">
        <f>D188/(VLOOKUP(B188,'2023 Team'!$B$2:$G$33,2,FALSE))</f>
        <v>6.4327485380116955E-2</v>
      </c>
      <c r="K188" t="s">
        <v>1297</v>
      </c>
      <c r="L188" t="s">
        <v>289</v>
      </c>
    </row>
    <row r="189" spans="1:12" x14ac:dyDescent="0.25">
      <c r="A189" t="s">
        <v>731</v>
      </c>
      <c r="B189" t="s">
        <v>68</v>
      </c>
      <c r="C189" t="s">
        <v>163</v>
      </c>
      <c r="D189" s="4" t="s">
        <v>467</v>
      </c>
      <c r="E189" s="4" t="s">
        <v>514</v>
      </c>
      <c r="F189" s="4" t="s">
        <v>2040</v>
      </c>
      <c r="G189" t="s">
        <v>2041</v>
      </c>
      <c r="H189" t="s">
        <v>417</v>
      </c>
      <c r="I189" s="3">
        <f t="shared" si="2"/>
        <v>0</v>
      </c>
      <c r="J189" s="3">
        <f>D189/(VLOOKUP(B189,'2023 Team'!$B$2:$G$33,2,FALSE))</f>
        <v>7.08502024291498E-2</v>
      </c>
      <c r="K189" t="s">
        <v>1435</v>
      </c>
      <c r="L189" t="s">
        <v>300</v>
      </c>
    </row>
    <row r="190" spans="1:12" x14ac:dyDescent="0.25">
      <c r="A190" t="s">
        <v>950</v>
      </c>
      <c r="B190" t="s">
        <v>48</v>
      </c>
      <c r="C190" t="s">
        <v>153</v>
      </c>
      <c r="D190" s="4" t="s">
        <v>496</v>
      </c>
      <c r="E190" s="4" t="s">
        <v>514</v>
      </c>
      <c r="F190" s="4" t="s">
        <v>1464</v>
      </c>
      <c r="G190" t="s">
        <v>1233</v>
      </c>
      <c r="H190" t="s">
        <v>289</v>
      </c>
      <c r="I190" s="3">
        <f t="shared" si="2"/>
        <v>9.0909090909090912E-2</v>
      </c>
      <c r="J190" s="3">
        <f>D190/(VLOOKUP(B190,'2023 Team'!$B$2:$G$33,2,FALSE))</f>
        <v>4.4374009508716325E-2</v>
      </c>
      <c r="K190" t="s">
        <v>1520</v>
      </c>
      <c r="L190" t="s">
        <v>300</v>
      </c>
    </row>
    <row r="191" spans="1:12" x14ac:dyDescent="0.25">
      <c r="A191" t="s">
        <v>786</v>
      </c>
      <c r="B191" t="s">
        <v>20</v>
      </c>
      <c r="C191" t="s">
        <v>153</v>
      </c>
      <c r="D191" s="4" t="s">
        <v>490</v>
      </c>
      <c r="E191" s="4" t="s">
        <v>514</v>
      </c>
      <c r="F191" s="4" t="s">
        <v>306</v>
      </c>
      <c r="G191" t="s">
        <v>656</v>
      </c>
      <c r="H191" t="s">
        <v>289</v>
      </c>
      <c r="I191" s="3">
        <f t="shared" si="2"/>
        <v>9.0909090909090912E-2</v>
      </c>
      <c r="J191" s="3">
        <f>D191/(VLOOKUP(B191,'2023 Team'!$B$2:$G$33,2,FALSE))</f>
        <v>4.3902439024390241E-2</v>
      </c>
      <c r="K191" t="s">
        <v>1983</v>
      </c>
      <c r="L191" t="s">
        <v>417</v>
      </c>
    </row>
    <row r="192" spans="1:12" x14ac:dyDescent="0.25">
      <c r="A192" t="s">
        <v>862</v>
      </c>
      <c r="B192" t="s">
        <v>24</v>
      </c>
      <c r="C192" t="s">
        <v>163</v>
      </c>
      <c r="D192" s="4" t="s">
        <v>476</v>
      </c>
      <c r="E192" s="4" t="s">
        <v>514</v>
      </c>
      <c r="F192" s="4" t="s">
        <v>2042</v>
      </c>
      <c r="G192" t="s">
        <v>1169</v>
      </c>
      <c r="H192" t="s">
        <v>289</v>
      </c>
      <c r="I192" s="3">
        <f t="shared" si="2"/>
        <v>9.0909090909090912E-2</v>
      </c>
      <c r="J192" s="3">
        <f>D192/(VLOOKUP(B192,'2023 Team'!$B$2:$G$33,2,FALSE))</f>
        <v>5.8631921824104233E-2</v>
      </c>
      <c r="K192" t="s">
        <v>1188</v>
      </c>
      <c r="L192" t="s">
        <v>300</v>
      </c>
    </row>
    <row r="193" spans="1:12" x14ac:dyDescent="0.25">
      <c r="A193" t="s">
        <v>869</v>
      </c>
      <c r="B193" t="s">
        <v>26</v>
      </c>
      <c r="C193" t="s">
        <v>153</v>
      </c>
      <c r="D193" s="4" t="s">
        <v>467</v>
      </c>
      <c r="E193" s="4" t="s">
        <v>514</v>
      </c>
      <c r="F193" s="4" t="s">
        <v>1622</v>
      </c>
      <c r="G193" t="s">
        <v>676</v>
      </c>
      <c r="H193" t="s">
        <v>314</v>
      </c>
      <c r="I193" s="3">
        <f t="shared" ref="I193:I254" si="3">H193/E193</f>
        <v>0.13636363636363635</v>
      </c>
      <c r="J193" s="3">
        <f>D193/(VLOOKUP(B193,'2023 Team'!$B$2:$G$33,2,FALSE))</f>
        <v>6.8226120857699801E-2</v>
      </c>
      <c r="K193" t="s">
        <v>1435</v>
      </c>
      <c r="L193" t="s">
        <v>417</v>
      </c>
    </row>
    <row r="194" spans="1:12" x14ac:dyDescent="0.25">
      <c r="A194" t="s">
        <v>948</v>
      </c>
      <c r="B194" t="s">
        <v>46</v>
      </c>
      <c r="C194" t="s">
        <v>163</v>
      </c>
      <c r="D194" s="4" t="s">
        <v>480</v>
      </c>
      <c r="E194" s="4" t="s">
        <v>514</v>
      </c>
      <c r="F194" s="4" t="s">
        <v>2001</v>
      </c>
      <c r="G194" t="s">
        <v>1127</v>
      </c>
      <c r="H194" t="s">
        <v>314</v>
      </c>
      <c r="I194" s="3">
        <f t="shared" si="3"/>
        <v>0.13636363636363635</v>
      </c>
      <c r="J194" s="3">
        <f>D194/(VLOOKUP(B194,'2023 Team'!$B$2:$G$33,2,FALSE))</f>
        <v>6.7137809187279157E-2</v>
      </c>
      <c r="K194" t="s">
        <v>2043</v>
      </c>
      <c r="L194" t="s">
        <v>417</v>
      </c>
    </row>
    <row r="195" spans="1:12" x14ac:dyDescent="0.25">
      <c r="A195" t="s">
        <v>540</v>
      </c>
      <c r="B195" t="s">
        <v>48</v>
      </c>
      <c r="C195" t="s">
        <v>159</v>
      </c>
      <c r="D195" s="4" t="s">
        <v>500</v>
      </c>
      <c r="E195" s="4" t="s">
        <v>528</v>
      </c>
      <c r="F195" s="4" t="s">
        <v>295</v>
      </c>
      <c r="G195" t="s">
        <v>1325</v>
      </c>
      <c r="H195" t="s">
        <v>417</v>
      </c>
      <c r="I195" s="3">
        <f t="shared" si="3"/>
        <v>0</v>
      </c>
      <c r="J195" s="3">
        <f>D195/(VLOOKUP(B195,'2023 Team'!$B$2:$G$33,2,FALSE))</f>
        <v>3.9619651347068144E-2</v>
      </c>
      <c r="K195" t="s">
        <v>2044</v>
      </c>
      <c r="L195" t="s">
        <v>417</v>
      </c>
    </row>
    <row r="196" spans="1:12" x14ac:dyDescent="0.25">
      <c r="A196" t="s">
        <v>471</v>
      </c>
      <c r="B196" t="s">
        <v>8</v>
      </c>
      <c r="C196" t="s">
        <v>159</v>
      </c>
      <c r="D196" s="4" t="s">
        <v>639</v>
      </c>
      <c r="E196" s="4" t="s">
        <v>528</v>
      </c>
      <c r="F196" s="4" t="s">
        <v>346</v>
      </c>
      <c r="G196" t="s">
        <v>226</v>
      </c>
      <c r="H196" t="s">
        <v>417</v>
      </c>
      <c r="I196" s="3">
        <f t="shared" si="3"/>
        <v>0</v>
      </c>
      <c r="J196" s="3">
        <f>D196/(VLOOKUP(B196,'2023 Team'!$B$2:$G$33,2,FALSE))</f>
        <v>5.4054054054054057E-2</v>
      </c>
      <c r="K196" t="s">
        <v>1324</v>
      </c>
      <c r="L196" t="s">
        <v>417</v>
      </c>
    </row>
    <row r="197" spans="1:12" x14ac:dyDescent="0.25">
      <c r="A197" t="s">
        <v>993</v>
      </c>
      <c r="B197" t="s">
        <v>56</v>
      </c>
      <c r="C197" t="s">
        <v>163</v>
      </c>
      <c r="D197" s="4" t="s">
        <v>480</v>
      </c>
      <c r="E197" s="4" t="s">
        <v>528</v>
      </c>
      <c r="F197" s="4" t="s">
        <v>1605</v>
      </c>
      <c r="G197" t="s">
        <v>1184</v>
      </c>
      <c r="H197" t="s">
        <v>417</v>
      </c>
      <c r="I197" s="3">
        <f t="shared" si="3"/>
        <v>0</v>
      </c>
      <c r="J197" s="3">
        <f>D197/(VLOOKUP(B197,'2023 Team'!$B$2:$G$33,2,FALSE))</f>
        <v>6.3227953410981697E-2</v>
      </c>
      <c r="K197" t="s">
        <v>1988</v>
      </c>
      <c r="L197" t="s">
        <v>220</v>
      </c>
    </row>
    <row r="198" spans="1:12" x14ac:dyDescent="0.25">
      <c r="A198" t="s">
        <v>971</v>
      </c>
      <c r="B198" t="s">
        <v>54</v>
      </c>
      <c r="C198" t="s">
        <v>163</v>
      </c>
      <c r="D198" s="4" t="s">
        <v>485</v>
      </c>
      <c r="E198" s="4" t="s">
        <v>528</v>
      </c>
      <c r="F198" s="4" t="s">
        <v>260</v>
      </c>
      <c r="G198" t="s">
        <v>779</v>
      </c>
      <c r="H198" t="s">
        <v>314</v>
      </c>
      <c r="I198" s="3">
        <f t="shared" si="3"/>
        <v>0.14285714285714285</v>
      </c>
      <c r="J198" s="3">
        <f>D198/(VLOOKUP(B198,'2023 Team'!$B$2:$G$33,2,FALSE))</f>
        <v>6.3706563706563704E-2</v>
      </c>
      <c r="K198" t="s">
        <v>1295</v>
      </c>
      <c r="L198" t="s">
        <v>300</v>
      </c>
    </row>
    <row r="199" spans="1:12" x14ac:dyDescent="0.25">
      <c r="A199" t="s">
        <v>720</v>
      </c>
      <c r="B199" t="s">
        <v>38</v>
      </c>
      <c r="C199" t="s">
        <v>163</v>
      </c>
      <c r="D199" s="4" t="s">
        <v>480</v>
      </c>
      <c r="E199" s="4" t="s">
        <v>528</v>
      </c>
      <c r="F199" s="4" t="s">
        <v>1677</v>
      </c>
      <c r="G199" t="s">
        <v>1083</v>
      </c>
      <c r="H199" t="s">
        <v>300</v>
      </c>
      <c r="I199" s="3">
        <f t="shared" si="3"/>
        <v>4.7619047619047616E-2</v>
      </c>
      <c r="J199" s="3">
        <f>D199/(VLOOKUP(B199,'2023 Team'!$B$2:$G$33,2,FALSE))</f>
        <v>5.9842519685039369E-2</v>
      </c>
      <c r="K199" t="s">
        <v>1988</v>
      </c>
      <c r="L199" t="s">
        <v>417</v>
      </c>
    </row>
    <row r="200" spans="1:12" x14ac:dyDescent="0.25">
      <c r="A200" t="s">
        <v>958</v>
      </c>
      <c r="B200" t="s">
        <v>52</v>
      </c>
      <c r="C200" t="s">
        <v>153</v>
      </c>
      <c r="D200" s="4" t="s">
        <v>500</v>
      </c>
      <c r="E200" s="4" t="s">
        <v>528</v>
      </c>
      <c r="F200" s="4" t="s">
        <v>457</v>
      </c>
      <c r="G200" t="s">
        <v>1273</v>
      </c>
      <c r="H200" t="s">
        <v>300</v>
      </c>
      <c r="I200" s="3">
        <f t="shared" si="3"/>
        <v>4.7619047619047616E-2</v>
      </c>
      <c r="J200" s="3">
        <f>D200/(VLOOKUP(B200,'2023 Team'!$B$2:$G$33,2,FALSE))</f>
        <v>4.1254125412541254E-2</v>
      </c>
      <c r="K200" t="s">
        <v>2044</v>
      </c>
      <c r="L200" t="s">
        <v>417</v>
      </c>
    </row>
    <row r="201" spans="1:12" x14ac:dyDescent="0.25">
      <c r="A201" t="s">
        <v>854</v>
      </c>
      <c r="B201" t="s">
        <v>22</v>
      </c>
      <c r="C201" t="s">
        <v>163</v>
      </c>
      <c r="D201" s="4" t="s">
        <v>440</v>
      </c>
      <c r="E201" s="4" t="s">
        <v>528</v>
      </c>
      <c r="F201" s="4" t="s">
        <v>1354</v>
      </c>
      <c r="G201" t="s">
        <v>1331</v>
      </c>
      <c r="H201" t="s">
        <v>417</v>
      </c>
      <c r="I201" s="3">
        <f t="shared" si="3"/>
        <v>0</v>
      </c>
      <c r="J201" s="3">
        <f>D201/(VLOOKUP(B201,'2023 Team'!$B$2:$G$33,2,FALSE))</f>
        <v>7.0512820512820512E-2</v>
      </c>
      <c r="K201" t="s">
        <v>2045</v>
      </c>
      <c r="L201" t="s">
        <v>417</v>
      </c>
    </row>
    <row r="202" spans="1:12" x14ac:dyDescent="0.25">
      <c r="A202" t="s">
        <v>1003</v>
      </c>
      <c r="B202" t="s">
        <v>38</v>
      </c>
      <c r="C202" t="s">
        <v>163</v>
      </c>
      <c r="D202" s="4" t="s">
        <v>1199</v>
      </c>
      <c r="E202" s="4" t="s">
        <v>528</v>
      </c>
      <c r="F202" s="4" t="s">
        <v>2046</v>
      </c>
      <c r="G202" t="s">
        <v>1212</v>
      </c>
      <c r="H202" t="s">
        <v>300</v>
      </c>
      <c r="I202" s="3">
        <f t="shared" si="3"/>
        <v>4.7619047619047616E-2</v>
      </c>
      <c r="J202" s="3">
        <f>D202/(VLOOKUP(B202,'2023 Team'!$B$2:$G$33,2,FALSE))</f>
        <v>6.6141732283464566E-2</v>
      </c>
      <c r="K202" t="s">
        <v>1356</v>
      </c>
      <c r="L202" t="s">
        <v>300</v>
      </c>
    </row>
    <row r="203" spans="1:12" x14ac:dyDescent="0.25">
      <c r="A203" t="s">
        <v>1583</v>
      </c>
      <c r="B203" t="s">
        <v>54</v>
      </c>
      <c r="C203" t="s">
        <v>163</v>
      </c>
      <c r="D203" s="4" t="s">
        <v>490</v>
      </c>
      <c r="E203" s="4" t="s">
        <v>524</v>
      </c>
      <c r="F203" s="4" t="s">
        <v>521</v>
      </c>
      <c r="G203" t="s">
        <v>194</v>
      </c>
      <c r="H203" t="s">
        <v>417</v>
      </c>
      <c r="I203" s="3">
        <f t="shared" si="3"/>
        <v>0</v>
      </c>
      <c r="J203" s="3">
        <f>D203/(VLOOKUP(B203,'2023 Team'!$B$2:$G$33,2,FALSE))</f>
        <v>5.2123552123552123E-2</v>
      </c>
      <c r="K203" t="s">
        <v>2047</v>
      </c>
      <c r="L203" t="s">
        <v>417</v>
      </c>
    </row>
    <row r="204" spans="1:12" x14ac:dyDescent="0.25">
      <c r="A204" t="s">
        <v>543</v>
      </c>
      <c r="B204" t="s">
        <v>18</v>
      </c>
      <c r="C204" t="s">
        <v>159</v>
      </c>
      <c r="D204" s="4" t="s">
        <v>493</v>
      </c>
      <c r="E204" s="4" t="s">
        <v>524</v>
      </c>
      <c r="F204" s="4" t="s">
        <v>321</v>
      </c>
      <c r="G204" t="s">
        <v>608</v>
      </c>
      <c r="H204" t="s">
        <v>300</v>
      </c>
      <c r="I204" s="3">
        <f t="shared" si="3"/>
        <v>0.05</v>
      </c>
      <c r="J204" s="3">
        <f>D204/(VLOOKUP(B204,'2023 Team'!$B$2:$G$33,2,FALSE))</f>
        <v>6.042884990253411E-2</v>
      </c>
      <c r="K204" t="s">
        <v>1091</v>
      </c>
      <c r="L204" t="s">
        <v>300</v>
      </c>
    </row>
    <row r="205" spans="1:12" x14ac:dyDescent="0.25">
      <c r="A205" t="s">
        <v>1031</v>
      </c>
      <c r="B205" t="s">
        <v>44</v>
      </c>
      <c r="C205" t="s">
        <v>163</v>
      </c>
      <c r="D205" s="4" t="s">
        <v>557</v>
      </c>
      <c r="E205" s="4" t="s">
        <v>225</v>
      </c>
      <c r="F205" s="4" t="s">
        <v>1162</v>
      </c>
      <c r="G205" t="s">
        <v>1127</v>
      </c>
      <c r="H205" t="s">
        <v>417</v>
      </c>
      <c r="I205" s="3">
        <f t="shared" si="3"/>
        <v>0</v>
      </c>
      <c r="J205" s="3">
        <f>D205/(VLOOKUP(B205,'2023 Team'!$B$2:$G$33,2,FALSE))</f>
        <v>2.5728987993138937E-2</v>
      </c>
      <c r="K205" t="s">
        <v>1990</v>
      </c>
      <c r="L205" t="s">
        <v>417</v>
      </c>
    </row>
    <row r="206" spans="1:12" x14ac:dyDescent="0.25">
      <c r="A206" t="s">
        <v>1031</v>
      </c>
      <c r="B206" t="s">
        <v>10</v>
      </c>
      <c r="C206" t="s">
        <v>163</v>
      </c>
      <c r="D206" s="4" t="s">
        <v>496</v>
      </c>
      <c r="E206" s="4" t="s">
        <v>198</v>
      </c>
      <c r="F206" s="4" t="s">
        <v>369</v>
      </c>
      <c r="G206" t="s">
        <v>1257</v>
      </c>
      <c r="H206" t="s">
        <v>417</v>
      </c>
      <c r="I206" s="3">
        <f t="shared" si="3"/>
        <v>0</v>
      </c>
      <c r="J206" s="3">
        <f>D206/(VLOOKUP(B206,'2023 Team'!$B$2:$G$33,2,FALSE))</f>
        <v>5.2830188679245285E-2</v>
      </c>
      <c r="K206" t="s">
        <v>1517</v>
      </c>
      <c r="L206" t="s">
        <v>417</v>
      </c>
    </row>
    <row r="207" spans="1:12" x14ac:dyDescent="0.25">
      <c r="A207" t="s">
        <v>567</v>
      </c>
      <c r="B207" t="s">
        <v>40</v>
      </c>
      <c r="C207" t="s">
        <v>159</v>
      </c>
      <c r="D207" s="4" t="s">
        <v>487</v>
      </c>
      <c r="E207" s="4" t="s">
        <v>541</v>
      </c>
      <c r="F207" s="4" t="s">
        <v>349</v>
      </c>
      <c r="G207" t="s">
        <v>434</v>
      </c>
      <c r="H207" t="s">
        <v>417</v>
      </c>
      <c r="I207" s="3">
        <f t="shared" si="3"/>
        <v>0</v>
      </c>
      <c r="J207" s="3">
        <f>D207/(VLOOKUP(B207,'2023 Team'!$B$2:$G$33,2,FALSE))</f>
        <v>4.3087971274685818E-2</v>
      </c>
      <c r="K207" t="s">
        <v>1493</v>
      </c>
      <c r="L207" t="s">
        <v>417</v>
      </c>
    </row>
    <row r="208" spans="1:12" x14ac:dyDescent="0.25">
      <c r="A208" t="s">
        <v>1041</v>
      </c>
      <c r="B208" t="s">
        <v>70</v>
      </c>
      <c r="C208" t="s">
        <v>153</v>
      </c>
      <c r="D208" s="4" t="s">
        <v>496</v>
      </c>
      <c r="E208" s="4" t="s">
        <v>541</v>
      </c>
      <c r="F208" s="4" t="s">
        <v>465</v>
      </c>
      <c r="G208" t="s">
        <v>599</v>
      </c>
      <c r="H208" t="s">
        <v>417</v>
      </c>
      <c r="I208" s="3">
        <f t="shared" si="3"/>
        <v>0</v>
      </c>
      <c r="J208" s="3">
        <f>D208/(VLOOKUP(B208,'2023 Team'!$B$2:$G$33,2,FALSE))</f>
        <v>4.40251572327044E-2</v>
      </c>
      <c r="K208" t="s">
        <v>1108</v>
      </c>
      <c r="L208" t="s">
        <v>417</v>
      </c>
    </row>
    <row r="209" spans="1:12" x14ac:dyDescent="0.25">
      <c r="A209" t="s">
        <v>1007</v>
      </c>
      <c r="B209" t="s">
        <v>64</v>
      </c>
      <c r="C209" t="s">
        <v>163</v>
      </c>
      <c r="D209" s="4" t="s">
        <v>500</v>
      </c>
      <c r="E209" s="4" t="s">
        <v>541</v>
      </c>
      <c r="F209" s="4" t="s">
        <v>287</v>
      </c>
      <c r="G209" t="s">
        <v>1533</v>
      </c>
      <c r="H209" t="s">
        <v>289</v>
      </c>
      <c r="I209" s="3">
        <f t="shared" si="3"/>
        <v>0.10526315789473684</v>
      </c>
      <c r="J209" s="3">
        <f>D209/(VLOOKUP(B209,'2023 Team'!$B$2:$G$33,2,FALSE))</f>
        <v>4.3478260869565216E-2</v>
      </c>
      <c r="K209" t="s">
        <v>1465</v>
      </c>
      <c r="L209" t="s">
        <v>417</v>
      </c>
    </row>
    <row r="210" spans="1:12" x14ac:dyDescent="0.25">
      <c r="A210" t="s">
        <v>1017</v>
      </c>
      <c r="B210" t="s">
        <v>62</v>
      </c>
      <c r="C210" t="s">
        <v>163</v>
      </c>
      <c r="D210" s="4" t="s">
        <v>485</v>
      </c>
      <c r="E210" s="4" t="s">
        <v>541</v>
      </c>
      <c r="F210" s="4" t="s">
        <v>1440</v>
      </c>
      <c r="G210" t="s">
        <v>1304</v>
      </c>
      <c r="H210" t="s">
        <v>300</v>
      </c>
      <c r="I210" s="3">
        <f t="shared" si="3"/>
        <v>5.2631578947368418E-2</v>
      </c>
      <c r="J210" s="3">
        <f>D210/(VLOOKUP(B210,'2023 Team'!$B$2:$G$33,2,FALSE))</f>
        <v>6.720977596741344E-2</v>
      </c>
      <c r="K210" t="s">
        <v>2048</v>
      </c>
      <c r="L210" t="s">
        <v>417</v>
      </c>
    </row>
    <row r="211" spans="1:12" x14ac:dyDescent="0.25">
      <c r="A211" t="s">
        <v>1810</v>
      </c>
      <c r="B211" t="s">
        <v>26</v>
      </c>
      <c r="C211" t="s">
        <v>163</v>
      </c>
      <c r="D211" s="4" t="s">
        <v>639</v>
      </c>
      <c r="E211" s="4" t="s">
        <v>541</v>
      </c>
      <c r="F211" s="4" t="s">
        <v>1672</v>
      </c>
      <c r="G211" t="s">
        <v>1096</v>
      </c>
      <c r="H211" t="s">
        <v>229</v>
      </c>
      <c r="I211" s="3">
        <f t="shared" si="3"/>
        <v>0.21052631578947367</v>
      </c>
      <c r="J211" s="3">
        <f>D211/(VLOOKUP(B211,'2023 Team'!$B$2:$G$33,2,FALSE))</f>
        <v>5.8479532163742687E-2</v>
      </c>
      <c r="K211" t="s">
        <v>1264</v>
      </c>
      <c r="L211" t="s">
        <v>417</v>
      </c>
    </row>
    <row r="212" spans="1:12" x14ac:dyDescent="0.25">
      <c r="A212" t="s">
        <v>1821</v>
      </c>
      <c r="B212" t="s">
        <v>16</v>
      </c>
      <c r="C212" t="s">
        <v>163</v>
      </c>
      <c r="D212" s="4" t="s">
        <v>485</v>
      </c>
      <c r="E212" s="4" t="s">
        <v>541</v>
      </c>
      <c r="F212" s="4" t="s">
        <v>1528</v>
      </c>
      <c r="G212" t="s">
        <v>691</v>
      </c>
      <c r="H212" t="s">
        <v>417</v>
      </c>
      <c r="I212" s="3">
        <f t="shared" si="3"/>
        <v>0</v>
      </c>
      <c r="J212" s="3">
        <f>D212/(VLOOKUP(B212,'2023 Team'!$B$2:$G$33,2,FALSE))</f>
        <v>5.6313993174061432E-2</v>
      </c>
      <c r="K212" t="s">
        <v>2048</v>
      </c>
      <c r="L212" t="s">
        <v>300</v>
      </c>
    </row>
    <row r="213" spans="1:12" x14ac:dyDescent="0.25">
      <c r="A213" t="s">
        <v>199</v>
      </c>
      <c r="B213" t="s">
        <v>34</v>
      </c>
      <c r="C213" t="s">
        <v>159</v>
      </c>
      <c r="D213" s="4" t="s">
        <v>510</v>
      </c>
      <c r="E213" s="4" t="s">
        <v>541</v>
      </c>
      <c r="F213" s="4" t="s">
        <v>331</v>
      </c>
      <c r="G213" t="s">
        <v>1328</v>
      </c>
      <c r="H213" t="s">
        <v>300</v>
      </c>
      <c r="I213" s="3">
        <f t="shared" si="3"/>
        <v>5.2631578947368418E-2</v>
      </c>
      <c r="J213" s="3">
        <f>D213/(VLOOKUP(B213,'2023 Team'!$B$2:$G$33,2,FALSE))</f>
        <v>4.0069686411149823E-2</v>
      </c>
      <c r="K213" t="s">
        <v>1278</v>
      </c>
      <c r="L213" t="s">
        <v>300</v>
      </c>
    </row>
    <row r="214" spans="1:12" x14ac:dyDescent="0.25">
      <c r="A214" t="s">
        <v>581</v>
      </c>
      <c r="B214" t="s">
        <v>40</v>
      </c>
      <c r="C214" t="s">
        <v>163</v>
      </c>
      <c r="D214" s="4" t="s">
        <v>679</v>
      </c>
      <c r="E214" s="4" t="s">
        <v>541</v>
      </c>
      <c r="F214" s="4" t="s">
        <v>2049</v>
      </c>
      <c r="G214" t="s">
        <v>1538</v>
      </c>
      <c r="H214" t="s">
        <v>289</v>
      </c>
      <c r="I214" s="3">
        <f t="shared" si="3"/>
        <v>0.10526315789473684</v>
      </c>
      <c r="J214" s="3">
        <f>D214/(VLOOKUP(B214,'2023 Team'!$B$2:$G$33,2,FALSE))</f>
        <v>6.1041292639138239E-2</v>
      </c>
      <c r="K214" t="s">
        <v>1914</v>
      </c>
      <c r="L214" t="s">
        <v>417</v>
      </c>
    </row>
    <row r="215" spans="1:12" x14ac:dyDescent="0.25">
      <c r="A215" t="s">
        <v>1767</v>
      </c>
      <c r="B215" t="s">
        <v>42</v>
      </c>
      <c r="C215" t="s">
        <v>163</v>
      </c>
      <c r="D215" s="4" t="s">
        <v>507</v>
      </c>
      <c r="E215" s="4" t="s">
        <v>541</v>
      </c>
      <c r="F215" s="4" t="s">
        <v>1406</v>
      </c>
      <c r="G215" t="s">
        <v>1100</v>
      </c>
      <c r="H215" t="s">
        <v>300</v>
      </c>
      <c r="I215" s="3">
        <f t="shared" si="3"/>
        <v>5.2631578947368418E-2</v>
      </c>
      <c r="J215" s="3">
        <f>D215/(VLOOKUP(B215,'2023 Team'!$B$2:$G$33,2,FALSE))</f>
        <v>4.1139240506329111E-2</v>
      </c>
      <c r="K215" t="s">
        <v>1462</v>
      </c>
      <c r="L215" t="s">
        <v>417</v>
      </c>
    </row>
    <row r="216" spans="1:12" x14ac:dyDescent="0.25">
      <c r="A216" t="s">
        <v>317</v>
      </c>
      <c r="B216" t="s">
        <v>10</v>
      </c>
      <c r="C216" t="s">
        <v>159</v>
      </c>
      <c r="D216" s="4" t="s">
        <v>510</v>
      </c>
      <c r="E216" s="4" t="s">
        <v>202</v>
      </c>
      <c r="F216" s="4" t="s">
        <v>457</v>
      </c>
      <c r="G216" t="s">
        <v>1331</v>
      </c>
      <c r="H216" t="s">
        <v>300</v>
      </c>
      <c r="I216" s="3">
        <f t="shared" si="3"/>
        <v>5.5555555555555552E-2</v>
      </c>
      <c r="J216" s="3">
        <f>D216/(VLOOKUP(B216,'2023 Team'!$B$2:$G$33,2,FALSE))</f>
        <v>4.3396226415094337E-2</v>
      </c>
      <c r="K216" t="s">
        <v>1305</v>
      </c>
      <c r="L216" t="s">
        <v>417</v>
      </c>
    </row>
    <row r="217" spans="1:12" x14ac:dyDescent="0.25">
      <c r="A217" t="s">
        <v>748</v>
      </c>
      <c r="B217" t="s">
        <v>10</v>
      </c>
      <c r="C217" t="s">
        <v>163</v>
      </c>
      <c r="D217" s="4" t="s">
        <v>639</v>
      </c>
      <c r="E217" s="4" t="s">
        <v>202</v>
      </c>
      <c r="F217" s="4" t="s">
        <v>2050</v>
      </c>
      <c r="G217" t="s">
        <v>1304</v>
      </c>
      <c r="H217" t="s">
        <v>417</v>
      </c>
      <c r="I217" s="3">
        <f t="shared" si="3"/>
        <v>0</v>
      </c>
      <c r="J217" s="3">
        <f>D217/(VLOOKUP(B217,'2023 Team'!$B$2:$G$33,2,FALSE))</f>
        <v>5.6603773584905662E-2</v>
      </c>
      <c r="K217" t="s">
        <v>1290</v>
      </c>
      <c r="L217" t="s">
        <v>417</v>
      </c>
    </row>
    <row r="218" spans="1:12" x14ac:dyDescent="0.25">
      <c r="A218" t="s">
        <v>1806</v>
      </c>
      <c r="B218" t="s">
        <v>16</v>
      </c>
      <c r="C218" t="s">
        <v>153</v>
      </c>
      <c r="D218" s="4" t="s">
        <v>475</v>
      </c>
      <c r="E218" s="4" t="s">
        <v>202</v>
      </c>
      <c r="F218" s="4" t="s">
        <v>275</v>
      </c>
      <c r="G218" t="s">
        <v>1148</v>
      </c>
      <c r="H218" t="s">
        <v>300</v>
      </c>
      <c r="I218" s="3">
        <f t="shared" si="3"/>
        <v>5.5555555555555552E-2</v>
      </c>
      <c r="J218" s="3">
        <f>D218/(VLOOKUP(B218,'2023 Team'!$B$2:$G$33,2,FALSE))</f>
        <v>5.4607508532423209E-2</v>
      </c>
      <c r="K218" t="s">
        <v>1511</v>
      </c>
      <c r="L218" t="s">
        <v>417</v>
      </c>
    </row>
    <row r="219" spans="1:12" x14ac:dyDescent="0.25">
      <c r="A219" t="s">
        <v>894</v>
      </c>
      <c r="B219" t="s">
        <v>34</v>
      </c>
      <c r="C219" t="s">
        <v>153</v>
      </c>
      <c r="D219" s="4" t="s">
        <v>507</v>
      </c>
      <c r="E219" s="4" t="s">
        <v>202</v>
      </c>
      <c r="F219" s="4" t="s">
        <v>1439</v>
      </c>
      <c r="G219" t="s">
        <v>1181</v>
      </c>
      <c r="H219" t="s">
        <v>417</v>
      </c>
      <c r="I219" s="3">
        <f t="shared" si="3"/>
        <v>0</v>
      </c>
      <c r="J219" s="3">
        <f>D219/(VLOOKUP(B219,'2023 Team'!$B$2:$G$33,2,FALSE))</f>
        <v>4.5296167247386762E-2</v>
      </c>
      <c r="K219" t="s">
        <v>1342</v>
      </c>
      <c r="L219" t="s">
        <v>300</v>
      </c>
    </row>
    <row r="220" spans="1:12" x14ac:dyDescent="0.25">
      <c r="A220" t="s">
        <v>1844</v>
      </c>
      <c r="B220" t="s">
        <v>20</v>
      </c>
      <c r="C220" t="s">
        <v>153</v>
      </c>
      <c r="D220" s="4" t="s">
        <v>507</v>
      </c>
      <c r="E220" s="4" t="s">
        <v>202</v>
      </c>
      <c r="F220" s="4" t="s">
        <v>1500</v>
      </c>
      <c r="G220" t="s">
        <v>1687</v>
      </c>
      <c r="H220" t="s">
        <v>300</v>
      </c>
      <c r="I220" s="3">
        <f t="shared" si="3"/>
        <v>5.5555555555555552E-2</v>
      </c>
      <c r="J220" s="3">
        <f>D220/(VLOOKUP(B220,'2023 Team'!$B$2:$G$33,2,FALSE))</f>
        <v>4.2276422764227641E-2</v>
      </c>
      <c r="K220" t="s">
        <v>1342</v>
      </c>
      <c r="L220" t="s">
        <v>300</v>
      </c>
    </row>
    <row r="221" spans="1:12" x14ac:dyDescent="0.25">
      <c r="A221" t="s">
        <v>1655</v>
      </c>
      <c r="B221" t="s">
        <v>52</v>
      </c>
      <c r="C221" t="s">
        <v>159</v>
      </c>
      <c r="D221" s="4" t="s">
        <v>524</v>
      </c>
      <c r="E221" s="4" t="s">
        <v>202</v>
      </c>
      <c r="F221" s="4" t="s">
        <v>573</v>
      </c>
      <c r="G221" t="s">
        <v>301</v>
      </c>
      <c r="H221" t="s">
        <v>417</v>
      </c>
      <c r="I221" s="3">
        <f t="shared" si="3"/>
        <v>0</v>
      </c>
      <c r="J221" s="3">
        <f>D221/(VLOOKUP(B221,'2023 Team'!$B$2:$G$33,2,FALSE))</f>
        <v>3.3003300330033E-2</v>
      </c>
      <c r="K221" t="s">
        <v>1368</v>
      </c>
      <c r="L221" t="s">
        <v>300</v>
      </c>
    </row>
    <row r="222" spans="1:12" x14ac:dyDescent="0.25">
      <c r="A222" t="s">
        <v>999</v>
      </c>
      <c r="B222" t="s">
        <v>60</v>
      </c>
      <c r="C222" t="s">
        <v>163</v>
      </c>
      <c r="D222" s="4" t="s">
        <v>639</v>
      </c>
      <c r="E222" s="4" t="s">
        <v>535</v>
      </c>
      <c r="F222" s="4" t="s">
        <v>284</v>
      </c>
      <c r="G222" t="s">
        <v>1190</v>
      </c>
      <c r="H222" t="s">
        <v>300</v>
      </c>
      <c r="I222" s="3">
        <f t="shared" si="3"/>
        <v>5.8823529411764705E-2</v>
      </c>
      <c r="J222" s="3">
        <f>D222/(VLOOKUP(B222,'2023 Team'!$B$2:$G$33,2,FALSE))</f>
        <v>5.9288537549407112E-2</v>
      </c>
      <c r="K222" t="s">
        <v>1953</v>
      </c>
      <c r="L222" t="s">
        <v>289</v>
      </c>
    </row>
    <row r="223" spans="1:12" x14ac:dyDescent="0.25">
      <c r="A223" t="s">
        <v>1673</v>
      </c>
      <c r="B223" t="s">
        <v>54</v>
      </c>
      <c r="C223" t="s">
        <v>159</v>
      </c>
      <c r="D223" s="4" t="s">
        <v>528</v>
      </c>
      <c r="E223" s="4" t="s">
        <v>535</v>
      </c>
      <c r="F223" s="4" t="s">
        <v>1109</v>
      </c>
      <c r="G223" t="s">
        <v>194</v>
      </c>
      <c r="H223" t="s">
        <v>417</v>
      </c>
      <c r="I223" s="3">
        <f t="shared" si="3"/>
        <v>0</v>
      </c>
      <c r="J223" s="3">
        <f>D223/(VLOOKUP(B223,'2023 Team'!$B$2:$G$33,2,FALSE))</f>
        <v>4.0540540540540543E-2</v>
      </c>
      <c r="K223" t="s">
        <v>1334</v>
      </c>
      <c r="L223" t="s">
        <v>300</v>
      </c>
    </row>
    <row r="224" spans="1:12" x14ac:dyDescent="0.25">
      <c r="A224" t="s">
        <v>917</v>
      </c>
      <c r="B224" t="s">
        <v>64</v>
      </c>
      <c r="C224" t="s">
        <v>153</v>
      </c>
      <c r="D224" s="4" t="s">
        <v>514</v>
      </c>
      <c r="E224" s="4" t="s">
        <v>535</v>
      </c>
      <c r="F224" s="4" t="s">
        <v>1060</v>
      </c>
      <c r="G224" t="s">
        <v>1116</v>
      </c>
      <c r="H224" t="s">
        <v>300</v>
      </c>
      <c r="I224" s="3">
        <f t="shared" si="3"/>
        <v>5.8823529411764705E-2</v>
      </c>
      <c r="J224" s="3">
        <f>D224/(VLOOKUP(B224,'2023 Team'!$B$2:$G$33,2,FALSE))</f>
        <v>3.826086956521739E-2</v>
      </c>
      <c r="K224" t="s">
        <v>1249</v>
      </c>
      <c r="L224" t="s">
        <v>417</v>
      </c>
    </row>
    <row r="225" spans="1:12" x14ac:dyDescent="0.25">
      <c r="A225" t="s">
        <v>244</v>
      </c>
      <c r="B225" t="s">
        <v>24</v>
      </c>
      <c r="C225" t="s">
        <v>159</v>
      </c>
      <c r="D225" s="4" t="s">
        <v>514</v>
      </c>
      <c r="E225" s="4" t="s">
        <v>535</v>
      </c>
      <c r="F225" s="4" t="s">
        <v>1457</v>
      </c>
      <c r="G225" t="s">
        <v>717</v>
      </c>
      <c r="H225" t="s">
        <v>289</v>
      </c>
      <c r="I225" s="3">
        <f t="shared" si="3"/>
        <v>0.11764705882352941</v>
      </c>
      <c r="J225" s="3">
        <f>D225/(VLOOKUP(B225,'2023 Team'!$B$2:$G$33,2,FALSE))</f>
        <v>3.5830618892508145E-2</v>
      </c>
      <c r="K225" t="s">
        <v>1249</v>
      </c>
      <c r="L225" t="s">
        <v>417</v>
      </c>
    </row>
    <row r="226" spans="1:12" x14ac:dyDescent="0.25">
      <c r="A226" t="s">
        <v>635</v>
      </c>
      <c r="B226" t="s">
        <v>38</v>
      </c>
      <c r="C226" t="s">
        <v>159</v>
      </c>
      <c r="D226" s="4" t="s">
        <v>514</v>
      </c>
      <c r="E226" s="4" t="s">
        <v>535</v>
      </c>
      <c r="F226" s="4" t="s">
        <v>1452</v>
      </c>
      <c r="G226" t="s">
        <v>1336</v>
      </c>
      <c r="H226" t="s">
        <v>300</v>
      </c>
      <c r="I226" s="3">
        <f t="shared" si="3"/>
        <v>5.8823529411764705E-2</v>
      </c>
      <c r="J226" s="3">
        <f>D226/(VLOOKUP(B226,'2023 Team'!$B$2:$G$33,2,FALSE))</f>
        <v>3.4645669291338582E-2</v>
      </c>
      <c r="K226" t="s">
        <v>1249</v>
      </c>
      <c r="L226" t="s">
        <v>417</v>
      </c>
    </row>
    <row r="227" spans="1:12" x14ac:dyDescent="0.25">
      <c r="A227" t="s">
        <v>1816</v>
      </c>
      <c r="B227" t="s">
        <v>32</v>
      </c>
      <c r="C227" t="s">
        <v>153</v>
      </c>
      <c r="D227" s="4" t="s">
        <v>528</v>
      </c>
      <c r="E227" s="4" t="s">
        <v>535</v>
      </c>
      <c r="F227" s="4" t="s">
        <v>1610</v>
      </c>
      <c r="G227" t="s">
        <v>1090</v>
      </c>
      <c r="H227" t="s">
        <v>289</v>
      </c>
      <c r="I227" s="3">
        <f t="shared" si="3"/>
        <v>0.11764705882352941</v>
      </c>
      <c r="J227" s="3">
        <f>D227/(VLOOKUP(B227,'2023 Team'!$B$2:$G$33,2,FALSE))</f>
        <v>3.5472972972972971E-2</v>
      </c>
      <c r="K227" t="s">
        <v>1334</v>
      </c>
      <c r="L227" t="s">
        <v>417</v>
      </c>
    </row>
    <row r="228" spans="1:12" x14ac:dyDescent="0.25">
      <c r="A228" t="s">
        <v>903</v>
      </c>
      <c r="B228" t="s">
        <v>48</v>
      </c>
      <c r="C228" t="s">
        <v>153</v>
      </c>
      <c r="D228" s="4" t="s">
        <v>510</v>
      </c>
      <c r="E228" s="4" t="s">
        <v>535</v>
      </c>
      <c r="F228" s="4" t="s">
        <v>1060</v>
      </c>
      <c r="G228" t="s">
        <v>1116</v>
      </c>
      <c r="H228" t="s">
        <v>300</v>
      </c>
      <c r="I228" s="3">
        <f t="shared" si="3"/>
        <v>5.8823529411764705E-2</v>
      </c>
      <c r="J228" s="3">
        <f>D228/(VLOOKUP(B228,'2023 Team'!$B$2:$G$33,2,FALSE))</f>
        <v>3.6450079239302692E-2</v>
      </c>
      <c r="K228" t="s">
        <v>1388</v>
      </c>
      <c r="L228" t="s">
        <v>417</v>
      </c>
    </row>
    <row r="229" spans="1:12" x14ac:dyDescent="0.25">
      <c r="A229" t="s">
        <v>1662</v>
      </c>
      <c r="B229" t="s">
        <v>14</v>
      </c>
      <c r="C229" t="s">
        <v>159</v>
      </c>
      <c r="D229" s="4" t="s">
        <v>514</v>
      </c>
      <c r="E229" s="4" t="s">
        <v>535</v>
      </c>
      <c r="F229" s="4" t="s">
        <v>346</v>
      </c>
      <c r="G229" t="s">
        <v>648</v>
      </c>
      <c r="H229" t="s">
        <v>417</v>
      </c>
      <c r="I229" s="3">
        <f t="shared" si="3"/>
        <v>0</v>
      </c>
      <c r="J229" s="3">
        <f>D229/(VLOOKUP(B229,'2023 Team'!$B$2:$G$33,2,FALSE))</f>
        <v>3.7996545768566495E-2</v>
      </c>
      <c r="K229" t="s">
        <v>1249</v>
      </c>
      <c r="L229" t="s">
        <v>300</v>
      </c>
    </row>
    <row r="230" spans="1:12" x14ac:dyDescent="0.25">
      <c r="A230" t="s">
        <v>1715</v>
      </c>
      <c r="B230" t="s">
        <v>18</v>
      </c>
      <c r="C230" t="s">
        <v>163</v>
      </c>
      <c r="D230" s="4" t="s">
        <v>475</v>
      </c>
      <c r="E230" s="4" t="s">
        <v>535</v>
      </c>
      <c r="F230" s="4" t="s">
        <v>484</v>
      </c>
      <c r="G230" t="s">
        <v>1195</v>
      </c>
      <c r="H230" t="s">
        <v>417</v>
      </c>
      <c r="I230" s="3">
        <f t="shared" si="3"/>
        <v>0</v>
      </c>
      <c r="J230" s="3">
        <f>D230/(VLOOKUP(B230,'2023 Team'!$B$2:$G$33,2,FALSE))</f>
        <v>6.2378167641325533E-2</v>
      </c>
      <c r="K230" t="s">
        <v>2010</v>
      </c>
      <c r="L230" t="s">
        <v>300</v>
      </c>
    </row>
    <row r="231" spans="1:12" x14ac:dyDescent="0.25">
      <c r="A231" t="s">
        <v>759</v>
      </c>
      <c r="B231" t="s">
        <v>66</v>
      </c>
      <c r="C231" t="s">
        <v>163</v>
      </c>
      <c r="D231" s="4" t="s">
        <v>500</v>
      </c>
      <c r="E231" s="4" t="s">
        <v>535</v>
      </c>
      <c r="F231" s="4" t="s">
        <v>381</v>
      </c>
      <c r="G231" t="s">
        <v>203</v>
      </c>
      <c r="H231" t="s">
        <v>300</v>
      </c>
      <c r="I231" s="3">
        <f t="shared" si="3"/>
        <v>5.8823529411764705E-2</v>
      </c>
      <c r="J231" s="3">
        <f>D231/(VLOOKUP(B231,'2023 Team'!$B$2:$G$33,2,FALSE))</f>
        <v>4.401408450704225E-2</v>
      </c>
      <c r="K231" t="s">
        <v>1062</v>
      </c>
      <c r="L231" t="s">
        <v>314</v>
      </c>
    </row>
    <row r="232" spans="1:12" x14ac:dyDescent="0.25">
      <c r="A232" t="s">
        <v>1695</v>
      </c>
      <c r="B232" t="s">
        <v>46</v>
      </c>
      <c r="C232" t="s">
        <v>159</v>
      </c>
      <c r="D232" s="4" t="s">
        <v>510</v>
      </c>
      <c r="E232" s="4" t="s">
        <v>193</v>
      </c>
      <c r="F232" s="4" t="s">
        <v>1109</v>
      </c>
      <c r="G232" t="s">
        <v>445</v>
      </c>
      <c r="H232" t="s">
        <v>300</v>
      </c>
      <c r="I232" s="3">
        <f t="shared" si="3"/>
        <v>6.25E-2</v>
      </c>
      <c r="J232" s="3">
        <f>D232/(VLOOKUP(B232,'2023 Team'!$B$2:$G$33,2,FALSE))</f>
        <v>4.0636042402826852E-2</v>
      </c>
      <c r="K232" t="s">
        <v>1869</v>
      </c>
      <c r="L232" t="s">
        <v>417</v>
      </c>
    </row>
    <row r="233" spans="1:12" x14ac:dyDescent="0.25">
      <c r="A233" t="s">
        <v>187</v>
      </c>
      <c r="B233" t="s">
        <v>68</v>
      </c>
      <c r="C233" t="s">
        <v>163</v>
      </c>
      <c r="D233" s="4" t="s">
        <v>639</v>
      </c>
      <c r="E233" s="4" t="s">
        <v>193</v>
      </c>
      <c r="F233" s="4" t="s">
        <v>241</v>
      </c>
      <c r="G233" t="s">
        <v>1254</v>
      </c>
      <c r="H233" t="s">
        <v>417</v>
      </c>
      <c r="I233" s="3">
        <f t="shared" si="3"/>
        <v>0</v>
      </c>
      <c r="J233" s="3">
        <f>D233/(VLOOKUP(B233,'2023 Team'!$B$2:$G$33,2,FALSE))</f>
        <v>6.0728744939271252E-2</v>
      </c>
      <c r="K233" t="s">
        <v>1990</v>
      </c>
      <c r="L233" t="s">
        <v>417</v>
      </c>
    </row>
    <row r="234" spans="1:12" x14ac:dyDescent="0.25">
      <c r="A234" t="s">
        <v>1789</v>
      </c>
      <c r="B234" t="s">
        <v>70</v>
      </c>
      <c r="C234" t="s">
        <v>163</v>
      </c>
      <c r="D234" s="4" t="s">
        <v>524</v>
      </c>
      <c r="E234" s="4" t="s">
        <v>193</v>
      </c>
      <c r="F234" s="4" t="s">
        <v>295</v>
      </c>
      <c r="G234" t="s">
        <v>1195</v>
      </c>
      <c r="H234" t="s">
        <v>300</v>
      </c>
      <c r="I234" s="3">
        <f t="shared" si="3"/>
        <v>6.25E-2</v>
      </c>
      <c r="J234" s="3">
        <f>D234/(VLOOKUP(B234,'2023 Team'!$B$2:$G$33,2,FALSE))</f>
        <v>3.1446540880503145E-2</v>
      </c>
      <c r="K234" t="s">
        <v>1329</v>
      </c>
      <c r="L234" t="s">
        <v>289</v>
      </c>
    </row>
    <row r="235" spans="1:12" x14ac:dyDescent="0.25">
      <c r="A235" t="s">
        <v>1795</v>
      </c>
      <c r="B235" t="s">
        <v>42</v>
      </c>
      <c r="C235" t="s">
        <v>163</v>
      </c>
      <c r="D235" s="4" t="s">
        <v>503</v>
      </c>
      <c r="E235" s="4" t="s">
        <v>193</v>
      </c>
      <c r="F235" s="4" t="s">
        <v>281</v>
      </c>
      <c r="G235" t="s">
        <v>1092</v>
      </c>
      <c r="H235" t="s">
        <v>300</v>
      </c>
      <c r="I235" s="3">
        <f t="shared" si="3"/>
        <v>6.25E-2</v>
      </c>
      <c r="J235" s="3">
        <f>D235/(VLOOKUP(B235,'2023 Team'!$B$2:$G$33,2,FALSE))</f>
        <v>4.588607594936709E-2</v>
      </c>
      <c r="K235" t="s">
        <v>2051</v>
      </c>
      <c r="L235" t="s">
        <v>417</v>
      </c>
    </row>
    <row r="236" spans="1:12" x14ac:dyDescent="0.25">
      <c r="A236" t="s">
        <v>646</v>
      </c>
      <c r="B236" t="s">
        <v>30</v>
      </c>
      <c r="C236" t="s">
        <v>163</v>
      </c>
      <c r="D236" s="4" t="s">
        <v>487</v>
      </c>
      <c r="E236" s="4" t="s">
        <v>193</v>
      </c>
      <c r="F236" s="4" t="s">
        <v>1387</v>
      </c>
      <c r="G236" t="s">
        <v>1228</v>
      </c>
      <c r="H236" t="s">
        <v>300</v>
      </c>
      <c r="I236" s="3">
        <f t="shared" si="3"/>
        <v>6.25E-2</v>
      </c>
      <c r="J236" s="3">
        <f>D236/(VLOOKUP(B236,'2023 Team'!$B$2:$G$33,2,FALSE))</f>
        <v>4.1308089500860588E-2</v>
      </c>
      <c r="K236" t="s">
        <v>1297</v>
      </c>
      <c r="L236" t="s">
        <v>417</v>
      </c>
    </row>
    <row r="237" spans="1:12" x14ac:dyDescent="0.25">
      <c r="A237" t="s">
        <v>677</v>
      </c>
      <c r="B237" t="s">
        <v>32</v>
      </c>
      <c r="C237" t="s">
        <v>163</v>
      </c>
      <c r="D237" s="4" t="s">
        <v>639</v>
      </c>
      <c r="E237" s="4" t="s">
        <v>193</v>
      </c>
      <c r="F237" s="4" t="s">
        <v>315</v>
      </c>
      <c r="G237" t="s">
        <v>1195</v>
      </c>
      <c r="H237" t="s">
        <v>417</v>
      </c>
      <c r="I237" s="3">
        <f t="shared" si="3"/>
        <v>0</v>
      </c>
      <c r="J237" s="3">
        <f>D237/(VLOOKUP(B237,'2023 Team'!$B$2:$G$33,2,FALSE))</f>
        <v>5.0675675675675678E-2</v>
      </c>
      <c r="K237" t="s">
        <v>1990</v>
      </c>
      <c r="L237" t="s">
        <v>417</v>
      </c>
    </row>
    <row r="238" spans="1:12" x14ac:dyDescent="0.25">
      <c r="A238" t="s">
        <v>158</v>
      </c>
      <c r="B238" t="s">
        <v>28</v>
      </c>
      <c r="C238" t="s">
        <v>159</v>
      </c>
      <c r="D238" s="4" t="s">
        <v>487</v>
      </c>
      <c r="E238" s="4" t="s">
        <v>193</v>
      </c>
      <c r="F238" s="4" t="s">
        <v>546</v>
      </c>
      <c r="G238" t="s">
        <v>691</v>
      </c>
      <c r="H238" t="s">
        <v>417</v>
      </c>
      <c r="I238" s="3">
        <f t="shared" si="3"/>
        <v>0</v>
      </c>
      <c r="J238" s="3">
        <f>D238/(VLOOKUP(B238,'2023 Team'!$B$2:$G$33,2,FALSE))</f>
        <v>3.9603960396039604E-2</v>
      </c>
      <c r="K238" t="s">
        <v>1297</v>
      </c>
      <c r="L238" t="s">
        <v>289</v>
      </c>
    </row>
    <row r="239" spans="1:12" x14ac:dyDescent="0.25">
      <c r="A239" t="s">
        <v>982</v>
      </c>
      <c r="B239" t="s">
        <v>56</v>
      </c>
      <c r="C239" t="s">
        <v>153</v>
      </c>
      <c r="D239" s="4" t="s">
        <v>514</v>
      </c>
      <c r="E239" s="4" t="s">
        <v>193</v>
      </c>
      <c r="F239" s="4" t="s">
        <v>465</v>
      </c>
      <c r="G239" t="s">
        <v>1323</v>
      </c>
      <c r="H239" t="s">
        <v>417</v>
      </c>
      <c r="I239" s="3">
        <f t="shared" si="3"/>
        <v>0</v>
      </c>
      <c r="J239" s="3">
        <f>D239/(VLOOKUP(B239,'2023 Team'!$B$2:$G$33,2,FALSE))</f>
        <v>3.6605657237936774E-2</v>
      </c>
      <c r="K239" t="s">
        <v>1117</v>
      </c>
      <c r="L239" t="s">
        <v>417</v>
      </c>
    </row>
    <row r="240" spans="1:12" x14ac:dyDescent="0.25">
      <c r="A240" t="s">
        <v>633</v>
      </c>
      <c r="B240" t="s">
        <v>36</v>
      </c>
      <c r="C240" t="s">
        <v>163</v>
      </c>
      <c r="D240" s="4" t="s">
        <v>528</v>
      </c>
      <c r="E240" s="4" t="s">
        <v>193</v>
      </c>
      <c r="F240" s="4" t="s">
        <v>309</v>
      </c>
      <c r="G240" t="s">
        <v>1383</v>
      </c>
      <c r="H240" t="s">
        <v>289</v>
      </c>
      <c r="I240" s="3">
        <f t="shared" si="3"/>
        <v>0.125</v>
      </c>
      <c r="J240" s="3">
        <f>D240/(VLOOKUP(B240,'2023 Team'!$B$2:$G$33,2,FALSE))</f>
        <v>3.3870967741935487E-2</v>
      </c>
      <c r="K240" t="s">
        <v>2052</v>
      </c>
      <c r="L240" t="s">
        <v>289</v>
      </c>
    </row>
    <row r="241" spans="1:12" x14ac:dyDescent="0.25">
      <c r="A241" t="s">
        <v>1772</v>
      </c>
      <c r="B241" t="s">
        <v>22</v>
      </c>
      <c r="C241" t="s">
        <v>153</v>
      </c>
      <c r="D241" s="4" t="s">
        <v>510</v>
      </c>
      <c r="E241" s="4" t="s">
        <v>557</v>
      </c>
      <c r="F241" s="4" t="s">
        <v>309</v>
      </c>
      <c r="G241" t="s">
        <v>1192</v>
      </c>
      <c r="H241" t="s">
        <v>417</v>
      </c>
      <c r="I241" s="3">
        <f t="shared" si="3"/>
        <v>0</v>
      </c>
      <c r="J241" s="3">
        <f>D241/(VLOOKUP(B241,'2023 Team'!$B$2:$G$33,2,FALSE))</f>
        <v>3.685897435897436E-2</v>
      </c>
      <c r="K241" t="s">
        <v>1337</v>
      </c>
      <c r="L241" t="s">
        <v>417</v>
      </c>
    </row>
    <row r="242" spans="1:12" x14ac:dyDescent="0.25">
      <c r="A242" t="s">
        <v>1669</v>
      </c>
      <c r="B242" t="s">
        <v>56</v>
      </c>
      <c r="C242" t="s">
        <v>159</v>
      </c>
      <c r="D242" s="4" t="s">
        <v>524</v>
      </c>
      <c r="E242" s="4" t="s">
        <v>557</v>
      </c>
      <c r="F242" s="4" t="s">
        <v>552</v>
      </c>
      <c r="G242" t="s">
        <v>194</v>
      </c>
      <c r="H242" t="s">
        <v>417</v>
      </c>
      <c r="I242" s="3">
        <f t="shared" si="3"/>
        <v>0</v>
      </c>
      <c r="J242" s="3">
        <f>D242/(VLOOKUP(B242,'2023 Team'!$B$2:$G$33,2,FALSE))</f>
        <v>3.3277870216306155E-2</v>
      </c>
      <c r="K242" t="s">
        <v>1321</v>
      </c>
      <c r="L242" t="s">
        <v>289</v>
      </c>
    </row>
    <row r="243" spans="1:12" x14ac:dyDescent="0.25">
      <c r="A243" t="s">
        <v>711</v>
      </c>
      <c r="B243" t="s">
        <v>42</v>
      </c>
      <c r="C243" t="s">
        <v>163</v>
      </c>
      <c r="D243" s="4" t="s">
        <v>535</v>
      </c>
      <c r="E243" s="4" t="s">
        <v>557</v>
      </c>
      <c r="F243" s="4" t="s">
        <v>1160</v>
      </c>
      <c r="G243" t="s">
        <v>230</v>
      </c>
      <c r="H243" t="s">
        <v>417</v>
      </c>
      <c r="I243" s="3">
        <f t="shared" si="3"/>
        <v>0</v>
      </c>
      <c r="J243" s="3">
        <f>D243/(VLOOKUP(B243,'2023 Team'!$B$2:$G$33,2,FALSE))</f>
        <v>2.6898734177215191E-2</v>
      </c>
      <c r="K243" t="s">
        <v>1502</v>
      </c>
      <c r="L243" t="s">
        <v>314</v>
      </c>
    </row>
    <row r="244" spans="1:12" x14ac:dyDescent="0.25">
      <c r="A244" t="s">
        <v>1726</v>
      </c>
      <c r="B244" t="s">
        <v>14</v>
      </c>
      <c r="C244" t="s">
        <v>163</v>
      </c>
      <c r="D244" s="4" t="s">
        <v>528</v>
      </c>
      <c r="E244" s="4" t="s">
        <v>557</v>
      </c>
      <c r="F244" s="4" t="s">
        <v>1460</v>
      </c>
      <c r="G244" t="s">
        <v>662</v>
      </c>
      <c r="H244" t="s">
        <v>300</v>
      </c>
      <c r="I244" s="3">
        <f t="shared" si="3"/>
        <v>6.6666666666666666E-2</v>
      </c>
      <c r="J244" s="3">
        <f>D244/(VLOOKUP(B244,'2023 Team'!$B$2:$G$33,2,FALSE))</f>
        <v>3.6269430051813469E-2</v>
      </c>
      <c r="K244" t="s">
        <v>1363</v>
      </c>
      <c r="L244" t="s">
        <v>289</v>
      </c>
    </row>
    <row r="245" spans="1:12" x14ac:dyDescent="0.25">
      <c r="A245" t="s">
        <v>881</v>
      </c>
      <c r="B245" t="s">
        <v>30</v>
      </c>
      <c r="C245" t="s">
        <v>163</v>
      </c>
      <c r="D245" s="4" t="s">
        <v>487</v>
      </c>
      <c r="E245" s="4" t="s">
        <v>557</v>
      </c>
      <c r="F245" s="4" t="s">
        <v>328</v>
      </c>
      <c r="G245" t="s">
        <v>1383</v>
      </c>
      <c r="H245" t="s">
        <v>300</v>
      </c>
      <c r="I245" s="3">
        <f t="shared" si="3"/>
        <v>6.6666666666666666E-2</v>
      </c>
      <c r="J245" s="3">
        <f>D245/(VLOOKUP(B245,'2023 Team'!$B$2:$G$33,2,FALSE))</f>
        <v>4.1308089500860588E-2</v>
      </c>
      <c r="K245" t="s">
        <v>1185</v>
      </c>
      <c r="L245" t="s">
        <v>417</v>
      </c>
    </row>
    <row r="246" spans="1:12" x14ac:dyDescent="0.25">
      <c r="A246" t="s">
        <v>305</v>
      </c>
      <c r="B246" t="s">
        <v>22</v>
      </c>
      <c r="C246" t="s">
        <v>159</v>
      </c>
      <c r="D246" s="4" t="s">
        <v>528</v>
      </c>
      <c r="E246" s="4" t="s">
        <v>557</v>
      </c>
      <c r="F246" s="4" t="s">
        <v>405</v>
      </c>
      <c r="G246" t="s">
        <v>516</v>
      </c>
      <c r="H246" t="s">
        <v>417</v>
      </c>
      <c r="I246" s="3">
        <f t="shared" si="3"/>
        <v>0</v>
      </c>
      <c r="J246" s="3">
        <f>D246/(VLOOKUP(B246,'2023 Team'!$B$2:$G$33,2,FALSE))</f>
        <v>3.3653846153846152E-2</v>
      </c>
      <c r="K246" t="s">
        <v>1363</v>
      </c>
      <c r="L246" t="s">
        <v>417</v>
      </c>
    </row>
    <row r="247" spans="1:12" x14ac:dyDescent="0.25">
      <c r="A247" t="s">
        <v>694</v>
      </c>
      <c r="B247" t="s">
        <v>20</v>
      </c>
      <c r="C247" t="s">
        <v>163</v>
      </c>
      <c r="D247" s="4" t="s">
        <v>500</v>
      </c>
      <c r="E247" s="4" t="s">
        <v>557</v>
      </c>
      <c r="F247" s="4" t="s">
        <v>1492</v>
      </c>
      <c r="G247" t="s">
        <v>1489</v>
      </c>
      <c r="H247" t="s">
        <v>229</v>
      </c>
      <c r="I247" s="3">
        <f t="shared" si="3"/>
        <v>0.26666666666666666</v>
      </c>
      <c r="J247" s="3">
        <f>D247/(VLOOKUP(B247,'2023 Team'!$B$2:$G$33,2,FALSE))</f>
        <v>4.065040650406504E-2</v>
      </c>
      <c r="K247" t="s">
        <v>1290</v>
      </c>
      <c r="L247" t="s">
        <v>417</v>
      </c>
    </row>
    <row r="248" spans="1:12" x14ac:dyDescent="0.25">
      <c r="A248" t="s">
        <v>1833</v>
      </c>
      <c r="B248" t="s">
        <v>68</v>
      </c>
      <c r="C248" t="s">
        <v>163</v>
      </c>
      <c r="D248" s="4" t="s">
        <v>514</v>
      </c>
      <c r="E248" s="4" t="s">
        <v>557</v>
      </c>
      <c r="F248" s="4" t="s">
        <v>462</v>
      </c>
      <c r="G248" t="s">
        <v>1350</v>
      </c>
      <c r="H248" t="s">
        <v>417</v>
      </c>
      <c r="I248" s="3">
        <f t="shared" si="3"/>
        <v>0</v>
      </c>
      <c r="J248" s="3">
        <f>D248/(VLOOKUP(B248,'2023 Team'!$B$2:$G$33,2,FALSE))</f>
        <v>4.4534412955465584E-2</v>
      </c>
      <c r="K248" t="s">
        <v>2018</v>
      </c>
      <c r="L248" t="s">
        <v>300</v>
      </c>
    </row>
    <row r="249" spans="1:12" x14ac:dyDescent="0.25">
      <c r="A249" t="s">
        <v>1860</v>
      </c>
      <c r="B249" t="s">
        <v>58</v>
      </c>
      <c r="C249" t="s">
        <v>163</v>
      </c>
      <c r="D249" s="4" t="s">
        <v>528</v>
      </c>
      <c r="E249" s="4" t="s">
        <v>557</v>
      </c>
      <c r="F249" s="4" t="s">
        <v>1501</v>
      </c>
      <c r="G249" t="s">
        <v>723</v>
      </c>
      <c r="H249" t="s">
        <v>300</v>
      </c>
      <c r="I249" s="3">
        <f t="shared" si="3"/>
        <v>6.6666666666666666E-2</v>
      </c>
      <c r="J249" s="3">
        <f>D249/(VLOOKUP(B249,'2023 Team'!$B$2:$G$33,2,FALSE))</f>
        <v>3.7300177619893425E-2</v>
      </c>
      <c r="K249" t="s">
        <v>1363</v>
      </c>
      <c r="L249" t="s">
        <v>417</v>
      </c>
    </row>
    <row r="250" spans="1:12" x14ac:dyDescent="0.25">
      <c r="A250" t="s">
        <v>576</v>
      </c>
      <c r="B250" t="s">
        <v>40</v>
      </c>
      <c r="C250" t="s">
        <v>159</v>
      </c>
      <c r="D250" s="4" t="s">
        <v>541</v>
      </c>
      <c r="E250" s="4" t="s">
        <v>557</v>
      </c>
      <c r="F250" s="4" t="s">
        <v>1223</v>
      </c>
      <c r="G250" t="s">
        <v>539</v>
      </c>
      <c r="H250" t="s">
        <v>417</v>
      </c>
      <c r="I250" s="3">
        <f t="shared" si="3"/>
        <v>0</v>
      </c>
      <c r="J250" s="3">
        <f>D250/(VLOOKUP(B250,'2023 Team'!$B$2:$G$33,2,FALSE))</f>
        <v>3.4111310592459608E-2</v>
      </c>
      <c r="K250" t="s">
        <v>1483</v>
      </c>
      <c r="L250" t="s">
        <v>300</v>
      </c>
    </row>
    <row r="251" spans="1:12" x14ac:dyDescent="0.25">
      <c r="A251" t="s">
        <v>822</v>
      </c>
      <c r="B251" t="s">
        <v>56</v>
      </c>
      <c r="C251" t="s">
        <v>163</v>
      </c>
      <c r="D251" s="4" t="s">
        <v>314</v>
      </c>
      <c r="E251" s="4" t="s">
        <v>300</v>
      </c>
      <c r="F251" s="4" t="s">
        <v>247</v>
      </c>
      <c r="G251" t="s">
        <v>389</v>
      </c>
      <c r="H251" t="s">
        <v>417</v>
      </c>
      <c r="I251" s="3">
        <f t="shared" si="3"/>
        <v>0</v>
      </c>
      <c r="J251" s="3">
        <f>D251/(VLOOKUP(B251,'2023 Team'!$B$2:$G$33,2,FALSE))</f>
        <v>4.9916805324459234E-3</v>
      </c>
      <c r="K251" t="s">
        <v>1446</v>
      </c>
      <c r="L251" t="s">
        <v>417</v>
      </c>
    </row>
    <row r="252" spans="1:12" x14ac:dyDescent="0.25">
      <c r="A252" t="s">
        <v>822</v>
      </c>
      <c r="B252" t="s">
        <v>38</v>
      </c>
      <c r="C252" t="s">
        <v>163</v>
      </c>
      <c r="D252" s="4" t="s">
        <v>528</v>
      </c>
      <c r="E252" s="4" t="s">
        <v>344</v>
      </c>
      <c r="F252" s="4" t="s">
        <v>366</v>
      </c>
      <c r="G252" t="s">
        <v>1257</v>
      </c>
      <c r="H252" t="s">
        <v>417</v>
      </c>
      <c r="I252" s="3">
        <f t="shared" si="3"/>
        <v>0</v>
      </c>
      <c r="J252" s="3">
        <f>D252/(VLOOKUP(B252,'2023 Team'!$B$2:$G$33,2,FALSE))</f>
        <v>3.3070866141732283E-2</v>
      </c>
      <c r="K252" t="s">
        <v>1297</v>
      </c>
      <c r="L252" t="s">
        <v>300</v>
      </c>
    </row>
    <row r="253" spans="1:12" x14ac:dyDescent="0.25">
      <c r="A253" t="s">
        <v>1722</v>
      </c>
      <c r="B253" t="s">
        <v>36</v>
      </c>
      <c r="C253" t="s">
        <v>163</v>
      </c>
      <c r="D253" s="4" t="s">
        <v>528</v>
      </c>
      <c r="E253" s="4" t="s">
        <v>344</v>
      </c>
      <c r="F253" s="4" t="s">
        <v>1412</v>
      </c>
      <c r="G253" t="s">
        <v>2005</v>
      </c>
      <c r="H253" t="s">
        <v>300</v>
      </c>
      <c r="I253" s="3">
        <f t="shared" si="3"/>
        <v>7.1428571428571425E-2</v>
      </c>
      <c r="J253" s="3">
        <f>D253/(VLOOKUP(B253,'2023 Team'!$B$2:$G$33,2,FALSE))</f>
        <v>3.3870967741935487E-2</v>
      </c>
      <c r="K253" t="s">
        <v>1297</v>
      </c>
      <c r="L253" t="s">
        <v>300</v>
      </c>
    </row>
    <row r="254" spans="1:12" x14ac:dyDescent="0.25">
      <c r="A254" t="s">
        <v>1776</v>
      </c>
      <c r="B254" t="s">
        <v>22</v>
      </c>
      <c r="C254" t="s">
        <v>163</v>
      </c>
      <c r="D254" s="4" t="s">
        <v>510</v>
      </c>
      <c r="E254" s="4" t="s">
        <v>344</v>
      </c>
      <c r="F254" s="4" t="s">
        <v>494</v>
      </c>
      <c r="G254" t="s">
        <v>1132</v>
      </c>
      <c r="H254" t="s">
        <v>314</v>
      </c>
      <c r="I254" s="3">
        <f t="shared" si="3"/>
        <v>0.21428571428571427</v>
      </c>
      <c r="J254" s="3">
        <f>D254/(VLOOKUP(B254,'2023 Team'!$B$2:$G$33,2,FALSE))</f>
        <v>3.685897435897436E-2</v>
      </c>
      <c r="K254" t="s">
        <v>1494</v>
      </c>
      <c r="L254" t="s">
        <v>417</v>
      </c>
    </row>
    <row r="255" spans="1:12" x14ac:dyDescent="0.25">
      <c r="A255" t="s">
        <v>280</v>
      </c>
      <c r="B255" t="s">
        <v>20</v>
      </c>
      <c r="C255" t="s">
        <v>159</v>
      </c>
      <c r="D255" s="4" t="s">
        <v>557</v>
      </c>
      <c r="E255" s="4" t="s">
        <v>344</v>
      </c>
      <c r="F255" s="4" t="s">
        <v>1080</v>
      </c>
      <c r="G255" t="s">
        <v>1336</v>
      </c>
      <c r="H255" t="s">
        <v>300</v>
      </c>
      <c r="I255" s="3">
        <f t="shared" ref="I255:I316" si="4">H255/E255</f>
        <v>7.1428571428571425E-2</v>
      </c>
      <c r="J255" s="3">
        <f>D255/(VLOOKUP(B255,'2023 Team'!$B$2:$G$33,2,FALSE))</f>
        <v>2.4390243902439025E-2</v>
      </c>
      <c r="K255" t="s">
        <v>2053</v>
      </c>
      <c r="L255" t="s">
        <v>300</v>
      </c>
    </row>
    <row r="256" spans="1:12" x14ac:dyDescent="0.25">
      <c r="A256" t="s">
        <v>1675</v>
      </c>
      <c r="B256" t="s">
        <v>66</v>
      </c>
      <c r="C256" t="s">
        <v>159</v>
      </c>
      <c r="D256" s="4" t="s">
        <v>535</v>
      </c>
      <c r="E256" s="4" t="s">
        <v>344</v>
      </c>
      <c r="F256" s="4" t="s">
        <v>698</v>
      </c>
      <c r="G256" t="s">
        <v>400</v>
      </c>
      <c r="H256" t="s">
        <v>417</v>
      </c>
      <c r="I256" s="3">
        <f t="shared" si="4"/>
        <v>0</v>
      </c>
      <c r="J256" s="3">
        <f>D256/(VLOOKUP(B256,'2023 Team'!$B$2:$G$33,2,FALSE))</f>
        <v>2.9929577464788731E-2</v>
      </c>
      <c r="K256" t="s">
        <v>1944</v>
      </c>
      <c r="L256" t="s">
        <v>417</v>
      </c>
    </row>
    <row r="257" spans="1:12" x14ac:dyDescent="0.25">
      <c r="A257" t="s">
        <v>793</v>
      </c>
      <c r="B257" t="s">
        <v>8</v>
      </c>
      <c r="C257" t="s">
        <v>153</v>
      </c>
      <c r="D257" s="4" t="s">
        <v>541</v>
      </c>
      <c r="E257" s="4" t="s">
        <v>344</v>
      </c>
      <c r="F257" s="4" t="s">
        <v>306</v>
      </c>
      <c r="G257" t="s">
        <v>1083</v>
      </c>
      <c r="H257" t="s">
        <v>300</v>
      </c>
      <c r="I257" s="3">
        <f t="shared" si="4"/>
        <v>7.1428571428571425E-2</v>
      </c>
      <c r="J257" s="3">
        <f>D257/(VLOOKUP(B257,'2023 Team'!$B$2:$G$33,2,FALSE))</f>
        <v>3.4234234234234232E-2</v>
      </c>
      <c r="K257" t="s">
        <v>2054</v>
      </c>
      <c r="L257" t="s">
        <v>417</v>
      </c>
    </row>
    <row r="258" spans="1:12" x14ac:dyDescent="0.25">
      <c r="A258" t="s">
        <v>802</v>
      </c>
      <c r="B258" t="s">
        <v>10</v>
      </c>
      <c r="C258" t="s">
        <v>163</v>
      </c>
      <c r="D258" s="4" t="s">
        <v>510</v>
      </c>
      <c r="E258" s="4" t="s">
        <v>344</v>
      </c>
      <c r="F258" s="4" t="s">
        <v>281</v>
      </c>
      <c r="G258" t="s">
        <v>1526</v>
      </c>
      <c r="H258" t="s">
        <v>417</v>
      </c>
      <c r="I258" s="3">
        <f t="shared" si="4"/>
        <v>0</v>
      </c>
      <c r="J258" s="3">
        <f>D258/(VLOOKUP(B258,'2023 Team'!$B$2:$G$33,2,FALSE))</f>
        <v>4.3396226415094337E-2</v>
      </c>
      <c r="K258" t="s">
        <v>1494</v>
      </c>
      <c r="L258" t="s">
        <v>300</v>
      </c>
    </row>
    <row r="259" spans="1:12" x14ac:dyDescent="0.25">
      <c r="A259" t="s">
        <v>718</v>
      </c>
      <c r="B259" t="s">
        <v>62</v>
      </c>
      <c r="C259" t="s">
        <v>613</v>
      </c>
      <c r="D259" s="4" t="s">
        <v>535</v>
      </c>
      <c r="E259" s="4" t="s">
        <v>344</v>
      </c>
      <c r="F259" s="4" t="s">
        <v>346</v>
      </c>
      <c r="G259" t="s">
        <v>717</v>
      </c>
      <c r="H259" t="s">
        <v>289</v>
      </c>
      <c r="I259" s="3">
        <f t="shared" si="4"/>
        <v>0.14285714285714285</v>
      </c>
      <c r="J259" s="3">
        <f>D259/(VLOOKUP(B259,'2023 Team'!$B$2:$G$33,2,FALSE))</f>
        <v>3.4623217922606926E-2</v>
      </c>
      <c r="K259" t="s">
        <v>1944</v>
      </c>
      <c r="L259" t="s">
        <v>417</v>
      </c>
    </row>
    <row r="260" spans="1:12" x14ac:dyDescent="0.25">
      <c r="A260" t="s">
        <v>1834</v>
      </c>
      <c r="B260" t="s">
        <v>70</v>
      </c>
      <c r="C260" t="s">
        <v>163</v>
      </c>
      <c r="D260" s="4" t="s">
        <v>514</v>
      </c>
      <c r="E260" s="4" t="s">
        <v>344</v>
      </c>
      <c r="F260" s="4" t="s">
        <v>1471</v>
      </c>
      <c r="G260" t="s">
        <v>1181</v>
      </c>
      <c r="H260" t="s">
        <v>417</v>
      </c>
      <c r="I260" s="3">
        <f t="shared" si="4"/>
        <v>0</v>
      </c>
      <c r="J260" s="3">
        <f>D260/(VLOOKUP(B260,'2023 Team'!$B$2:$G$33,2,FALSE))</f>
        <v>3.4591194968553458E-2</v>
      </c>
      <c r="K260" t="s">
        <v>1295</v>
      </c>
      <c r="L260" t="s">
        <v>300</v>
      </c>
    </row>
    <row r="261" spans="1:12" x14ac:dyDescent="0.25">
      <c r="A261" t="s">
        <v>1678</v>
      </c>
      <c r="B261" t="s">
        <v>46</v>
      </c>
      <c r="C261" t="s">
        <v>159</v>
      </c>
      <c r="D261" s="4" t="s">
        <v>535</v>
      </c>
      <c r="E261" s="4" t="s">
        <v>344</v>
      </c>
      <c r="F261" s="4" t="s">
        <v>548</v>
      </c>
      <c r="G261" t="s">
        <v>568</v>
      </c>
      <c r="H261" t="s">
        <v>417</v>
      </c>
      <c r="I261" s="3">
        <f t="shared" si="4"/>
        <v>0</v>
      </c>
      <c r="J261" s="3">
        <f>D261/(VLOOKUP(B261,'2023 Team'!$B$2:$G$33,2,FALSE))</f>
        <v>3.0035335689045935E-2</v>
      </c>
      <c r="K261" t="s">
        <v>1944</v>
      </c>
      <c r="L261" t="s">
        <v>417</v>
      </c>
    </row>
    <row r="262" spans="1:12" x14ac:dyDescent="0.25">
      <c r="A262" t="s">
        <v>892</v>
      </c>
      <c r="B262" t="s">
        <v>34</v>
      </c>
      <c r="C262" t="s">
        <v>153</v>
      </c>
      <c r="D262" s="4" t="s">
        <v>514</v>
      </c>
      <c r="E262" s="4" t="s">
        <v>234</v>
      </c>
      <c r="F262" s="4" t="s">
        <v>1471</v>
      </c>
      <c r="G262" t="s">
        <v>1360</v>
      </c>
      <c r="H262" t="s">
        <v>314</v>
      </c>
      <c r="I262" s="3">
        <f t="shared" si="4"/>
        <v>0.23076923076923078</v>
      </c>
      <c r="J262" s="3">
        <f>D262/(VLOOKUP(B262,'2023 Team'!$B$2:$G$33,2,FALSE))</f>
        <v>3.8327526132404179E-2</v>
      </c>
      <c r="K262" t="s">
        <v>1472</v>
      </c>
      <c r="L262" t="s">
        <v>417</v>
      </c>
    </row>
    <row r="263" spans="1:12" x14ac:dyDescent="0.25">
      <c r="A263" t="s">
        <v>790</v>
      </c>
      <c r="B263" t="s">
        <v>50</v>
      </c>
      <c r="C263" t="s">
        <v>153</v>
      </c>
      <c r="D263" s="4" t="s">
        <v>557</v>
      </c>
      <c r="E263" s="4" t="s">
        <v>234</v>
      </c>
      <c r="F263" s="4" t="s">
        <v>1431</v>
      </c>
      <c r="G263" t="s">
        <v>1537</v>
      </c>
      <c r="H263" t="s">
        <v>300</v>
      </c>
      <c r="I263" s="3">
        <f t="shared" si="4"/>
        <v>7.6923076923076927E-2</v>
      </c>
      <c r="J263" s="3">
        <f>D263/(VLOOKUP(B263,'2023 Team'!$B$2:$G$33,2,FALSE))</f>
        <v>2.6929982046678635E-2</v>
      </c>
      <c r="K263" t="s">
        <v>1523</v>
      </c>
      <c r="L263" t="s">
        <v>300</v>
      </c>
    </row>
    <row r="264" spans="1:12" x14ac:dyDescent="0.25">
      <c r="A264" t="s">
        <v>886</v>
      </c>
      <c r="B264" t="s">
        <v>22</v>
      </c>
      <c r="C264" t="s">
        <v>153</v>
      </c>
      <c r="D264" s="4" t="s">
        <v>524</v>
      </c>
      <c r="E264" s="4" t="s">
        <v>234</v>
      </c>
      <c r="F264" s="4" t="s">
        <v>698</v>
      </c>
      <c r="G264" t="s">
        <v>574</v>
      </c>
      <c r="H264" t="s">
        <v>314</v>
      </c>
      <c r="I264" s="3">
        <f t="shared" si="4"/>
        <v>0.23076923076923078</v>
      </c>
      <c r="J264" s="3">
        <f>D264/(VLOOKUP(B264,'2023 Team'!$B$2:$G$33,2,FALSE))</f>
        <v>3.2051282051282048E-2</v>
      </c>
      <c r="K264" t="s">
        <v>1495</v>
      </c>
      <c r="L264" t="s">
        <v>300</v>
      </c>
    </row>
    <row r="265" spans="1:12" x14ac:dyDescent="0.25">
      <c r="A265" t="s">
        <v>1016</v>
      </c>
      <c r="B265" t="s">
        <v>36</v>
      </c>
      <c r="C265" t="s">
        <v>153</v>
      </c>
      <c r="D265" s="4" t="s">
        <v>557</v>
      </c>
      <c r="E265" s="4" t="s">
        <v>234</v>
      </c>
      <c r="F265" s="4" t="s">
        <v>312</v>
      </c>
      <c r="G265" t="s">
        <v>1132</v>
      </c>
      <c r="H265" t="s">
        <v>417</v>
      </c>
      <c r="I265" s="3">
        <f t="shared" si="4"/>
        <v>0</v>
      </c>
      <c r="J265" s="3">
        <f>D265/(VLOOKUP(B265,'2023 Team'!$B$2:$G$33,2,FALSE))</f>
        <v>2.4193548387096774E-2</v>
      </c>
      <c r="K265" t="s">
        <v>1523</v>
      </c>
      <c r="L265" t="s">
        <v>417</v>
      </c>
    </row>
    <row r="266" spans="1:12" x14ac:dyDescent="0.25">
      <c r="A266" t="s">
        <v>867</v>
      </c>
      <c r="B266" t="s">
        <v>26</v>
      </c>
      <c r="C266" t="s">
        <v>163</v>
      </c>
      <c r="D266" s="4" t="s">
        <v>541</v>
      </c>
      <c r="E266" s="4" t="s">
        <v>234</v>
      </c>
      <c r="F266" s="4" t="s">
        <v>2055</v>
      </c>
      <c r="G266" t="s">
        <v>1065</v>
      </c>
      <c r="H266" t="s">
        <v>314</v>
      </c>
      <c r="I266" s="3">
        <f t="shared" si="4"/>
        <v>0.23076923076923078</v>
      </c>
      <c r="J266" s="3">
        <f>D266/(VLOOKUP(B266,'2023 Team'!$B$2:$G$33,2,FALSE))</f>
        <v>3.7037037037037035E-2</v>
      </c>
      <c r="K266" t="s">
        <v>1438</v>
      </c>
      <c r="L266" t="s">
        <v>417</v>
      </c>
    </row>
    <row r="267" spans="1:12" x14ac:dyDescent="0.25">
      <c r="A267" t="s">
        <v>695</v>
      </c>
      <c r="B267" t="s">
        <v>46</v>
      </c>
      <c r="C267" t="s">
        <v>613</v>
      </c>
      <c r="D267" s="4" t="s">
        <v>193</v>
      </c>
      <c r="E267" s="4" t="s">
        <v>234</v>
      </c>
      <c r="F267" s="4" t="s">
        <v>346</v>
      </c>
      <c r="G267" t="s">
        <v>1273</v>
      </c>
      <c r="H267" t="s">
        <v>417</v>
      </c>
      <c r="I267" s="3">
        <f t="shared" si="4"/>
        <v>0</v>
      </c>
      <c r="J267" s="3">
        <f>D267/(VLOOKUP(B267,'2023 Team'!$B$2:$G$33,2,FALSE))</f>
        <v>2.8268551236749116E-2</v>
      </c>
      <c r="K267" t="s">
        <v>1447</v>
      </c>
      <c r="L267" t="s">
        <v>417</v>
      </c>
    </row>
    <row r="268" spans="1:12" x14ac:dyDescent="0.25">
      <c r="A268" t="s">
        <v>602</v>
      </c>
      <c r="B268" t="s">
        <v>32</v>
      </c>
      <c r="C268" t="s">
        <v>159</v>
      </c>
      <c r="D268" s="4" t="s">
        <v>535</v>
      </c>
      <c r="E268" s="4" t="s">
        <v>234</v>
      </c>
      <c r="F268" s="4" t="s">
        <v>369</v>
      </c>
      <c r="G268" t="s">
        <v>611</v>
      </c>
      <c r="H268" t="s">
        <v>417</v>
      </c>
      <c r="I268" s="3">
        <f t="shared" si="4"/>
        <v>0</v>
      </c>
      <c r="J268" s="3">
        <f>D268/(VLOOKUP(B268,'2023 Team'!$B$2:$G$33,2,FALSE))</f>
        <v>2.8716216216216218E-2</v>
      </c>
      <c r="K268" t="s">
        <v>1241</v>
      </c>
      <c r="L268" t="s">
        <v>417</v>
      </c>
    </row>
    <row r="269" spans="1:12" x14ac:dyDescent="0.25">
      <c r="A269" t="s">
        <v>913</v>
      </c>
      <c r="B269" t="s">
        <v>50</v>
      </c>
      <c r="C269" t="s">
        <v>163</v>
      </c>
      <c r="D269" s="4" t="s">
        <v>510</v>
      </c>
      <c r="E269" s="4" t="s">
        <v>234</v>
      </c>
      <c r="F269" s="4" t="s">
        <v>1202</v>
      </c>
      <c r="G269" t="s">
        <v>648</v>
      </c>
      <c r="H269" t="s">
        <v>417</v>
      </c>
      <c r="I269" s="3">
        <f t="shared" si="4"/>
        <v>0</v>
      </c>
      <c r="J269" s="3">
        <f>D269/(VLOOKUP(B269,'2023 Team'!$B$2:$G$33,2,FALSE))</f>
        <v>4.1292639138240578E-2</v>
      </c>
      <c r="K269" t="s">
        <v>1484</v>
      </c>
      <c r="L269" t="s">
        <v>417</v>
      </c>
    </row>
    <row r="270" spans="1:12" x14ac:dyDescent="0.25">
      <c r="A270" t="s">
        <v>876</v>
      </c>
      <c r="B270" t="s">
        <v>28</v>
      </c>
      <c r="C270" t="s">
        <v>153</v>
      </c>
      <c r="D270" s="4" t="s">
        <v>344</v>
      </c>
      <c r="E270" s="4" t="s">
        <v>234</v>
      </c>
      <c r="F270" s="4" t="s">
        <v>1202</v>
      </c>
      <c r="G270" t="s">
        <v>648</v>
      </c>
      <c r="H270" t="s">
        <v>300</v>
      </c>
      <c r="I270" s="3">
        <f t="shared" si="4"/>
        <v>7.6923076923076927E-2</v>
      </c>
      <c r="J270" s="3">
        <f>D270/(VLOOKUP(B270,'2023 Team'!$B$2:$G$33,2,FALSE))</f>
        <v>2.3102310231023101E-2</v>
      </c>
      <c r="K270" t="s">
        <v>2056</v>
      </c>
      <c r="L270" t="s">
        <v>417</v>
      </c>
    </row>
    <row r="271" spans="1:12" x14ac:dyDescent="0.25">
      <c r="A271" t="s">
        <v>1831</v>
      </c>
      <c r="B271" t="s">
        <v>22</v>
      </c>
      <c r="C271" t="s">
        <v>163</v>
      </c>
      <c r="D271" s="4" t="s">
        <v>202</v>
      </c>
      <c r="E271" s="4" t="s">
        <v>225</v>
      </c>
      <c r="F271" s="4" t="s">
        <v>1512</v>
      </c>
      <c r="G271" t="s">
        <v>1350</v>
      </c>
      <c r="H271" t="s">
        <v>417</v>
      </c>
      <c r="I271" s="3">
        <f t="shared" si="4"/>
        <v>0</v>
      </c>
      <c r="J271" s="3">
        <f>D271/(VLOOKUP(B271,'2023 Team'!$B$2:$G$33,2,FALSE))</f>
        <v>2.8846153846153848E-2</v>
      </c>
      <c r="K271" t="s">
        <v>1255</v>
      </c>
      <c r="L271" t="s">
        <v>300</v>
      </c>
    </row>
    <row r="272" spans="1:12" x14ac:dyDescent="0.25">
      <c r="A272" t="s">
        <v>1831</v>
      </c>
      <c r="B272" t="s">
        <v>28</v>
      </c>
      <c r="C272" t="s">
        <v>163</v>
      </c>
      <c r="D272" s="4" t="s">
        <v>207</v>
      </c>
      <c r="E272" s="4" t="s">
        <v>220</v>
      </c>
      <c r="F272" s="4" t="s">
        <v>413</v>
      </c>
      <c r="G272" t="s">
        <v>1083</v>
      </c>
      <c r="H272" t="s">
        <v>417</v>
      </c>
      <c r="I272" s="3">
        <f t="shared" si="4"/>
        <v>0</v>
      </c>
      <c r="J272" s="3">
        <f>D272/(VLOOKUP(B272,'2023 Team'!$B$2:$G$33,2,FALSE))</f>
        <v>1.155115511551155E-2</v>
      </c>
      <c r="K272" t="s">
        <v>1363</v>
      </c>
      <c r="L272" t="s">
        <v>417</v>
      </c>
    </row>
    <row r="273" spans="1:12" x14ac:dyDescent="0.25">
      <c r="A273" t="s">
        <v>638</v>
      </c>
      <c r="B273" t="s">
        <v>70</v>
      </c>
      <c r="C273" t="s">
        <v>163</v>
      </c>
      <c r="D273" s="4" t="s">
        <v>510</v>
      </c>
      <c r="E273" s="4" t="s">
        <v>198</v>
      </c>
      <c r="F273" s="4" t="s">
        <v>484</v>
      </c>
      <c r="G273" t="s">
        <v>696</v>
      </c>
      <c r="H273" t="s">
        <v>300</v>
      </c>
      <c r="I273" s="3">
        <f t="shared" si="4"/>
        <v>8.3333333333333329E-2</v>
      </c>
      <c r="J273" s="3">
        <f>D273/(VLOOKUP(B273,'2023 Team'!$B$2:$G$33,2,FALSE))</f>
        <v>3.6163522012578615E-2</v>
      </c>
      <c r="K273" t="s">
        <v>2057</v>
      </c>
      <c r="L273" t="s">
        <v>417</v>
      </c>
    </row>
    <row r="274" spans="1:12" x14ac:dyDescent="0.25">
      <c r="A274" t="s">
        <v>1624</v>
      </c>
      <c r="B274" t="s">
        <v>12</v>
      </c>
      <c r="C274" t="s">
        <v>159</v>
      </c>
      <c r="D274" s="4" t="s">
        <v>234</v>
      </c>
      <c r="E274" s="4" t="s">
        <v>198</v>
      </c>
      <c r="F274" s="4" t="s">
        <v>284</v>
      </c>
      <c r="G274" t="s">
        <v>1212</v>
      </c>
      <c r="H274" t="s">
        <v>417</v>
      </c>
      <c r="I274" s="3">
        <f t="shared" si="4"/>
        <v>0</v>
      </c>
      <c r="J274" s="3">
        <f>D274/(VLOOKUP(B274,'2023 Team'!$B$2:$G$33,2,FALSE))</f>
        <v>2.6315789473684209E-2</v>
      </c>
      <c r="K274" t="s">
        <v>1525</v>
      </c>
      <c r="L274" t="s">
        <v>314</v>
      </c>
    </row>
    <row r="275" spans="1:12" x14ac:dyDescent="0.25">
      <c r="A275" t="s">
        <v>806</v>
      </c>
      <c r="B275" t="s">
        <v>62</v>
      </c>
      <c r="C275" t="s">
        <v>163</v>
      </c>
      <c r="D275" s="4" t="s">
        <v>557</v>
      </c>
      <c r="E275" s="4" t="s">
        <v>198</v>
      </c>
      <c r="F275" s="4" t="s">
        <v>1445</v>
      </c>
      <c r="G275" t="s">
        <v>680</v>
      </c>
      <c r="H275" t="s">
        <v>417</v>
      </c>
      <c r="I275" s="3">
        <f t="shared" si="4"/>
        <v>0</v>
      </c>
      <c r="J275" s="3">
        <f>D275/(VLOOKUP(B275,'2023 Team'!$B$2:$G$33,2,FALSE))</f>
        <v>3.0549898167006109E-2</v>
      </c>
      <c r="K275" t="s">
        <v>1329</v>
      </c>
      <c r="L275" t="s">
        <v>300</v>
      </c>
    </row>
    <row r="276" spans="1:12" x14ac:dyDescent="0.25">
      <c r="A276" t="s">
        <v>1832</v>
      </c>
      <c r="B276" t="s">
        <v>52</v>
      </c>
      <c r="C276" t="s">
        <v>163</v>
      </c>
      <c r="D276" s="4" t="s">
        <v>202</v>
      </c>
      <c r="E276" s="4" t="s">
        <v>198</v>
      </c>
      <c r="F276" s="4" t="s">
        <v>2058</v>
      </c>
      <c r="G276" t="s">
        <v>2059</v>
      </c>
      <c r="H276" t="s">
        <v>229</v>
      </c>
      <c r="I276" s="3">
        <f t="shared" si="4"/>
        <v>0.33333333333333331</v>
      </c>
      <c r="J276" s="3">
        <f>D276/(VLOOKUP(B276,'2023 Team'!$B$2:$G$33,2,FALSE))</f>
        <v>2.9702970297029702E-2</v>
      </c>
      <c r="K276" t="s">
        <v>1297</v>
      </c>
      <c r="L276" t="s">
        <v>417</v>
      </c>
    </row>
    <row r="277" spans="1:12" x14ac:dyDescent="0.25">
      <c r="A277" t="s">
        <v>1850</v>
      </c>
      <c r="B277" t="s">
        <v>16</v>
      </c>
      <c r="C277" t="s">
        <v>153</v>
      </c>
      <c r="D277" s="4" t="s">
        <v>487</v>
      </c>
      <c r="E277" s="4" t="s">
        <v>198</v>
      </c>
      <c r="F277" s="4" t="s">
        <v>328</v>
      </c>
      <c r="G277" t="s">
        <v>1156</v>
      </c>
      <c r="H277" t="s">
        <v>417</v>
      </c>
      <c r="I277" s="3">
        <f t="shared" si="4"/>
        <v>0</v>
      </c>
      <c r="J277" s="3">
        <f>D277/(VLOOKUP(B277,'2023 Team'!$B$2:$G$33,2,FALSE))</f>
        <v>4.0955631399317405E-2</v>
      </c>
      <c r="K277" t="s">
        <v>1356</v>
      </c>
      <c r="L277" t="s">
        <v>417</v>
      </c>
    </row>
    <row r="278" spans="1:12" x14ac:dyDescent="0.25">
      <c r="A278" t="s">
        <v>558</v>
      </c>
      <c r="B278" t="s">
        <v>24</v>
      </c>
      <c r="C278" t="s">
        <v>163</v>
      </c>
      <c r="D278" s="4" t="s">
        <v>202</v>
      </c>
      <c r="E278" s="4" t="s">
        <v>198</v>
      </c>
      <c r="F278" s="4" t="s">
        <v>578</v>
      </c>
      <c r="G278" t="s">
        <v>1190</v>
      </c>
      <c r="H278" t="s">
        <v>314</v>
      </c>
      <c r="I278" s="3">
        <f t="shared" si="4"/>
        <v>0.25</v>
      </c>
      <c r="J278" s="3">
        <f>D278/(VLOOKUP(B278,'2023 Team'!$B$2:$G$33,2,FALSE))</f>
        <v>2.9315960912052116E-2</v>
      </c>
      <c r="K278" t="s">
        <v>1297</v>
      </c>
      <c r="L278" t="s">
        <v>300</v>
      </c>
    </row>
    <row r="279" spans="1:12" x14ac:dyDescent="0.25">
      <c r="A279" t="s">
        <v>176</v>
      </c>
      <c r="B279" t="s">
        <v>44</v>
      </c>
      <c r="C279" t="s">
        <v>159</v>
      </c>
      <c r="D279" s="4" t="s">
        <v>417</v>
      </c>
      <c r="E279" s="4" t="s">
        <v>417</v>
      </c>
      <c r="F279" s="4" t="s">
        <v>417</v>
      </c>
      <c r="H279" t="s">
        <v>417</v>
      </c>
      <c r="I279" s="3" t="e">
        <f t="shared" si="4"/>
        <v>#DIV/0!</v>
      </c>
      <c r="J279" s="3">
        <f>D279/(VLOOKUP(B279,'2023 Team'!$B$2:$G$33,2,FALSE))</f>
        <v>0</v>
      </c>
      <c r="L279" t="s">
        <v>417</v>
      </c>
    </row>
    <row r="280" spans="1:12" x14ac:dyDescent="0.25">
      <c r="A280" t="s">
        <v>176</v>
      </c>
      <c r="B280" t="s">
        <v>48</v>
      </c>
      <c r="C280" t="s">
        <v>159</v>
      </c>
      <c r="D280" s="4" t="s">
        <v>198</v>
      </c>
      <c r="E280" s="4" t="s">
        <v>266</v>
      </c>
      <c r="F280" s="4" t="s">
        <v>383</v>
      </c>
      <c r="G280" t="s">
        <v>1687</v>
      </c>
      <c r="H280" t="s">
        <v>417</v>
      </c>
      <c r="I280" s="3">
        <f t="shared" si="4"/>
        <v>0</v>
      </c>
      <c r="J280" s="3">
        <f>D280/(VLOOKUP(B280,'2023 Team'!$B$2:$G$33,2,FALSE))</f>
        <v>1.9017432646592711E-2</v>
      </c>
      <c r="K280" t="s">
        <v>2060</v>
      </c>
      <c r="L280" t="s">
        <v>417</v>
      </c>
    </row>
    <row r="281" spans="1:12" x14ac:dyDescent="0.25">
      <c r="A281" t="s">
        <v>741</v>
      </c>
      <c r="B281" t="s">
        <v>32</v>
      </c>
      <c r="C281" t="s">
        <v>613</v>
      </c>
      <c r="D281" s="4" t="s">
        <v>234</v>
      </c>
      <c r="E281" s="4" t="s">
        <v>266</v>
      </c>
      <c r="F281" s="4" t="s">
        <v>433</v>
      </c>
      <c r="G281" t="s">
        <v>258</v>
      </c>
      <c r="H281" t="s">
        <v>289</v>
      </c>
      <c r="I281" s="3">
        <f t="shared" si="4"/>
        <v>0.18181818181818182</v>
      </c>
      <c r="J281" s="3">
        <f>D281/(VLOOKUP(B281,'2023 Team'!$B$2:$G$33,2,FALSE))</f>
        <v>2.1959459459459461E-2</v>
      </c>
      <c r="K281" t="s">
        <v>1419</v>
      </c>
      <c r="L281" t="s">
        <v>300</v>
      </c>
    </row>
    <row r="282" spans="1:12" x14ac:dyDescent="0.25">
      <c r="A282" t="s">
        <v>1718</v>
      </c>
      <c r="B282" t="s">
        <v>52</v>
      </c>
      <c r="C282" t="s">
        <v>163</v>
      </c>
      <c r="D282" s="4" t="s">
        <v>193</v>
      </c>
      <c r="E282" s="4" t="s">
        <v>266</v>
      </c>
      <c r="F282" s="4" t="s">
        <v>381</v>
      </c>
      <c r="G282" t="s">
        <v>726</v>
      </c>
      <c r="H282" t="s">
        <v>417</v>
      </c>
      <c r="I282" s="3">
        <f t="shared" si="4"/>
        <v>0</v>
      </c>
      <c r="J282" s="3">
        <f>D282/(VLOOKUP(B282,'2023 Team'!$B$2:$G$33,2,FALSE))</f>
        <v>2.6402640264026403E-2</v>
      </c>
      <c r="K282" t="s">
        <v>1371</v>
      </c>
      <c r="L282" t="s">
        <v>300</v>
      </c>
    </row>
    <row r="283" spans="1:12" x14ac:dyDescent="0.25">
      <c r="A283" t="s">
        <v>1651</v>
      </c>
      <c r="B283" t="s">
        <v>18</v>
      </c>
      <c r="C283" t="s">
        <v>159</v>
      </c>
      <c r="D283" s="4" t="s">
        <v>193</v>
      </c>
      <c r="E283" s="4" t="s">
        <v>266</v>
      </c>
      <c r="F283" s="4" t="s">
        <v>402</v>
      </c>
      <c r="G283" t="s">
        <v>648</v>
      </c>
      <c r="H283" t="s">
        <v>300</v>
      </c>
      <c r="I283" s="3">
        <f t="shared" si="4"/>
        <v>9.0909090909090912E-2</v>
      </c>
      <c r="J283" s="3">
        <f>D283/(VLOOKUP(B283,'2023 Team'!$B$2:$G$33,2,FALSE))</f>
        <v>3.1189083820662766E-2</v>
      </c>
      <c r="K283" t="s">
        <v>1371</v>
      </c>
      <c r="L283" t="s">
        <v>300</v>
      </c>
    </row>
    <row r="284" spans="1:12" x14ac:dyDescent="0.25">
      <c r="A284" t="s">
        <v>1814</v>
      </c>
      <c r="B284" t="s">
        <v>58</v>
      </c>
      <c r="C284" t="s">
        <v>163</v>
      </c>
      <c r="D284" s="4" t="s">
        <v>541</v>
      </c>
      <c r="E284" s="4" t="s">
        <v>266</v>
      </c>
      <c r="F284" s="4" t="s">
        <v>1138</v>
      </c>
      <c r="G284" t="s">
        <v>608</v>
      </c>
      <c r="H284" t="s">
        <v>314</v>
      </c>
      <c r="I284" s="3">
        <f t="shared" si="4"/>
        <v>0.27272727272727271</v>
      </c>
      <c r="J284" s="3">
        <f>D284/(VLOOKUP(B284,'2023 Team'!$B$2:$G$33,2,FALSE))</f>
        <v>3.3747779751332148E-2</v>
      </c>
      <c r="K284" t="s">
        <v>2043</v>
      </c>
      <c r="L284" t="s">
        <v>417</v>
      </c>
    </row>
    <row r="285" spans="1:12" x14ac:dyDescent="0.25">
      <c r="A285" t="s">
        <v>900</v>
      </c>
      <c r="B285" t="s">
        <v>36</v>
      </c>
      <c r="C285" t="s">
        <v>163</v>
      </c>
      <c r="D285" s="4" t="s">
        <v>202</v>
      </c>
      <c r="E285" s="4" t="s">
        <v>266</v>
      </c>
      <c r="F285" s="4" t="s">
        <v>381</v>
      </c>
      <c r="G285" t="s">
        <v>726</v>
      </c>
      <c r="H285" t="s">
        <v>417</v>
      </c>
      <c r="I285" s="3">
        <f t="shared" si="4"/>
        <v>0</v>
      </c>
      <c r="J285" s="3">
        <f>D285/(VLOOKUP(B285,'2023 Team'!$B$2:$G$33,2,FALSE))</f>
        <v>2.903225806451613E-2</v>
      </c>
      <c r="K285" t="s">
        <v>1188</v>
      </c>
      <c r="L285" t="s">
        <v>417</v>
      </c>
    </row>
    <row r="286" spans="1:12" x14ac:dyDescent="0.25">
      <c r="A286" t="s">
        <v>1731</v>
      </c>
      <c r="B286" t="s">
        <v>34</v>
      </c>
      <c r="C286" t="s">
        <v>163</v>
      </c>
      <c r="D286" s="4" t="s">
        <v>344</v>
      </c>
      <c r="E286" s="4" t="s">
        <v>266</v>
      </c>
      <c r="F286" s="4" t="s">
        <v>390</v>
      </c>
      <c r="G286" t="s">
        <v>726</v>
      </c>
      <c r="H286" t="s">
        <v>417</v>
      </c>
      <c r="I286" s="3">
        <f t="shared" si="4"/>
        <v>0</v>
      </c>
      <c r="J286" s="3">
        <f>D286/(VLOOKUP(B286,'2023 Team'!$B$2:$G$33,2,FALSE))</f>
        <v>2.4390243902439025E-2</v>
      </c>
      <c r="K286" t="s">
        <v>1520</v>
      </c>
      <c r="L286" t="s">
        <v>314</v>
      </c>
    </row>
    <row r="287" spans="1:12" x14ac:dyDescent="0.25">
      <c r="A287" t="s">
        <v>1001</v>
      </c>
      <c r="B287" t="s">
        <v>10</v>
      </c>
      <c r="C287" t="s">
        <v>163</v>
      </c>
      <c r="D287" s="4" t="s">
        <v>193</v>
      </c>
      <c r="E287" s="4" t="s">
        <v>266</v>
      </c>
      <c r="F287" s="4" t="s">
        <v>1471</v>
      </c>
      <c r="G287" t="s">
        <v>1187</v>
      </c>
      <c r="H287" t="s">
        <v>289</v>
      </c>
      <c r="I287" s="3">
        <f t="shared" si="4"/>
        <v>0.18181818181818182</v>
      </c>
      <c r="J287" s="3">
        <f>D287/(VLOOKUP(B287,'2023 Team'!$B$2:$G$33,2,FALSE))</f>
        <v>3.0188679245283019E-2</v>
      </c>
      <c r="K287" t="s">
        <v>1371</v>
      </c>
      <c r="L287" t="s">
        <v>417</v>
      </c>
    </row>
    <row r="288" spans="1:12" x14ac:dyDescent="0.25">
      <c r="A288" t="s">
        <v>797</v>
      </c>
      <c r="B288" t="s">
        <v>14</v>
      </c>
      <c r="C288" t="s">
        <v>163</v>
      </c>
      <c r="D288" s="4" t="s">
        <v>514</v>
      </c>
      <c r="E288" s="4" t="s">
        <v>266</v>
      </c>
      <c r="F288" s="4" t="s">
        <v>371</v>
      </c>
      <c r="G288" t="s">
        <v>611</v>
      </c>
      <c r="H288" t="s">
        <v>300</v>
      </c>
      <c r="I288" s="3">
        <f t="shared" si="4"/>
        <v>9.0909090909090912E-2</v>
      </c>
      <c r="J288" s="3">
        <f>D288/(VLOOKUP(B288,'2023 Team'!$B$2:$G$33,2,FALSE))</f>
        <v>3.7996545768566495E-2</v>
      </c>
      <c r="K288" t="s">
        <v>1356</v>
      </c>
      <c r="L288" t="s">
        <v>417</v>
      </c>
    </row>
    <row r="289" spans="1:12" x14ac:dyDescent="0.25">
      <c r="A289" t="s">
        <v>984</v>
      </c>
      <c r="B289" t="s">
        <v>42</v>
      </c>
      <c r="C289" t="s">
        <v>153</v>
      </c>
      <c r="D289" s="4" t="s">
        <v>528</v>
      </c>
      <c r="E289" s="4" t="s">
        <v>266</v>
      </c>
      <c r="F289" s="4" t="s">
        <v>312</v>
      </c>
      <c r="G289" t="s">
        <v>1071</v>
      </c>
      <c r="H289" t="s">
        <v>300</v>
      </c>
      <c r="I289" s="3">
        <f t="shared" si="4"/>
        <v>9.0909090909090912E-2</v>
      </c>
      <c r="J289" s="3">
        <f>D289/(VLOOKUP(B289,'2023 Team'!$B$2:$G$33,2,FALSE))</f>
        <v>3.3227848101265819E-2</v>
      </c>
      <c r="K289" t="s">
        <v>1474</v>
      </c>
      <c r="L289" t="s">
        <v>417</v>
      </c>
    </row>
    <row r="290" spans="1:12" x14ac:dyDescent="0.25">
      <c r="A290" t="s">
        <v>1683</v>
      </c>
      <c r="B290" t="s">
        <v>30</v>
      </c>
      <c r="C290" t="s">
        <v>159</v>
      </c>
      <c r="D290" s="4" t="s">
        <v>535</v>
      </c>
      <c r="E290" s="4" t="s">
        <v>266</v>
      </c>
      <c r="F290" s="4" t="s">
        <v>554</v>
      </c>
      <c r="G290" t="s">
        <v>255</v>
      </c>
      <c r="H290" t="s">
        <v>417</v>
      </c>
      <c r="I290" s="3">
        <f t="shared" si="4"/>
        <v>0</v>
      </c>
      <c r="J290" s="3">
        <f>D290/(VLOOKUP(B290,'2023 Team'!$B$2:$G$33,2,FALSE))</f>
        <v>2.9259896729776247E-2</v>
      </c>
      <c r="K290" t="s">
        <v>1176</v>
      </c>
      <c r="L290" t="s">
        <v>417</v>
      </c>
    </row>
    <row r="291" spans="1:12" x14ac:dyDescent="0.25">
      <c r="A291" t="s">
        <v>914</v>
      </c>
      <c r="B291" t="s">
        <v>18</v>
      </c>
      <c r="C291" t="s">
        <v>153</v>
      </c>
      <c r="D291" s="4" t="s">
        <v>535</v>
      </c>
      <c r="E291" s="4" t="s">
        <v>266</v>
      </c>
      <c r="F291" s="4" t="s">
        <v>337</v>
      </c>
      <c r="G291" t="s">
        <v>1148</v>
      </c>
      <c r="H291" t="s">
        <v>417</v>
      </c>
      <c r="I291" s="3">
        <f t="shared" si="4"/>
        <v>0</v>
      </c>
      <c r="J291" s="3">
        <f>D291/(VLOOKUP(B291,'2023 Team'!$B$2:$G$33,2,FALSE))</f>
        <v>3.3138401559454189E-2</v>
      </c>
      <c r="K291" t="s">
        <v>1176</v>
      </c>
      <c r="L291" t="s">
        <v>417</v>
      </c>
    </row>
    <row r="292" spans="1:12" x14ac:dyDescent="0.25">
      <c r="A292" t="s">
        <v>1856</v>
      </c>
      <c r="B292" t="s">
        <v>70</v>
      </c>
      <c r="C292" t="s">
        <v>153</v>
      </c>
      <c r="D292" s="4" t="s">
        <v>557</v>
      </c>
      <c r="E292" s="4" t="s">
        <v>266</v>
      </c>
      <c r="F292" s="4" t="s">
        <v>1121</v>
      </c>
      <c r="G292" t="s">
        <v>1184</v>
      </c>
      <c r="H292" t="s">
        <v>417</v>
      </c>
      <c r="I292" s="3">
        <f t="shared" si="4"/>
        <v>0</v>
      </c>
      <c r="J292" s="3">
        <f>D292/(VLOOKUP(B292,'2023 Team'!$B$2:$G$33,2,FALSE))</f>
        <v>2.358490566037736E-2</v>
      </c>
      <c r="K292" t="s">
        <v>1396</v>
      </c>
      <c r="L292" t="s">
        <v>417</v>
      </c>
    </row>
    <row r="293" spans="1:12" x14ac:dyDescent="0.25">
      <c r="A293" t="s">
        <v>925</v>
      </c>
      <c r="B293" t="s">
        <v>44</v>
      </c>
      <c r="C293" t="s">
        <v>153</v>
      </c>
      <c r="D293" s="4" t="s">
        <v>266</v>
      </c>
      <c r="E293" s="4" t="s">
        <v>211</v>
      </c>
      <c r="F293" s="4" t="s">
        <v>468</v>
      </c>
      <c r="G293" t="s">
        <v>723</v>
      </c>
      <c r="H293" t="s">
        <v>300</v>
      </c>
      <c r="I293" s="3">
        <f t="shared" si="4"/>
        <v>0.1</v>
      </c>
      <c r="J293" s="3">
        <f>D293/(VLOOKUP(B293,'2023 Team'!$B$2:$G$33,2,FALSE))</f>
        <v>1.8867924528301886E-2</v>
      </c>
      <c r="K293" t="s">
        <v>1530</v>
      </c>
      <c r="L293" t="s">
        <v>417</v>
      </c>
    </row>
    <row r="294" spans="1:12" x14ac:dyDescent="0.25">
      <c r="A294" t="s">
        <v>1801</v>
      </c>
      <c r="B294" t="s">
        <v>42</v>
      </c>
      <c r="C294" t="s">
        <v>163</v>
      </c>
      <c r="D294" s="4" t="s">
        <v>528</v>
      </c>
      <c r="E294" s="4" t="s">
        <v>211</v>
      </c>
      <c r="F294" s="4" t="s">
        <v>559</v>
      </c>
      <c r="G294" t="s">
        <v>1370</v>
      </c>
      <c r="H294" t="s">
        <v>300</v>
      </c>
      <c r="I294" s="3">
        <f t="shared" si="4"/>
        <v>0.1</v>
      </c>
      <c r="J294" s="3">
        <f>D294/(VLOOKUP(B294,'2023 Team'!$B$2:$G$33,2,FALSE))</f>
        <v>3.3227848101265819E-2</v>
      </c>
      <c r="K294" t="s">
        <v>1477</v>
      </c>
      <c r="L294" t="s">
        <v>417</v>
      </c>
    </row>
    <row r="295" spans="1:12" x14ac:dyDescent="0.25">
      <c r="A295" t="s">
        <v>1676</v>
      </c>
      <c r="B295" t="s">
        <v>44</v>
      </c>
      <c r="C295" t="s">
        <v>159</v>
      </c>
      <c r="D295" s="4" t="s">
        <v>344</v>
      </c>
      <c r="E295" s="4" t="s">
        <v>211</v>
      </c>
      <c r="F295" s="4" t="s">
        <v>363</v>
      </c>
      <c r="G295" t="s">
        <v>1533</v>
      </c>
      <c r="H295" t="s">
        <v>417</v>
      </c>
      <c r="I295" s="3">
        <f t="shared" si="4"/>
        <v>0</v>
      </c>
      <c r="J295" s="3">
        <f>D295/(VLOOKUP(B295,'2023 Team'!$B$2:$G$33,2,FALSE))</f>
        <v>2.4013722126929673E-2</v>
      </c>
      <c r="K295" t="s">
        <v>1363</v>
      </c>
      <c r="L295" t="s">
        <v>417</v>
      </c>
    </row>
    <row r="296" spans="1:12" x14ac:dyDescent="0.25">
      <c r="A296" t="s">
        <v>1809</v>
      </c>
      <c r="B296" t="s">
        <v>38</v>
      </c>
      <c r="C296" t="s">
        <v>163</v>
      </c>
      <c r="D296" s="4" t="s">
        <v>344</v>
      </c>
      <c r="E296" s="4" t="s">
        <v>211</v>
      </c>
      <c r="F296" s="4" t="s">
        <v>360</v>
      </c>
      <c r="G296" t="s">
        <v>1372</v>
      </c>
      <c r="H296" t="s">
        <v>417</v>
      </c>
      <c r="I296" s="3">
        <f t="shared" si="4"/>
        <v>0</v>
      </c>
      <c r="J296" s="3">
        <f>D296/(VLOOKUP(B296,'2023 Team'!$B$2:$G$33,2,FALSE))</f>
        <v>2.2047244094488189E-2</v>
      </c>
      <c r="K296" t="s">
        <v>1363</v>
      </c>
      <c r="L296" t="s">
        <v>289</v>
      </c>
    </row>
    <row r="297" spans="1:12" x14ac:dyDescent="0.25">
      <c r="A297" t="s">
        <v>563</v>
      </c>
      <c r="B297" t="s">
        <v>36</v>
      </c>
      <c r="C297" t="s">
        <v>159</v>
      </c>
      <c r="D297" s="4" t="s">
        <v>198</v>
      </c>
      <c r="E297" s="4" t="s">
        <v>211</v>
      </c>
      <c r="F297" s="4" t="s">
        <v>1077</v>
      </c>
      <c r="G297" t="s">
        <v>696</v>
      </c>
      <c r="H297" t="s">
        <v>417</v>
      </c>
      <c r="I297" s="3">
        <f t="shared" si="4"/>
        <v>0</v>
      </c>
      <c r="J297" s="3">
        <f>D297/(VLOOKUP(B297,'2023 Team'!$B$2:$G$33,2,FALSE))</f>
        <v>1.935483870967742E-2</v>
      </c>
      <c r="K297" t="s">
        <v>1133</v>
      </c>
      <c r="L297" t="s">
        <v>417</v>
      </c>
    </row>
    <row r="298" spans="1:12" x14ac:dyDescent="0.25">
      <c r="A298" t="s">
        <v>456</v>
      </c>
      <c r="B298" t="s">
        <v>52</v>
      </c>
      <c r="C298" t="s">
        <v>159</v>
      </c>
      <c r="D298" s="4" t="s">
        <v>266</v>
      </c>
      <c r="E298" s="4" t="s">
        <v>211</v>
      </c>
      <c r="F298" s="4" t="s">
        <v>546</v>
      </c>
      <c r="G298" t="s">
        <v>1210</v>
      </c>
      <c r="H298" t="s">
        <v>417</v>
      </c>
      <c r="I298" s="3">
        <f t="shared" si="4"/>
        <v>0</v>
      </c>
      <c r="J298" s="3">
        <f>D298/(VLOOKUP(B298,'2023 Team'!$B$2:$G$33,2,FALSE))</f>
        <v>1.8151815181518153E-2</v>
      </c>
      <c r="K298" t="s">
        <v>1530</v>
      </c>
      <c r="L298" t="s">
        <v>417</v>
      </c>
    </row>
    <row r="299" spans="1:12" x14ac:dyDescent="0.25">
      <c r="A299" t="s">
        <v>1705</v>
      </c>
      <c r="B299" t="s">
        <v>16</v>
      </c>
      <c r="C299" t="s">
        <v>163</v>
      </c>
      <c r="D299" s="4" t="s">
        <v>211</v>
      </c>
      <c r="E299" s="4" t="s">
        <v>211</v>
      </c>
      <c r="F299" s="4" t="s">
        <v>477</v>
      </c>
      <c r="G299" t="s">
        <v>389</v>
      </c>
      <c r="H299" t="s">
        <v>417</v>
      </c>
      <c r="I299" s="3">
        <f t="shared" si="4"/>
        <v>0</v>
      </c>
      <c r="J299" s="3">
        <f>D299/(VLOOKUP(B299,'2023 Team'!$B$2:$G$33,2,FALSE))</f>
        <v>1.7064846416382253E-2</v>
      </c>
      <c r="K299" t="s">
        <v>1519</v>
      </c>
      <c r="L299" t="s">
        <v>300</v>
      </c>
    </row>
    <row r="300" spans="1:12" x14ac:dyDescent="0.25">
      <c r="A300" t="s">
        <v>665</v>
      </c>
      <c r="B300" t="s">
        <v>54</v>
      </c>
      <c r="C300" t="s">
        <v>163</v>
      </c>
      <c r="D300" s="4" t="s">
        <v>514</v>
      </c>
      <c r="E300" s="4" t="s">
        <v>211</v>
      </c>
      <c r="F300" s="4" t="s">
        <v>436</v>
      </c>
      <c r="G300" t="s">
        <v>226</v>
      </c>
      <c r="H300" t="s">
        <v>300</v>
      </c>
      <c r="I300" s="3">
        <f t="shared" si="4"/>
        <v>0.1</v>
      </c>
      <c r="J300" s="3">
        <f>D300/(VLOOKUP(B300,'2023 Team'!$B$2:$G$33,2,FALSE))</f>
        <v>4.2471042471042469E-2</v>
      </c>
      <c r="K300" t="s">
        <v>1467</v>
      </c>
      <c r="L300" t="s">
        <v>300</v>
      </c>
    </row>
    <row r="301" spans="1:12" x14ac:dyDescent="0.25">
      <c r="A301" t="s">
        <v>1851</v>
      </c>
      <c r="B301" t="s">
        <v>8</v>
      </c>
      <c r="C301" t="s">
        <v>153</v>
      </c>
      <c r="D301" s="4" t="s">
        <v>266</v>
      </c>
      <c r="E301" s="4" t="s">
        <v>211</v>
      </c>
      <c r="F301" s="4" t="s">
        <v>526</v>
      </c>
      <c r="G301" t="s">
        <v>1323</v>
      </c>
      <c r="H301" t="s">
        <v>417</v>
      </c>
      <c r="I301" s="3">
        <f t="shared" si="4"/>
        <v>0</v>
      </c>
      <c r="J301" s="3">
        <f>D301/(VLOOKUP(B301,'2023 Team'!$B$2:$G$33,2,FALSE))</f>
        <v>1.9819819819819819E-2</v>
      </c>
      <c r="K301" t="s">
        <v>1530</v>
      </c>
      <c r="L301" t="s">
        <v>417</v>
      </c>
    </row>
    <row r="302" spans="1:12" x14ac:dyDescent="0.25">
      <c r="A302" t="s">
        <v>667</v>
      </c>
      <c r="B302" t="s">
        <v>58</v>
      </c>
      <c r="C302" t="s">
        <v>163</v>
      </c>
      <c r="D302" s="4" t="s">
        <v>524</v>
      </c>
      <c r="E302" s="4" t="s">
        <v>211</v>
      </c>
      <c r="F302" s="4" t="s">
        <v>453</v>
      </c>
      <c r="G302" t="s">
        <v>1498</v>
      </c>
      <c r="H302" t="s">
        <v>289</v>
      </c>
      <c r="I302" s="3">
        <f t="shared" si="4"/>
        <v>0.2</v>
      </c>
      <c r="J302" s="3">
        <f>D302/(VLOOKUP(B302,'2023 Team'!$B$2:$G$33,2,FALSE))</f>
        <v>3.5523978685612786E-2</v>
      </c>
      <c r="K302" t="s">
        <v>1356</v>
      </c>
      <c r="L302" t="s">
        <v>417</v>
      </c>
    </row>
    <row r="303" spans="1:12" x14ac:dyDescent="0.25">
      <c r="A303" t="s">
        <v>1788</v>
      </c>
      <c r="B303" t="s">
        <v>46</v>
      </c>
      <c r="C303" t="s">
        <v>163</v>
      </c>
      <c r="D303" s="4" t="s">
        <v>198</v>
      </c>
      <c r="E303" s="4" t="s">
        <v>270</v>
      </c>
      <c r="F303" s="4" t="s">
        <v>1088</v>
      </c>
      <c r="G303" t="s">
        <v>1913</v>
      </c>
      <c r="H303" t="s">
        <v>300</v>
      </c>
      <c r="I303" s="3">
        <f t="shared" si="4"/>
        <v>0.1111111111111111</v>
      </c>
      <c r="J303" s="3">
        <f>D303/(VLOOKUP(B303,'2023 Team'!$B$2:$G$33,2,FALSE))</f>
        <v>2.1201413427561839E-2</v>
      </c>
      <c r="K303" t="s">
        <v>1321</v>
      </c>
      <c r="L303" t="s">
        <v>417</v>
      </c>
    </row>
    <row r="304" spans="1:12" x14ac:dyDescent="0.25">
      <c r="A304" t="s">
        <v>397</v>
      </c>
      <c r="B304" t="s">
        <v>12</v>
      </c>
      <c r="C304" t="s">
        <v>159</v>
      </c>
      <c r="D304" s="4" t="s">
        <v>266</v>
      </c>
      <c r="E304" s="4" t="s">
        <v>270</v>
      </c>
      <c r="F304" s="4" t="s">
        <v>523</v>
      </c>
      <c r="G304" t="s">
        <v>1533</v>
      </c>
      <c r="H304" t="s">
        <v>417</v>
      </c>
      <c r="I304" s="3">
        <f t="shared" si="4"/>
        <v>0</v>
      </c>
      <c r="J304" s="3">
        <f>D304/(VLOOKUP(B304,'2023 Team'!$B$2:$G$33,2,FALSE))</f>
        <v>2.2267206477732792E-2</v>
      </c>
      <c r="K304" t="s">
        <v>1358</v>
      </c>
      <c r="L304" t="s">
        <v>417</v>
      </c>
    </row>
    <row r="305" spans="1:12" x14ac:dyDescent="0.25">
      <c r="A305" t="s">
        <v>895</v>
      </c>
      <c r="B305" t="s">
        <v>34</v>
      </c>
      <c r="C305" t="s">
        <v>153</v>
      </c>
      <c r="D305" s="4" t="s">
        <v>528</v>
      </c>
      <c r="E305" s="4" t="s">
        <v>270</v>
      </c>
      <c r="F305" s="4" t="s">
        <v>486</v>
      </c>
      <c r="G305" t="s">
        <v>1469</v>
      </c>
      <c r="H305" t="s">
        <v>289</v>
      </c>
      <c r="I305" s="3">
        <f t="shared" si="4"/>
        <v>0.22222222222222221</v>
      </c>
      <c r="J305" s="3">
        <f>D305/(VLOOKUP(B305,'2023 Team'!$B$2:$G$33,2,FALSE))</f>
        <v>3.6585365853658534E-2</v>
      </c>
      <c r="K305" t="s">
        <v>1517</v>
      </c>
      <c r="L305" t="s">
        <v>417</v>
      </c>
    </row>
    <row r="306" spans="1:12" x14ac:dyDescent="0.25">
      <c r="A306" t="s">
        <v>1674</v>
      </c>
      <c r="B306" t="s">
        <v>10</v>
      </c>
      <c r="C306" t="s">
        <v>159</v>
      </c>
      <c r="D306" s="4" t="s">
        <v>198</v>
      </c>
      <c r="E306" s="4" t="s">
        <v>270</v>
      </c>
      <c r="F306" s="4" t="s">
        <v>480</v>
      </c>
      <c r="G306" t="s">
        <v>293</v>
      </c>
      <c r="H306" t="s">
        <v>300</v>
      </c>
      <c r="I306" s="3">
        <f t="shared" si="4"/>
        <v>0.1111111111111111</v>
      </c>
      <c r="J306" s="3">
        <f>D306/(VLOOKUP(B306,'2023 Team'!$B$2:$G$33,2,FALSE))</f>
        <v>2.2641509433962263E-2</v>
      </c>
      <c r="K306" t="s">
        <v>1321</v>
      </c>
      <c r="L306" t="s">
        <v>300</v>
      </c>
    </row>
    <row r="307" spans="1:12" x14ac:dyDescent="0.25">
      <c r="A307" t="s">
        <v>1835</v>
      </c>
      <c r="B307" t="s">
        <v>10</v>
      </c>
      <c r="C307" t="s">
        <v>153</v>
      </c>
      <c r="D307" s="4" t="s">
        <v>198</v>
      </c>
      <c r="E307" s="4" t="s">
        <v>270</v>
      </c>
      <c r="F307" s="4" t="s">
        <v>538</v>
      </c>
      <c r="G307" t="s">
        <v>1169</v>
      </c>
      <c r="H307" t="s">
        <v>300</v>
      </c>
      <c r="I307" s="3">
        <f t="shared" si="4"/>
        <v>0.1111111111111111</v>
      </c>
      <c r="J307" s="3">
        <f>D307/(VLOOKUP(B307,'2023 Team'!$B$2:$G$33,2,FALSE))</f>
        <v>2.2641509433962263E-2</v>
      </c>
      <c r="K307" t="s">
        <v>1321</v>
      </c>
      <c r="L307" t="s">
        <v>300</v>
      </c>
    </row>
    <row r="308" spans="1:12" x14ac:dyDescent="0.25">
      <c r="A308" t="s">
        <v>884</v>
      </c>
      <c r="B308" t="s">
        <v>68</v>
      </c>
      <c r="C308" t="s">
        <v>153</v>
      </c>
      <c r="D308" s="4" t="s">
        <v>557</v>
      </c>
      <c r="E308" s="4" t="s">
        <v>270</v>
      </c>
      <c r="F308" s="4" t="s">
        <v>526</v>
      </c>
      <c r="G308" t="s">
        <v>1156</v>
      </c>
      <c r="H308" t="s">
        <v>300</v>
      </c>
      <c r="I308" s="3">
        <f t="shared" si="4"/>
        <v>0.1111111111111111</v>
      </c>
      <c r="J308" s="3">
        <f>D308/(VLOOKUP(B308,'2023 Team'!$B$2:$G$33,2,FALSE))</f>
        <v>3.0364372469635626E-2</v>
      </c>
      <c r="K308" t="s">
        <v>1290</v>
      </c>
      <c r="L308" t="s">
        <v>417</v>
      </c>
    </row>
    <row r="309" spans="1:12" x14ac:dyDescent="0.25">
      <c r="A309" t="s">
        <v>1863</v>
      </c>
      <c r="B309" t="s">
        <v>20</v>
      </c>
      <c r="C309" t="s">
        <v>153</v>
      </c>
      <c r="D309" s="4" t="s">
        <v>198</v>
      </c>
      <c r="E309" s="4" t="s">
        <v>270</v>
      </c>
      <c r="F309" s="4" t="s">
        <v>1244</v>
      </c>
      <c r="G309" t="s">
        <v>574</v>
      </c>
      <c r="H309" t="s">
        <v>417</v>
      </c>
      <c r="I309" s="3">
        <f t="shared" si="4"/>
        <v>0</v>
      </c>
      <c r="J309" s="3">
        <f>D309/(VLOOKUP(B309,'2023 Team'!$B$2:$G$33,2,FALSE))</f>
        <v>1.9512195121951219E-2</v>
      </c>
      <c r="K309" t="s">
        <v>1321</v>
      </c>
      <c r="L309" t="s">
        <v>417</v>
      </c>
    </row>
    <row r="310" spans="1:12" x14ac:dyDescent="0.25">
      <c r="A310" t="s">
        <v>791</v>
      </c>
      <c r="B310" t="s">
        <v>30</v>
      </c>
      <c r="C310" t="s">
        <v>153</v>
      </c>
      <c r="D310" s="4" t="s">
        <v>225</v>
      </c>
      <c r="E310" s="4" t="s">
        <v>225</v>
      </c>
      <c r="F310" s="4" t="s">
        <v>422</v>
      </c>
      <c r="G310" t="s">
        <v>1328</v>
      </c>
      <c r="H310" t="s">
        <v>417</v>
      </c>
      <c r="I310" s="3">
        <f t="shared" si="4"/>
        <v>0</v>
      </c>
      <c r="J310" s="3">
        <f>D310/(VLOOKUP(B310,'2023 Team'!$B$2:$G$33,2,FALSE))</f>
        <v>1.3769363166953529E-2</v>
      </c>
      <c r="K310" t="s">
        <v>1519</v>
      </c>
      <c r="L310" t="s">
        <v>417</v>
      </c>
    </row>
    <row r="311" spans="1:12" x14ac:dyDescent="0.25">
      <c r="A311" t="s">
        <v>690</v>
      </c>
      <c r="B311" t="s">
        <v>32</v>
      </c>
      <c r="C311" t="s">
        <v>163</v>
      </c>
      <c r="D311" s="4" t="s">
        <v>541</v>
      </c>
      <c r="E311" s="4" t="s">
        <v>225</v>
      </c>
      <c r="F311" s="4" t="s">
        <v>1209</v>
      </c>
      <c r="G311" t="s">
        <v>680</v>
      </c>
      <c r="H311" t="s">
        <v>417</v>
      </c>
      <c r="I311" s="3">
        <f t="shared" si="4"/>
        <v>0</v>
      </c>
      <c r="J311" s="3">
        <f>D311/(VLOOKUP(B311,'2023 Team'!$B$2:$G$33,2,FALSE))</f>
        <v>3.2094594594594593E-2</v>
      </c>
      <c r="K311" t="s">
        <v>2061</v>
      </c>
      <c r="L311" t="s">
        <v>417</v>
      </c>
    </row>
    <row r="312" spans="1:12" x14ac:dyDescent="0.25">
      <c r="A312" t="s">
        <v>1653</v>
      </c>
      <c r="B312" t="s">
        <v>42</v>
      </c>
      <c r="C312" t="s">
        <v>159</v>
      </c>
      <c r="D312" s="4" t="s">
        <v>198</v>
      </c>
      <c r="E312" s="4" t="s">
        <v>225</v>
      </c>
      <c r="F312" s="4" t="s">
        <v>475</v>
      </c>
      <c r="G312" t="s">
        <v>235</v>
      </c>
      <c r="H312" t="s">
        <v>417</v>
      </c>
      <c r="I312" s="3">
        <f t="shared" si="4"/>
        <v>0</v>
      </c>
      <c r="J312" s="3">
        <f>D312/(VLOOKUP(B312,'2023 Team'!$B$2:$G$33,2,FALSE))</f>
        <v>1.8987341772151899E-2</v>
      </c>
      <c r="K312" t="s">
        <v>1297</v>
      </c>
      <c r="L312" t="s">
        <v>300</v>
      </c>
    </row>
    <row r="313" spans="1:12" x14ac:dyDescent="0.25">
      <c r="A313" t="s">
        <v>868</v>
      </c>
      <c r="B313" t="s">
        <v>26</v>
      </c>
      <c r="C313" t="s">
        <v>153</v>
      </c>
      <c r="D313" s="4" t="s">
        <v>344</v>
      </c>
      <c r="E313" s="4" t="s">
        <v>225</v>
      </c>
      <c r="F313" s="4" t="s">
        <v>468</v>
      </c>
      <c r="G313" t="s">
        <v>1132</v>
      </c>
      <c r="H313" t="s">
        <v>300</v>
      </c>
      <c r="I313" s="3">
        <f t="shared" si="4"/>
        <v>0.125</v>
      </c>
      <c r="J313" s="3">
        <f>D313/(VLOOKUP(B313,'2023 Team'!$B$2:$G$33,2,FALSE))</f>
        <v>2.7290448343079921E-2</v>
      </c>
      <c r="K313" t="s">
        <v>1488</v>
      </c>
      <c r="L313" t="s">
        <v>417</v>
      </c>
    </row>
    <row r="314" spans="1:12" x14ac:dyDescent="0.25">
      <c r="A314" t="s">
        <v>860</v>
      </c>
      <c r="B314" t="s">
        <v>24</v>
      </c>
      <c r="C314" t="s">
        <v>153</v>
      </c>
      <c r="D314" s="4" t="s">
        <v>557</v>
      </c>
      <c r="E314" s="4" t="s">
        <v>225</v>
      </c>
      <c r="F314" s="4" t="s">
        <v>422</v>
      </c>
      <c r="G314" t="s">
        <v>1328</v>
      </c>
      <c r="H314" t="s">
        <v>289</v>
      </c>
      <c r="I314" s="3">
        <f t="shared" si="4"/>
        <v>0.25</v>
      </c>
      <c r="J314" s="3">
        <f>D314/(VLOOKUP(B314,'2023 Team'!$B$2:$G$33,2,FALSE))</f>
        <v>2.4429967426710098E-2</v>
      </c>
      <c r="K314" t="s">
        <v>1990</v>
      </c>
      <c r="L314" t="s">
        <v>417</v>
      </c>
    </row>
    <row r="315" spans="1:12" x14ac:dyDescent="0.25">
      <c r="A315" t="s">
        <v>1002</v>
      </c>
      <c r="B315" t="s">
        <v>44</v>
      </c>
      <c r="C315" t="s">
        <v>163</v>
      </c>
      <c r="D315" s="4" t="s">
        <v>198</v>
      </c>
      <c r="E315" s="4" t="s">
        <v>225</v>
      </c>
      <c r="F315" s="4" t="s">
        <v>1160</v>
      </c>
      <c r="G315" t="s">
        <v>1383</v>
      </c>
      <c r="H315" t="s">
        <v>300</v>
      </c>
      <c r="I315" s="3">
        <f t="shared" si="4"/>
        <v>0.125</v>
      </c>
      <c r="J315" s="3">
        <f>D315/(VLOOKUP(B315,'2023 Team'!$B$2:$G$33,2,FALSE))</f>
        <v>2.0583190394511151E-2</v>
      </c>
      <c r="K315" t="s">
        <v>1297</v>
      </c>
      <c r="L315" t="s">
        <v>417</v>
      </c>
    </row>
    <row r="316" spans="1:12" x14ac:dyDescent="0.25">
      <c r="A316" t="s">
        <v>1713</v>
      </c>
      <c r="B316" t="s">
        <v>16</v>
      </c>
      <c r="C316" t="s">
        <v>163</v>
      </c>
      <c r="D316" s="4" t="s">
        <v>211</v>
      </c>
      <c r="E316" s="4" t="s">
        <v>225</v>
      </c>
      <c r="F316" s="4" t="s">
        <v>582</v>
      </c>
      <c r="G316" t="s">
        <v>1687</v>
      </c>
      <c r="H316" t="s">
        <v>417</v>
      </c>
      <c r="I316" s="3">
        <f t="shared" si="4"/>
        <v>0</v>
      </c>
      <c r="J316" s="3">
        <f>D316/(VLOOKUP(B316,'2023 Team'!$B$2:$G$33,2,FALSE))</f>
        <v>1.7064846416382253E-2</v>
      </c>
      <c r="K316" t="s">
        <v>1329</v>
      </c>
      <c r="L316" t="s">
        <v>289</v>
      </c>
    </row>
    <row r="317" spans="1:12" x14ac:dyDescent="0.25">
      <c r="A317" t="s">
        <v>961</v>
      </c>
      <c r="B317" t="s">
        <v>30</v>
      </c>
      <c r="C317" t="s">
        <v>163</v>
      </c>
      <c r="D317" s="4" t="s">
        <v>202</v>
      </c>
      <c r="E317" s="4" t="s">
        <v>225</v>
      </c>
      <c r="F317" s="4" t="s">
        <v>552</v>
      </c>
      <c r="G317" t="s">
        <v>579</v>
      </c>
      <c r="H317" t="s">
        <v>417</v>
      </c>
      <c r="I317" s="3">
        <f t="shared" ref="I317:I376" si="5">H317/E317</f>
        <v>0</v>
      </c>
      <c r="J317" s="3">
        <f>D317/(VLOOKUP(B317,'2023 Team'!$B$2:$G$33,2,FALSE))</f>
        <v>3.098106712564544E-2</v>
      </c>
      <c r="K317" t="s">
        <v>1255</v>
      </c>
      <c r="L317" t="s">
        <v>300</v>
      </c>
    </row>
    <row r="318" spans="1:12" x14ac:dyDescent="0.25">
      <c r="A318" t="s">
        <v>1857</v>
      </c>
      <c r="B318" t="s">
        <v>56</v>
      </c>
      <c r="C318" t="s">
        <v>153</v>
      </c>
      <c r="D318" s="4" t="s">
        <v>198</v>
      </c>
      <c r="E318" s="4" t="s">
        <v>225</v>
      </c>
      <c r="F318" s="4" t="s">
        <v>413</v>
      </c>
      <c r="G318" t="s">
        <v>691</v>
      </c>
      <c r="H318" t="s">
        <v>300</v>
      </c>
      <c r="I318" s="3">
        <f t="shared" si="5"/>
        <v>0.125</v>
      </c>
      <c r="J318" s="3">
        <f>D318/(VLOOKUP(B318,'2023 Team'!$B$2:$G$33,2,FALSE))</f>
        <v>1.9966722129783693E-2</v>
      </c>
      <c r="K318" t="s">
        <v>1297</v>
      </c>
      <c r="L318" t="s">
        <v>417</v>
      </c>
    </row>
    <row r="319" spans="1:12" x14ac:dyDescent="0.25">
      <c r="A319" t="s">
        <v>1783</v>
      </c>
      <c r="B319" t="s">
        <v>18</v>
      </c>
      <c r="C319" t="s">
        <v>163</v>
      </c>
      <c r="D319" s="4" t="s">
        <v>344</v>
      </c>
      <c r="E319" s="4" t="s">
        <v>229</v>
      </c>
      <c r="F319" s="4" t="s">
        <v>582</v>
      </c>
      <c r="G319" t="s">
        <v>1178</v>
      </c>
      <c r="H319" t="s">
        <v>300</v>
      </c>
      <c r="I319" s="3">
        <f t="shared" si="5"/>
        <v>0.25</v>
      </c>
      <c r="J319" s="3">
        <f>D319/(VLOOKUP(B319,'2023 Team'!$B$2:$G$33,2,FALSE))</f>
        <v>2.7290448343079921E-2</v>
      </c>
      <c r="K319" t="s">
        <v>2062</v>
      </c>
      <c r="L319" t="s">
        <v>417</v>
      </c>
    </row>
    <row r="320" spans="1:12" x14ac:dyDescent="0.25">
      <c r="A320" t="s">
        <v>1783</v>
      </c>
      <c r="B320" t="s">
        <v>46</v>
      </c>
      <c r="C320" t="s">
        <v>163</v>
      </c>
      <c r="D320" s="4" t="s">
        <v>207</v>
      </c>
      <c r="E320" s="4" t="s">
        <v>229</v>
      </c>
      <c r="F320" s="4" t="s">
        <v>507</v>
      </c>
      <c r="G320" t="s">
        <v>539</v>
      </c>
      <c r="H320" t="s">
        <v>417</v>
      </c>
      <c r="I320" s="3">
        <f t="shared" si="5"/>
        <v>0</v>
      </c>
      <c r="J320" s="3">
        <f>D320/(VLOOKUP(B320,'2023 Team'!$B$2:$G$33,2,FALSE))</f>
        <v>1.2367491166077738E-2</v>
      </c>
      <c r="K320" t="s">
        <v>1488</v>
      </c>
      <c r="L320" t="s">
        <v>417</v>
      </c>
    </row>
    <row r="321" spans="1:12" x14ac:dyDescent="0.25">
      <c r="A321" t="s">
        <v>1694</v>
      </c>
      <c r="B321" t="s">
        <v>56</v>
      </c>
      <c r="C321" t="s">
        <v>159</v>
      </c>
      <c r="D321" s="4" t="s">
        <v>266</v>
      </c>
      <c r="E321" s="4" t="s">
        <v>207</v>
      </c>
      <c r="F321" s="4" t="s">
        <v>444</v>
      </c>
      <c r="G321" t="s">
        <v>568</v>
      </c>
      <c r="H321" t="s">
        <v>417</v>
      </c>
      <c r="I321" s="3">
        <f t="shared" si="5"/>
        <v>0</v>
      </c>
      <c r="J321" s="3">
        <f>D321/(VLOOKUP(B321,'2023 Team'!$B$2:$G$33,2,FALSE))</f>
        <v>1.8302828618968387E-2</v>
      </c>
      <c r="K321" t="s">
        <v>1295</v>
      </c>
      <c r="L321" t="s">
        <v>300</v>
      </c>
    </row>
    <row r="322" spans="1:12" x14ac:dyDescent="0.25">
      <c r="A322" t="s">
        <v>1717</v>
      </c>
      <c r="B322" t="s">
        <v>32</v>
      </c>
      <c r="C322" t="s">
        <v>755</v>
      </c>
      <c r="D322" s="4" t="s">
        <v>270</v>
      </c>
      <c r="E322" s="4" t="s">
        <v>207</v>
      </c>
      <c r="F322" s="4" t="s">
        <v>592</v>
      </c>
      <c r="G322" t="s">
        <v>226</v>
      </c>
      <c r="H322" t="s">
        <v>417</v>
      </c>
      <c r="I322" s="3">
        <f t="shared" si="5"/>
        <v>0</v>
      </c>
      <c r="J322" s="3">
        <f>D322/(VLOOKUP(B322,'2023 Team'!$B$2:$G$33,2,FALSE))</f>
        <v>1.5202702702702704E-2</v>
      </c>
      <c r="K322" t="s">
        <v>1424</v>
      </c>
      <c r="L322" t="s">
        <v>300</v>
      </c>
    </row>
    <row r="323" spans="1:12" x14ac:dyDescent="0.25">
      <c r="A323" t="s">
        <v>1684</v>
      </c>
      <c r="B323" t="s">
        <v>18</v>
      </c>
      <c r="C323" t="s">
        <v>159</v>
      </c>
      <c r="D323" s="4" t="s">
        <v>198</v>
      </c>
      <c r="E323" s="4" t="s">
        <v>207</v>
      </c>
      <c r="F323" s="4" t="s">
        <v>554</v>
      </c>
      <c r="G323" t="s">
        <v>648</v>
      </c>
      <c r="H323" t="s">
        <v>417</v>
      </c>
      <c r="I323" s="3">
        <f t="shared" si="5"/>
        <v>0</v>
      </c>
      <c r="J323" s="3">
        <f>D323/(VLOOKUP(B323,'2023 Team'!$B$2:$G$33,2,FALSE))</f>
        <v>2.3391812865497075E-2</v>
      </c>
      <c r="K323" t="s">
        <v>2063</v>
      </c>
      <c r="L323" t="s">
        <v>417</v>
      </c>
    </row>
    <row r="324" spans="1:12" x14ac:dyDescent="0.25">
      <c r="A324" t="s">
        <v>1684</v>
      </c>
      <c r="B324" t="s">
        <v>46</v>
      </c>
      <c r="C324" t="s">
        <v>159</v>
      </c>
      <c r="D324" s="4" t="s">
        <v>417</v>
      </c>
      <c r="E324" s="4" t="s">
        <v>417</v>
      </c>
      <c r="F324" s="4" t="s">
        <v>417</v>
      </c>
      <c r="H324" t="s">
        <v>417</v>
      </c>
      <c r="I324" s="3" t="e">
        <f t="shared" si="5"/>
        <v>#DIV/0!</v>
      </c>
      <c r="J324" s="3">
        <f>D324/(VLOOKUP(B324,'2023 Team'!$B$2:$G$33,2,FALSE))</f>
        <v>0</v>
      </c>
      <c r="L324" t="s">
        <v>417</v>
      </c>
    </row>
    <row r="325" spans="1:12" x14ac:dyDescent="0.25">
      <c r="A325" t="s">
        <v>674</v>
      </c>
      <c r="B325" t="s">
        <v>48</v>
      </c>
      <c r="C325" t="s">
        <v>613</v>
      </c>
      <c r="D325" s="4" t="s">
        <v>270</v>
      </c>
      <c r="E325" s="4" t="s">
        <v>207</v>
      </c>
      <c r="F325" s="4" t="s">
        <v>500</v>
      </c>
      <c r="G325" t="s">
        <v>262</v>
      </c>
      <c r="H325" t="s">
        <v>417</v>
      </c>
      <c r="I325" s="3">
        <f t="shared" si="5"/>
        <v>0</v>
      </c>
      <c r="J325" s="3">
        <f>D325/(VLOOKUP(B325,'2023 Team'!$B$2:$G$33,2,FALSE))</f>
        <v>1.4263074484944533E-2</v>
      </c>
      <c r="K325" t="s">
        <v>1424</v>
      </c>
      <c r="L325" t="s">
        <v>417</v>
      </c>
    </row>
    <row r="326" spans="1:12" x14ac:dyDescent="0.25">
      <c r="A326" t="s">
        <v>431</v>
      </c>
      <c r="B326" t="s">
        <v>14</v>
      </c>
      <c r="C326" t="s">
        <v>159</v>
      </c>
      <c r="D326" s="4" t="s">
        <v>207</v>
      </c>
      <c r="E326" s="4" t="s">
        <v>207</v>
      </c>
      <c r="F326" s="4" t="s">
        <v>573</v>
      </c>
      <c r="G326" t="s">
        <v>1370</v>
      </c>
      <c r="H326" t="s">
        <v>300</v>
      </c>
      <c r="I326" s="3">
        <f t="shared" si="5"/>
        <v>0.14285714285714285</v>
      </c>
      <c r="J326" s="3">
        <f>D326/(VLOOKUP(B326,'2023 Team'!$B$2:$G$33,2,FALSE))</f>
        <v>1.2089810017271158E-2</v>
      </c>
      <c r="K326" t="s">
        <v>1519</v>
      </c>
      <c r="L326" t="s">
        <v>300</v>
      </c>
    </row>
    <row r="327" spans="1:12" x14ac:dyDescent="0.25">
      <c r="A327" t="s">
        <v>848</v>
      </c>
      <c r="B327" t="s">
        <v>20</v>
      </c>
      <c r="C327" t="s">
        <v>163</v>
      </c>
      <c r="D327" s="4" t="s">
        <v>270</v>
      </c>
      <c r="E327" s="4" t="s">
        <v>207</v>
      </c>
      <c r="F327" s="4" t="s">
        <v>424</v>
      </c>
      <c r="G327" t="s">
        <v>622</v>
      </c>
      <c r="H327" t="s">
        <v>417</v>
      </c>
      <c r="I327" s="3">
        <f t="shared" si="5"/>
        <v>0</v>
      </c>
      <c r="J327" s="3">
        <f>D327/(VLOOKUP(B327,'2023 Team'!$B$2:$G$33,2,FALSE))</f>
        <v>1.4634146341463415E-2</v>
      </c>
      <c r="K327" t="s">
        <v>1424</v>
      </c>
      <c r="L327" t="s">
        <v>417</v>
      </c>
    </row>
    <row r="328" spans="1:12" x14ac:dyDescent="0.25">
      <c r="A328" t="s">
        <v>814</v>
      </c>
      <c r="B328" t="s">
        <v>12</v>
      </c>
      <c r="C328" t="s">
        <v>153</v>
      </c>
      <c r="D328" s="4" t="s">
        <v>270</v>
      </c>
      <c r="E328" s="4" t="s">
        <v>207</v>
      </c>
      <c r="F328" s="4" t="s">
        <v>598</v>
      </c>
      <c r="G328" t="s">
        <v>1360</v>
      </c>
      <c r="H328" t="s">
        <v>300</v>
      </c>
      <c r="I328" s="3">
        <f t="shared" si="5"/>
        <v>0.14285714285714285</v>
      </c>
      <c r="J328" s="3">
        <f>D328/(VLOOKUP(B328,'2023 Team'!$B$2:$G$33,2,FALSE))</f>
        <v>1.8218623481781375E-2</v>
      </c>
      <c r="K328" t="s">
        <v>1424</v>
      </c>
      <c r="L328" t="s">
        <v>417</v>
      </c>
    </row>
    <row r="329" spans="1:12" x14ac:dyDescent="0.25">
      <c r="A329" t="s">
        <v>1758</v>
      </c>
      <c r="B329" t="s">
        <v>50</v>
      </c>
      <c r="C329" t="s">
        <v>163</v>
      </c>
      <c r="D329" s="4" t="s">
        <v>510</v>
      </c>
      <c r="E329" s="4" t="s">
        <v>207</v>
      </c>
      <c r="F329" s="4" t="s">
        <v>1671</v>
      </c>
      <c r="G329" t="s">
        <v>2064</v>
      </c>
      <c r="H329" t="s">
        <v>417</v>
      </c>
      <c r="I329" s="3">
        <f t="shared" si="5"/>
        <v>0</v>
      </c>
      <c r="J329" s="3">
        <f>D329/(VLOOKUP(B329,'2023 Team'!$B$2:$G$33,2,FALSE))</f>
        <v>4.1292639138240578E-2</v>
      </c>
      <c r="K329" t="s">
        <v>2065</v>
      </c>
      <c r="L329" t="s">
        <v>417</v>
      </c>
    </row>
    <row r="330" spans="1:12" x14ac:dyDescent="0.25">
      <c r="A330" t="s">
        <v>1693</v>
      </c>
      <c r="B330" t="s">
        <v>24</v>
      </c>
      <c r="C330" t="s">
        <v>159</v>
      </c>
      <c r="D330" s="4" t="s">
        <v>207</v>
      </c>
      <c r="E330" s="4" t="s">
        <v>207</v>
      </c>
      <c r="F330" s="4" t="s">
        <v>592</v>
      </c>
      <c r="G330" t="s">
        <v>226</v>
      </c>
      <c r="H330" t="s">
        <v>417</v>
      </c>
      <c r="I330" s="3">
        <f t="shared" si="5"/>
        <v>0</v>
      </c>
      <c r="J330" s="3">
        <f>D330/(VLOOKUP(B330,'2023 Team'!$B$2:$G$33,2,FALSE))</f>
        <v>1.1400651465798045E-2</v>
      </c>
      <c r="K330" t="s">
        <v>1519</v>
      </c>
      <c r="L330" t="s">
        <v>417</v>
      </c>
    </row>
    <row r="331" spans="1:12" x14ac:dyDescent="0.25">
      <c r="A331" t="s">
        <v>1004</v>
      </c>
      <c r="B331" t="s">
        <v>60</v>
      </c>
      <c r="C331" t="s">
        <v>153</v>
      </c>
      <c r="D331" s="4" t="s">
        <v>211</v>
      </c>
      <c r="E331" s="4" t="s">
        <v>207</v>
      </c>
      <c r="F331" s="4" t="s">
        <v>529</v>
      </c>
      <c r="G331" t="s">
        <v>1381</v>
      </c>
      <c r="H331" t="s">
        <v>417</v>
      </c>
      <c r="I331" s="3">
        <f t="shared" si="5"/>
        <v>0</v>
      </c>
      <c r="J331" s="3">
        <f>D331/(VLOOKUP(B331,'2023 Team'!$B$2:$G$33,2,FALSE))</f>
        <v>1.9762845849802372E-2</v>
      </c>
      <c r="K331" t="s">
        <v>1324</v>
      </c>
      <c r="L331" t="s">
        <v>417</v>
      </c>
    </row>
    <row r="332" spans="1:12" x14ac:dyDescent="0.25">
      <c r="A332" t="s">
        <v>629</v>
      </c>
      <c r="B332" t="s">
        <v>20</v>
      </c>
      <c r="C332" t="s">
        <v>159</v>
      </c>
      <c r="D332" s="4" t="s">
        <v>270</v>
      </c>
      <c r="E332" s="4" t="s">
        <v>207</v>
      </c>
      <c r="F332" s="4" t="s">
        <v>211</v>
      </c>
      <c r="G332" t="s">
        <v>586</v>
      </c>
      <c r="H332" t="s">
        <v>417</v>
      </c>
      <c r="I332" s="3">
        <f t="shared" si="5"/>
        <v>0</v>
      </c>
      <c r="J332" s="3">
        <f>D332/(VLOOKUP(B332,'2023 Team'!$B$2:$G$33,2,FALSE))</f>
        <v>1.4634146341463415E-2</v>
      </c>
      <c r="K332" t="s">
        <v>1424</v>
      </c>
      <c r="L332" t="s">
        <v>417</v>
      </c>
    </row>
    <row r="333" spans="1:12" x14ac:dyDescent="0.25">
      <c r="A333" t="s">
        <v>1689</v>
      </c>
      <c r="B333" t="s">
        <v>52</v>
      </c>
      <c r="C333" t="s">
        <v>159</v>
      </c>
      <c r="D333" s="4" t="s">
        <v>247</v>
      </c>
      <c r="E333" s="4" t="s">
        <v>229</v>
      </c>
      <c r="F333" s="4" t="s">
        <v>528</v>
      </c>
      <c r="G333" t="s">
        <v>492</v>
      </c>
      <c r="H333" t="s">
        <v>417</v>
      </c>
      <c r="I333" s="3">
        <f t="shared" si="5"/>
        <v>0</v>
      </c>
      <c r="J333" s="3">
        <f>D333/(VLOOKUP(B333,'2023 Team'!$B$2:$G$33,2,FALSE))</f>
        <v>9.9009900990099011E-3</v>
      </c>
      <c r="K333" t="s">
        <v>1297</v>
      </c>
      <c r="L333" t="s">
        <v>417</v>
      </c>
    </row>
    <row r="334" spans="1:12" x14ac:dyDescent="0.25">
      <c r="A334" t="s">
        <v>1689</v>
      </c>
      <c r="B334" t="s">
        <v>8</v>
      </c>
      <c r="C334" t="s">
        <v>159</v>
      </c>
      <c r="D334" s="4" t="s">
        <v>229</v>
      </c>
      <c r="E334" s="4" t="s">
        <v>314</v>
      </c>
      <c r="F334" s="4" t="s">
        <v>193</v>
      </c>
      <c r="G334" t="s">
        <v>492</v>
      </c>
      <c r="H334" t="s">
        <v>417</v>
      </c>
      <c r="I334" s="3">
        <f t="shared" si="5"/>
        <v>0</v>
      </c>
      <c r="J334" s="3">
        <f>D334/(VLOOKUP(B334,'2023 Team'!$B$2:$G$33,2,FALSE))</f>
        <v>7.2072072072072073E-3</v>
      </c>
      <c r="K334" t="s">
        <v>1321</v>
      </c>
      <c r="L334" t="s">
        <v>417</v>
      </c>
    </row>
    <row r="335" spans="1:12" x14ac:dyDescent="0.25">
      <c r="A335" t="s">
        <v>955</v>
      </c>
      <c r="B335" t="s">
        <v>62</v>
      </c>
      <c r="C335" t="s">
        <v>163</v>
      </c>
      <c r="D335" s="4" t="s">
        <v>234</v>
      </c>
      <c r="E335" s="4" t="s">
        <v>247</v>
      </c>
      <c r="F335" s="4" t="s">
        <v>1125</v>
      </c>
      <c r="G335" t="s">
        <v>680</v>
      </c>
      <c r="H335" t="s">
        <v>314</v>
      </c>
      <c r="I335" s="3">
        <f t="shared" si="5"/>
        <v>0.5</v>
      </c>
      <c r="J335" s="3">
        <f>D335/(VLOOKUP(B335,'2023 Team'!$B$2:$G$33,2,FALSE))</f>
        <v>2.6476578411405296E-2</v>
      </c>
      <c r="K335" t="s">
        <v>2066</v>
      </c>
      <c r="L335" t="s">
        <v>300</v>
      </c>
    </row>
    <row r="336" spans="1:12" x14ac:dyDescent="0.25">
      <c r="A336" t="s">
        <v>1701</v>
      </c>
      <c r="B336" t="s">
        <v>16</v>
      </c>
      <c r="C336" t="s">
        <v>159</v>
      </c>
      <c r="D336" s="4" t="s">
        <v>207</v>
      </c>
      <c r="E336" s="4" t="s">
        <v>247</v>
      </c>
      <c r="F336" s="4" t="s">
        <v>452</v>
      </c>
      <c r="G336" t="s">
        <v>726</v>
      </c>
      <c r="H336" t="s">
        <v>417</v>
      </c>
      <c r="I336" s="3">
        <f t="shared" si="5"/>
        <v>0</v>
      </c>
      <c r="J336" s="3">
        <f>D336/(VLOOKUP(B336,'2023 Team'!$B$2:$G$33,2,FALSE))</f>
        <v>1.1945392491467578E-2</v>
      </c>
      <c r="K336" t="s">
        <v>1430</v>
      </c>
      <c r="L336" t="s">
        <v>417</v>
      </c>
    </row>
    <row r="337" spans="1:12" x14ac:dyDescent="0.25">
      <c r="A337" t="s">
        <v>789</v>
      </c>
      <c r="B337" t="s">
        <v>24</v>
      </c>
      <c r="C337" t="s">
        <v>163</v>
      </c>
      <c r="D337" s="4" t="s">
        <v>247</v>
      </c>
      <c r="E337" s="4" t="s">
        <v>247</v>
      </c>
      <c r="F337" s="4" t="s">
        <v>424</v>
      </c>
      <c r="G337" t="s">
        <v>1331</v>
      </c>
      <c r="H337" t="s">
        <v>417</v>
      </c>
      <c r="I337" s="3">
        <f t="shared" si="5"/>
        <v>0</v>
      </c>
      <c r="J337" s="3">
        <f>D337/(VLOOKUP(B337,'2023 Team'!$B$2:$G$33,2,FALSE))</f>
        <v>9.7719869706840382E-3</v>
      </c>
      <c r="K337" t="s">
        <v>1519</v>
      </c>
      <c r="L337" t="s">
        <v>417</v>
      </c>
    </row>
    <row r="338" spans="1:12" x14ac:dyDescent="0.25">
      <c r="A338" t="s">
        <v>710</v>
      </c>
      <c r="B338" t="s">
        <v>64</v>
      </c>
      <c r="C338" t="s">
        <v>159</v>
      </c>
      <c r="D338" s="4" t="s">
        <v>270</v>
      </c>
      <c r="E338" s="4" t="s">
        <v>247</v>
      </c>
      <c r="F338" s="4" t="s">
        <v>507</v>
      </c>
      <c r="G338" t="s">
        <v>239</v>
      </c>
      <c r="H338" t="s">
        <v>417</v>
      </c>
      <c r="I338" s="3">
        <f t="shared" si="5"/>
        <v>0</v>
      </c>
      <c r="J338" s="3">
        <f>D338/(VLOOKUP(B338,'2023 Team'!$B$2:$G$33,2,FALSE))</f>
        <v>1.5652173913043479E-2</v>
      </c>
      <c r="K338" t="s">
        <v>1297</v>
      </c>
      <c r="L338" t="s">
        <v>289</v>
      </c>
    </row>
    <row r="339" spans="1:12" x14ac:dyDescent="0.25">
      <c r="A339" t="s">
        <v>1792</v>
      </c>
      <c r="B339" t="s">
        <v>42</v>
      </c>
      <c r="C339" t="s">
        <v>163</v>
      </c>
      <c r="D339" s="4" t="s">
        <v>234</v>
      </c>
      <c r="E339" s="4" t="s">
        <v>247</v>
      </c>
      <c r="F339" s="4" t="s">
        <v>485</v>
      </c>
      <c r="G339" t="s">
        <v>445</v>
      </c>
      <c r="H339" t="s">
        <v>417</v>
      </c>
      <c r="I339" s="3">
        <f t="shared" si="5"/>
        <v>0</v>
      </c>
      <c r="J339" s="3">
        <f>D339/(VLOOKUP(B339,'2023 Team'!$B$2:$G$33,2,FALSE))</f>
        <v>2.0569620253164556E-2</v>
      </c>
      <c r="K339" t="s">
        <v>2066</v>
      </c>
      <c r="L339" t="s">
        <v>417</v>
      </c>
    </row>
    <row r="340" spans="1:12" x14ac:dyDescent="0.25">
      <c r="A340" t="s">
        <v>609</v>
      </c>
      <c r="B340" t="s">
        <v>34</v>
      </c>
      <c r="C340" t="s">
        <v>159</v>
      </c>
      <c r="D340" s="4" t="s">
        <v>270</v>
      </c>
      <c r="E340" s="4" t="s">
        <v>247</v>
      </c>
      <c r="F340" s="4" t="s">
        <v>679</v>
      </c>
      <c r="G340" t="s">
        <v>226</v>
      </c>
      <c r="H340" t="s">
        <v>417</v>
      </c>
      <c r="I340" s="3">
        <f t="shared" si="5"/>
        <v>0</v>
      </c>
      <c r="J340" s="3">
        <f>D340/(VLOOKUP(B340,'2023 Team'!$B$2:$G$33,2,FALSE))</f>
        <v>1.5679442508710801E-2</v>
      </c>
      <c r="K340" t="s">
        <v>1297</v>
      </c>
      <c r="L340" t="s">
        <v>417</v>
      </c>
    </row>
    <row r="341" spans="1:12" x14ac:dyDescent="0.25">
      <c r="A341" t="s">
        <v>1799</v>
      </c>
      <c r="B341" t="s">
        <v>52</v>
      </c>
      <c r="C341" t="s">
        <v>153</v>
      </c>
      <c r="D341" s="4" t="s">
        <v>207</v>
      </c>
      <c r="E341" s="4" t="s">
        <v>247</v>
      </c>
      <c r="F341" s="4" t="s">
        <v>470</v>
      </c>
      <c r="G341" t="s">
        <v>539</v>
      </c>
      <c r="H341" t="s">
        <v>229</v>
      </c>
      <c r="I341" s="3">
        <f t="shared" si="5"/>
        <v>0.66666666666666663</v>
      </c>
      <c r="J341" s="3">
        <f>D341/(VLOOKUP(B341,'2023 Team'!$B$2:$G$33,2,FALSE))</f>
        <v>1.155115511551155E-2</v>
      </c>
      <c r="K341" t="s">
        <v>1430</v>
      </c>
      <c r="L341" t="s">
        <v>417</v>
      </c>
    </row>
    <row r="342" spans="1:12" x14ac:dyDescent="0.25">
      <c r="A342" t="s">
        <v>1698</v>
      </c>
      <c r="B342" t="s">
        <v>54</v>
      </c>
      <c r="C342" t="s">
        <v>159</v>
      </c>
      <c r="D342" s="4" t="s">
        <v>207</v>
      </c>
      <c r="E342" s="4" t="s">
        <v>247</v>
      </c>
      <c r="F342" s="4" t="s">
        <v>514</v>
      </c>
      <c r="G342" t="s">
        <v>221</v>
      </c>
      <c r="H342" t="s">
        <v>417</v>
      </c>
      <c r="I342" s="3">
        <f t="shared" si="5"/>
        <v>0</v>
      </c>
      <c r="J342" s="3">
        <f>D342/(VLOOKUP(B342,'2023 Team'!$B$2:$G$33,2,FALSE))</f>
        <v>1.3513513513513514E-2</v>
      </c>
      <c r="K342" t="s">
        <v>1430</v>
      </c>
      <c r="L342" t="s">
        <v>314</v>
      </c>
    </row>
    <row r="343" spans="1:12" x14ac:dyDescent="0.25">
      <c r="A343" t="s">
        <v>943</v>
      </c>
      <c r="B343" t="s">
        <v>46</v>
      </c>
      <c r="C343" t="s">
        <v>153</v>
      </c>
      <c r="D343" s="4" t="s">
        <v>270</v>
      </c>
      <c r="E343" s="4" t="s">
        <v>247</v>
      </c>
      <c r="F343" s="4" t="s">
        <v>450</v>
      </c>
      <c r="G343" t="s">
        <v>531</v>
      </c>
      <c r="H343" t="s">
        <v>417</v>
      </c>
      <c r="I343" s="3">
        <f t="shared" si="5"/>
        <v>0</v>
      </c>
      <c r="J343" s="3">
        <f>D343/(VLOOKUP(B343,'2023 Team'!$B$2:$G$33,2,FALSE))</f>
        <v>1.5901060070671377E-2</v>
      </c>
      <c r="K343" t="s">
        <v>1297</v>
      </c>
      <c r="L343" t="s">
        <v>300</v>
      </c>
    </row>
    <row r="344" spans="1:12" x14ac:dyDescent="0.25">
      <c r="A344" t="s">
        <v>910</v>
      </c>
      <c r="B344" t="s">
        <v>62</v>
      </c>
      <c r="C344" t="s">
        <v>159</v>
      </c>
      <c r="D344" s="4" t="s">
        <v>225</v>
      </c>
      <c r="E344" s="4" t="s">
        <v>247</v>
      </c>
      <c r="F344" s="4" t="s">
        <v>344</v>
      </c>
      <c r="G344" t="s">
        <v>596</v>
      </c>
      <c r="H344" t="s">
        <v>417</v>
      </c>
      <c r="I344" s="3">
        <f t="shared" si="5"/>
        <v>0</v>
      </c>
      <c r="J344" s="3">
        <f>D344/(VLOOKUP(B344,'2023 Team'!$B$2:$G$33,2,FALSE))</f>
        <v>1.6293279022403257E-2</v>
      </c>
      <c r="K344" t="s">
        <v>1321</v>
      </c>
      <c r="L344" t="s">
        <v>417</v>
      </c>
    </row>
    <row r="345" spans="1:12" x14ac:dyDescent="0.25">
      <c r="A345" t="s">
        <v>1841</v>
      </c>
      <c r="B345" t="s">
        <v>38</v>
      </c>
      <c r="C345" t="s">
        <v>163</v>
      </c>
      <c r="D345" s="4" t="s">
        <v>266</v>
      </c>
      <c r="E345" s="4" t="s">
        <v>247</v>
      </c>
      <c r="F345" s="4" t="s">
        <v>446</v>
      </c>
      <c r="G345" t="s">
        <v>1192</v>
      </c>
      <c r="H345" t="s">
        <v>417</v>
      </c>
      <c r="I345" s="3">
        <f t="shared" si="5"/>
        <v>0</v>
      </c>
      <c r="J345" s="3">
        <f>D345/(VLOOKUP(B345,'2023 Team'!$B$2:$G$33,2,FALSE))</f>
        <v>1.7322834645669291E-2</v>
      </c>
      <c r="K345" t="s">
        <v>1532</v>
      </c>
      <c r="L345" t="s">
        <v>417</v>
      </c>
    </row>
    <row r="346" spans="1:12" x14ac:dyDescent="0.25">
      <c r="A346" t="s">
        <v>1680</v>
      </c>
      <c r="B346" t="s">
        <v>42</v>
      </c>
      <c r="C346" t="s">
        <v>159</v>
      </c>
      <c r="D346" s="4" t="s">
        <v>247</v>
      </c>
      <c r="E346" s="4" t="s">
        <v>247</v>
      </c>
      <c r="F346" s="4" t="s">
        <v>679</v>
      </c>
      <c r="G346" t="s">
        <v>226</v>
      </c>
      <c r="H346" t="s">
        <v>417</v>
      </c>
      <c r="I346" s="3">
        <f t="shared" si="5"/>
        <v>0</v>
      </c>
      <c r="J346" s="3">
        <f>D346/(VLOOKUP(B346,'2023 Team'!$B$2:$G$33,2,FALSE))</f>
        <v>9.4936708860759497E-3</v>
      </c>
      <c r="K346" t="s">
        <v>1519</v>
      </c>
      <c r="L346" t="s">
        <v>417</v>
      </c>
    </row>
    <row r="347" spans="1:12" x14ac:dyDescent="0.25">
      <c r="A347" t="s">
        <v>1775</v>
      </c>
      <c r="B347" t="s">
        <v>38</v>
      </c>
      <c r="C347" t="s">
        <v>153</v>
      </c>
      <c r="D347" s="4" t="s">
        <v>270</v>
      </c>
      <c r="E347" s="4" t="s">
        <v>220</v>
      </c>
      <c r="F347" s="4" t="s">
        <v>507</v>
      </c>
      <c r="G347" t="s">
        <v>194</v>
      </c>
      <c r="H347" t="s">
        <v>300</v>
      </c>
      <c r="I347" s="3">
        <f t="shared" si="5"/>
        <v>0.2</v>
      </c>
      <c r="J347" s="3">
        <f>D347/(VLOOKUP(B347,'2023 Team'!$B$2:$G$33,2,FALSE))</f>
        <v>1.4173228346456693E-2</v>
      </c>
      <c r="K347" t="s">
        <v>1496</v>
      </c>
      <c r="L347" t="s">
        <v>300</v>
      </c>
    </row>
    <row r="348" spans="1:12" x14ac:dyDescent="0.25">
      <c r="A348" t="s">
        <v>1708</v>
      </c>
      <c r="B348" t="s">
        <v>54</v>
      </c>
      <c r="C348" t="s">
        <v>159</v>
      </c>
      <c r="D348" s="4" t="s">
        <v>207</v>
      </c>
      <c r="E348" s="4" t="s">
        <v>220</v>
      </c>
      <c r="F348" s="4" t="s">
        <v>438</v>
      </c>
      <c r="G348" t="s">
        <v>1323</v>
      </c>
      <c r="H348" t="s">
        <v>417</v>
      </c>
      <c r="I348" s="3">
        <f t="shared" si="5"/>
        <v>0</v>
      </c>
      <c r="J348" s="3">
        <f>D348/(VLOOKUP(B348,'2023 Team'!$B$2:$G$33,2,FALSE))</f>
        <v>1.3513513513513514E-2</v>
      </c>
      <c r="K348" t="s">
        <v>1363</v>
      </c>
      <c r="L348" t="s">
        <v>417</v>
      </c>
    </row>
    <row r="349" spans="1:12" x14ac:dyDescent="0.25">
      <c r="A349" t="s">
        <v>908</v>
      </c>
      <c r="B349" t="s">
        <v>56</v>
      </c>
      <c r="C349" t="s">
        <v>163</v>
      </c>
      <c r="D349" s="4" t="s">
        <v>225</v>
      </c>
      <c r="E349" s="4" t="s">
        <v>220</v>
      </c>
      <c r="F349" s="4" t="s">
        <v>1244</v>
      </c>
      <c r="G349" t="s">
        <v>1164</v>
      </c>
      <c r="H349" t="s">
        <v>300</v>
      </c>
      <c r="I349" s="3">
        <f t="shared" si="5"/>
        <v>0.2</v>
      </c>
      <c r="J349" s="3">
        <f>D349/(VLOOKUP(B349,'2023 Team'!$B$2:$G$33,2,FALSE))</f>
        <v>1.3311148086522463E-2</v>
      </c>
      <c r="K349" t="s">
        <v>1185</v>
      </c>
      <c r="L349" t="s">
        <v>417</v>
      </c>
    </row>
    <row r="350" spans="1:12" x14ac:dyDescent="0.25">
      <c r="A350" t="s">
        <v>1784</v>
      </c>
      <c r="B350" t="s">
        <v>56</v>
      </c>
      <c r="C350" t="s">
        <v>163</v>
      </c>
      <c r="D350" s="4" t="s">
        <v>535</v>
      </c>
      <c r="E350" s="4" t="s">
        <v>220</v>
      </c>
      <c r="F350" s="4" t="s">
        <v>470</v>
      </c>
      <c r="G350" t="s">
        <v>611</v>
      </c>
      <c r="H350" t="s">
        <v>300</v>
      </c>
      <c r="I350" s="3">
        <f t="shared" si="5"/>
        <v>0.2</v>
      </c>
      <c r="J350" s="3">
        <f>D350/(VLOOKUP(B350,'2023 Team'!$B$2:$G$33,2,FALSE))</f>
        <v>2.8286189683860232E-2</v>
      </c>
      <c r="K350" t="s">
        <v>2067</v>
      </c>
      <c r="L350" t="s">
        <v>417</v>
      </c>
    </row>
    <row r="351" spans="1:12" x14ac:dyDescent="0.25">
      <c r="A351" t="s">
        <v>1023</v>
      </c>
      <c r="B351" t="s">
        <v>66</v>
      </c>
      <c r="C351" t="s">
        <v>153</v>
      </c>
      <c r="D351" s="4" t="s">
        <v>207</v>
      </c>
      <c r="E351" s="4" t="s">
        <v>220</v>
      </c>
      <c r="F351" s="4" t="s">
        <v>413</v>
      </c>
      <c r="G351" t="s">
        <v>1083</v>
      </c>
      <c r="H351" t="s">
        <v>417</v>
      </c>
      <c r="I351" s="3">
        <f t="shared" si="5"/>
        <v>0</v>
      </c>
      <c r="J351" s="3">
        <f>D351/(VLOOKUP(B351,'2023 Team'!$B$2:$G$33,2,FALSE))</f>
        <v>1.232394366197183E-2</v>
      </c>
      <c r="K351" t="s">
        <v>1363</v>
      </c>
      <c r="L351" t="s">
        <v>417</v>
      </c>
    </row>
    <row r="352" spans="1:12" x14ac:dyDescent="0.25">
      <c r="A352" t="s">
        <v>1804</v>
      </c>
      <c r="B352" t="s">
        <v>44</v>
      </c>
      <c r="C352" t="s">
        <v>153</v>
      </c>
      <c r="D352" s="4" t="s">
        <v>207</v>
      </c>
      <c r="E352" s="4" t="s">
        <v>220</v>
      </c>
      <c r="F352" s="4" t="s">
        <v>552</v>
      </c>
      <c r="G352" t="s">
        <v>1979</v>
      </c>
      <c r="H352" t="s">
        <v>417</v>
      </c>
      <c r="I352" s="3">
        <f t="shared" si="5"/>
        <v>0</v>
      </c>
      <c r="J352" s="3">
        <f>D352/(VLOOKUP(B352,'2023 Team'!$B$2:$G$33,2,FALSE))</f>
        <v>1.2006861063464836E-2</v>
      </c>
      <c r="K352" t="s">
        <v>1363</v>
      </c>
      <c r="L352" t="s">
        <v>417</v>
      </c>
    </row>
    <row r="353" spans="1:12" x14ac:dyDescent="0.25">
      <c r="A353" t="s">
        <v>1702</v>
      </c>
      <c r="B353" t="s">
        <v>34</v>
      </c>
      <c r="C353" t="s">
        <v>159</v>
      </c>
      <c r="D353" s="4" t="s">
        <v>247</v>
      </c>
      <c r="E353" s="4" t="s">
        <v>220</v>
      </c>
      <c r="F353" s="4" t="s">
        <v>344</v>
      </c>
      <c r="G353" t="s">
        <v>385</v>
      </c>
      <c r="H353" t="s">
        <v>417</v>
      </c>
      <c r="I353" s="3">
        <f t="shared" si="5"/>
        <v>0</v>
      </c>
      <c r="J353" s="3">
        <f>D353/(VLOOKUP(B353,'2023 Team'!$B$2:$G$33,2,FALSE))</f>
        <v>1.0452961672473868E-2</v>
      </c>
      <c r="K353" t="s">
        <v>1133</v>
      </c>
      <c r="L353" t="s">
        <v>289</v>
      </c>
    </row>
    <row r="354" spans="1:12" x14ac:dyDescent="0.25">
      <c r="A354" t="s">
        <v>1702</v>
      </c>
      <c r="B354" t="s">
        <v>54</v>
      </c>
      <c r="C354" t="s">
        <v>159</v>
      </c>
      <c r="D354" s="4" t="s">
        <v>417</v>
      </c>
      <c r="E354" s="4" t="s">
        <v>417</v>
      </c>
      <c r="F354" s="4" t="s">
        <v>417</v>
      </c>
      <c r="H354" t="s">
        <v>417</v>
      </c>
      <c r="I354" s="3" t="e">
        <f t="shared" si="5"/>
        <v>#DIV/0!</v>
      </c>
      <c r="J354" s="3">
        <f>D354/(VLOOKUP(B354,'2023 Team'!$B$2:$G$33,2,FALSE))</f>
        <v>0</v>
      </c>
      <c r="L354" t="s">
        <v>417</v>
      </c>
    </row>
    <row r="355" spans="1:12" x14ac:dyDescent="0.25">
      <c r="A355" t="s">
        <v>1815</v>
      </c>
      <c r="B355" t="s">
        <v>28</v>
      </c>
      <c r="C355" t="s">
        <v>163</v>
      </c>
      <c r="D355" s="4" t="s">
        <v>211</v>
      </c>
      <c r="E355" s="4" t="s">
        <v>220</v>
      </c>
      <c r="F355" s="4" t="s">
        <v>467</v>
      </c>
      <c r="G355" t="s">
        <v>648</v>
      </c>
      <c r="H355" t="s">
        <v>417</v>
      </c>
      <c r="I355" s="3">
        <f t="shared" si="5"/>
        <v>0</v>
      </c>
      <c r="J355" s="3">
        <f>D355/(VLOOKUP(B355,'2023 Team'!$B$2:$G$33,2,FALSE))</f>
        <v>1.65016501650165E-2</v>
      </c>
      <c r="K355" t="s">
        <v>1356</v>
      </c>
      <c r="L355" t="s">
        <v>300</v>
      </c>
    </row>
    <row r="356" spans="1:12" x14ac:dyDescent="0.25">
      <c r="A356" t="s">
        <v>1818</v>
      </c>
      <c r="B356" t="s">
        <v>52</v>
      </c>
      <c r="C356" t="s">
        <v>163</v>
      </c>
      <c r="D356" s="4" t="s">
        <v>270</v>
      </c>
      <c r="E356" s="4" t="s">
        <v>220</v>
      </c>
      <c r="F356" s="4" t="s">
        <v>461</v>
      </c>
      <c r="G356" t="s">
        <v>656</v>
      </c>
      <c r="H356" t="s">
        <v>300</v>
      </c>
      <c r="I356" s="3">
        <f t="shared" si="5"/>
        <v>0.2</v>
      </c>
      <c r="J356" s="3">
        <f>D356/(VLOOKUP(B356,'2023 Team'!$B$2:$G$33,2,FALSE))</f>
        <v>1.4851485148514851E-2</v>
      </c>
      <c r="K356" t="s">
        <v>1496</v>
      </c>
      <c r="L356" t="s">
        <v>417</v>
      </c>
    </row>
    <row r="357" spans="1:12" x14ac:dyDescent="0.25">
      <c r="A357" t="s">
        <v>1732</v>
      </c>
      <c r="B357" t="s">
        <v>50</v>
      </c>
      <c r="C357" t="s">
        <v>159</v>
      </c>
      <c r="D357" s="4" t="s">
        <v>198</v>
      </c>
      <c r="E357" s="4" t="s">
        <v>220</v>
      </c>
      <c r="F357" s="4" t="s">
        <v>592</v>
      </c>
      <c r="G357" t="s">
        <v>531</v>
      </c>
      <c r="H357" t="s">
        <v>417</v>
      </c>
      <c r="I357" s="3">
        <f t="shared" si="5"/>
        <v>0</v>
      </c>
      <c r="J357" s="3">
        <f>D357/(VLOOKUP(B357,'2023 Team'!$B$2:$G$33,2,FALSE))</f>
        <v>2.1543985637342909E-2</v>
      </c>
      <c r="K357" t="s">
        <v>1527</v>
      </c>
      <c r="L357" t="s">
        <v>417</v>
      </c>
    </row>
    <row r="358" spans="1:12" x14ac:dyDescent="0.25">
      <c r="A358" t="s">
        <v>751</v>
      </c>
      <c r="B358" t="s">
        <v>66</v>
      </c>
      <c r="C358" t="s">
        <v>163</v>
      </c>
      <c r="D358" s="4" t="s">
        <v>207</v>
      </c>
      <c r="E358" s="4" t="s">
        <v>220</v>
      </c>
      <c r="F358" s="4" t="s">
        <v>526</v>
      </c>
      <c r="G358" t="s">
        <v>1392</v>
      </c>
      <c r="H358" t="s">
        <v>300</v>
      </c>
      <c r="I358" s="3">
        <f t="shared" si="5"/>
        <v>0.2</v>
      </c>
      <c r="J358" s="3">
        <f>D358/(VLOOKUP(B358,'2023 Team'!$B$2:$G$33,2,FALSE))</f>
        <v>1.232394366197183E-2</v>
      </c>
      <c r="K358" t="s">
        <v>1363</v>
      </c>
      <c r="L358" t="s">
        <v>417</v>
      </c>
    </row>
    <row r="359" spans="1:12" x14ac:dyDescent="0.25">
      <c r="A359" t="s">
        <v>688</v>
      </c>
      <c r="B359" t="s">
        <v>28</v>
      </c>
      <c r="C359" t="s">
        <v>159</v>
      </c>
      <c r="D359" s="4" t="s">
        <v>220</v>
      </c>
      <c r="E359" s="4" t="s">
        <v>220</v>
      </c>
      <c r="F359" s="4" t="s">
        <v>438</v>
      </c>
      <c r="G359" t="s">
        <v>1323</v>
      </c>
      <c r="H359" t="s">
        <v>417</v>
      </c>
      <c r="I359" s="3">
        <f t="shared" si="5"/>
        <v>0</v>
      </c>
      <c r="J359" s="3">
        <f>D359/(VLOOKUP(B359,'2023 Team'!$B$2:$G$33,2,FALSE))</f>
        <v>8.2508250825082501E-3</v>
      </c>
      <c r="K359" t="s">
        <v>1519</v>
      </c>
      <c r="L359" t="s">
        <v>289</v>
      </c>
    </row>
    <row r="360" spans="1:12" x14ac:dyDescent="0.25">
      <c r="A360" t="s">
        <v>729</v>
      </c>
      <c r="B360" t="s">
        <v>12</v>
      </c>
      <c r="C360" t="s">
        <v>613</v>
      </c>
      <c r="D360" s="4" t="s">
        <v>207</v>
      </c>
      <c r="E360" s="4" t="s">
        <v>220</v>
      </c>
      <c r="F360" s="4" t="s">
        <v>441</v>
      </c>
      <c r="G360" t="s">
        <v>1156</v>
      </c>
      <c r="H360" t="s">
        <v>300</v>
      </c>
      <c r="I360" s="3">
        <f t="shared" si="5"/>
        <v>0.2</v>
      </c>
      <c r="J360" s="3">
        <f>D360/(VLOOKUP(B360,'2023 Team'!$B$2:$G$33,2,FALSE))</f>
        <v>1.417004048582996E-2</v>
      </c>
      <c r="K360" t="s">
        <v>1363</v>
      </c>
      <c r="L360" t="s">
        <v>417</v>
      </c>
    </row>
    <row r="361" spans="1:12" x14ac:dyDescent="0.25">
      <c r="A361" t="s">
        <v>620</v>
      </c>
      <c r="B361" t="s">
        <v>44</v>
      </c>
      <c r="C361" t="s">
        <v>159</v>
      </c>
      <c r="D361" s="4" t="s">
        <v>220</v>
      </c>
      <c r="E361" s="4" t="s">
        <v>220</v>
      </c>
      <c r="F361" s="4" t="s">
        <v>514</v>
      </c>
      <c r="G361" t="s">
        <v>230</v>
      </c>
      <c r="H361" t="s">
        <v>417</v>
      </c>
      <c r="I361" s="3">
        <f t="shared" si="5"/>
        <v>0</v>
      </c>
      <c r="J361" s="3">
        <f>D361/(VLOOKUP(B361,'2023 Team'!$B$2:$G$33,2,FALSE))</f>
        <v>8.5763293310463125E-3</v>
      </c>
      <c r="K361" t="s">
        <v>1519</v>
      </c>
      <c r="L361" t="s">
        <v>417</v>
      </c>
    </row>
    <row r="362" spans="1:12" x14ac:dyDescent="0.25">
      <c r="A362" t="s">
        <v>1847</v>
      </c>
      <c r="B362" t="s">
        <v>18</v>
      </c>
      <c r="C362" t="s">
        <v>163</v>
      </c>
      <c r="D362" s="4" t="s">
        <v>247</v>
      </c>
      <c r="E362" s="4" t="s">
        <v>220</v>
      </c>
      <c r="F362" s="4" t="s">
        <v>573</v>
      </c>
      <c r="G362" t="s">
        <v>1360</v>
      </c>
      <c r="H362" t="s">
        <v>417</v>
      </c>
      <c r="I362" s="3">
        <f t="shared" si="5"/>
        <v>0</v>
      </c>
      <c r="J362" s="3">
        <f>D362/(VLOOKUP(B362,'2023 Team'!$B$2:$G$33,2,FALSE))</f>
        <v>1.1695906432748537E-2</v>
      </c>
      <c r="K362" t="s">
        <v>1133</v>
      </c>
      <c r="L362" t="s">
        <v>417</v>
      </c>
    </row>
    <row r="363" spans="1:12" x14ac:dyDescent="0.25">
      <c r="A363" t="s">
        <v>960</v>
      </c>
      <c r="B363" t="s">
        <v>58</v>
      </c>
      <c r="C363" t="s">
        <v>153</v>
      </c>
      <c r="D363" s="4" t="s">
        <v>225</v>
      </c>
      <c r="E363" s="4" t="s">
        <v>220</v>
      </c>
      <c r="F363" s="4" t="s">
        <v>480</v>
      </c>
      <c r="G363" t="s">
        <v>1325</v>
      </c>
      <c r="H363" t="s">
        <v>417</v>
      </c>
      <c r="I363" s="3">
        <f t="shared" si="5"/>
        <v>0</v>
      </c>
      <c r="J363" s="3">
        <f>D363/(VLOOKUP(B363,'2023 Team'!$B$2:$G$33,2,FALSE))</f>
        <v>1.4209591474245116E-2</v>
      </c>
      <c r="K363" t="s">
        <v>1185</v>
      </c>
      <c r="L363" t="s">
        <v>417</v>
      </c>
    </row>
    <row r="364" spans="1:12" x14ac:dyDescent="0.25">
      <c r="A364" t="s">
        <v>905</v>
      </c>
      <c r="B364" t="s">
        <v>36</v>
      </c>
      <c r="C364" t="s">
        <v>153</v>
      </c>
      <c r="D364" s="4" t="s">
        <v>270</v>
      </c>
      <c r="E364" s="4" t="s">
        <v>220</v>
      </c>
      <c r="F364" s="4" t="s">
        <v>467</v>
      </c>
      <c r="G364" t="s">
        <v>648</v>
      </c>
      <c r="H364" t="s">
        <v>300</v>
      </c>
      <c r="I364" s="3">
        <f t="shared" si="5"/>
        <v>0.2</v>
      </c>
      <c r="J364" s="3">
        <f>D364/(VLOOKUP(B364,'2023 Team'!$B$2:$G$33,2,FALSE))</f>
        <v>1.4516129032258065E-2</v>
      </c>
      <c r="K364" t="s">
        <v>1496</v>
      </c>
      <c r="L364" t="s">
        <v>417</v>
      </c>
    </row>
    <row r="365" spans="1:12" x14ac:dyDescent="0.25">
      <c r="A365" t="s">
        <v>1670</v>
      </c>
      <c r="B365" t="s">
        <v>22</v>
      </c>
      <c r="C365" t="s">
        <v>159</v>
      </c>
      <c r="D365" s="4" t="s">
        <v>225</v>
      </c>
      <c r="E365" s="4" t="s">
        <v>220</v>
      </c>
      <c r="F365" s="4" t="s">
        <v>438</v>
      </c>
      <c r="G365" t="s">
        <v>1323</v>
      </c>
      <c r="H365" t="s">
        <v>417</v>
      </c>
      <c r="I365" s="3">
        <f t="shared" si="5"/>
        <v>0</v>
      </c>
      <c r="J365" s="3">
        <f>D365/(VLOOKUP(B365,'2023 Team'!$B$2:$G$33,2,FALSE))</f>
        <v>1.282051282051282E-2</v>
      </c>
      <c r="K365" t="s">
        <v>1185</v>
      </c>
      <c r="L365" t="s">
        <v>300</v>
      </c>
    </row>
    <row r="366" spans="1:12" x14ac:dyDescent="0.25">
      <c r="A366" t="s">
        <v>939</v>
      </c>
      <c r="B366" t="s">
        <v>16</v>
      </c>
      <c r="C366" t="s">
        <v>153</v>
      </c>
      <c r="D366" s="4" t="s">
        <v>270</v>
      </c>
      <c r="E366" s="4" t="s">
        <v>220</v>
      </c>
      <c r="F366" s="4" t="s">
        <v>1244</v>
      </c>
      <c r="G366" t="s">
        <v>1164</v>
      </c>
      <c r="H366" t="s">
        <v>417</v>
      </c>
      <c r="I366" s="3">
        <f t="shared" si="5"/>
        <v>0</v>
      </c>
      <c r="J366" s="3">
        <f>D366/(VLOOKUP(B366,'2023 Team'!$B$2:$G$33,2,FALSE))</f>
        <v>1.5358361774744027E-2</v>
      </c>
      <c r="K366" t="s">
        <v>1496</v>
      </c>
      <c r="L366" t="s">
        <v>417</v>
      </c>
    </row>
    <row r="367" spans="1:12" x14ac:dyDescent="0.25">
      <c r="A367" t="s">
        <v>863</v>
      </c>
      <c r="B367" t="s">
        <v>26</v>
      </c>
      <c r="C367" t="s">
        <v>153</v>
      </c>
      <c r="D367" s="4" t="s">
        <v>220</v>
      </c>
      <c r="E367" s="4" t="s">
        <v>229</v>
      </c>
      <c r="F367" s="4" t="s">
        <v>514</v>
      </c>
      <c r="G367" t="s">
        <v>445</v>
      </c>
      <c r="H367" t="s">
        <v>417</v>
      </c>
      <c r="I367" s="3">
        <f t="shared" si="5"/>
        <v>0</v>
      </c>
      <c r="J367" s="3">
        <f>D367/(VLOOKUP(B367,'2023 Team'!$B$2:$G$33,2,FALSE))</f>
        <v>9.7465886939571145E-3</v>
      </c>
      <c r="K367" t="s">
        <v>1329</v>
      </c>
      <c r="L367" t="s">
        <v>417</v>
      </c>
    </row>
    <row r="368" spans="1:12" x14ac:dyDescent="0.25">
      <c r="A368" t="s">
        <v>1780</v>
      </c>
      <c r="B368" t="s">
        <v>54</v>
      </c>
      <c r="C368" t="s">
        <v>153</v>
      </c>
      <c r="D368" s="4" t="s">
        <v>220</v>
      </c>
      <c r="E368" s="4" t="s">
        <v>229</v>
      </c>
      <c r="F368" s="4" t="s">
        <v>476</v>
      </c>
      <c r="G368" t="s">
        <v>732</v>
      </c>
      <c r="H368" t="s">
        <v>300</v>
      </c>
      <c r="I368" s="3">
        <f t="shared" si="5"/>
        <v>0.25</v>
      </c>
      <c r="J368" s="3">
        <f>D368/(VLOOKUP(B368,'2023 Team'!$B$2:$G$33,2,FALSE))</f>
        <v>9.6525096525096523E-3</v>
      </c>
      <c r="K368" t="s">
        <v>1329</v>
      </c>
      <c r="L368" t="s">
        <v>417</v>
      </c>
    </row>
    <row r="369" spans="1:12" x14ac:dyDescent="0.25">
      <c r="A369" t="s">
        <v>989</v>
      </c>
      <c r="B369" t="s">
        <v>58</v>
      </c>
      <c r="C369" t="s">
        <v>153</v>
      </c>
      <c r="D369" s="4" t="s">
        <v>229</v>
      </c>
      <c r="E369" s="4" t="s">
        <v>229</v>
      </c>
      <c r="F369" s="4" t="s">
        <v>470</v>
      </c>
      <c r="G369" t="s">
        <v>579</v>
      </c>
      <c r="H369" t="s">
        <v>417</v>
      </c>
      <c r="I369" s="3">
        <f t="shared" si="5"/>
        <v>0</v>
      </c>
      <c r="J369" s="3">
        <f>D369/(VLOOKUP(B369,'2023 Team'!$B$2:$G$33,2,FALSE))</f>
        <v>7.104795737122558E-3</v>
      </c>
      <c r="K369" t="s">
        <v>1519</v>
      </c>
      <c r="L369" t="s">
        <v>417</v>
      </c>
    </row>
    <row r="370" spans="1:12" x14ac:dyDescent="0.25">
      <c r="A370" t="s">
        <v>1728</v>
      </c>
      <c r="B370" t="s">
        <v>40</v>
      </c>
      <c r="C370" t="s">
        <v>163</v>
      </c>
      <c r="D370" s="4" t="s">
        <v>207</v>
      </c>
      <c r="E370" s="4" t="s">
        <v>229</v>
      </c>
      <c r="F370" s="4" t="s">
        <v>470</v>
      </c>
      <c r="G370" t="s">
        <v>579</v>
      </c>
      <c r="H370" t="s">
        <v>417</v>
      </c>
      <c r="I370" s="3">
        <f t="shared" si="5"/>
        <v>0</v>
      </c>
      <c r="J370" s="3">
        <f>D370/(VLOOKUP(B370,'2023 Team'!$B$2:$G$33,2,FALSE))</f>
        <v>1.2567324955116697E-2</v>
      </c>
      <c r="K370" t="s">
        <v>1488</v>
      </c>
      <c r="L370" t="s">
        <v>289</v>
      </c>
    </row>
    <row r="371" spans="1:12" x14ac:dyDescent="0.25">
      <c r="A371" t="s">
        <v>1043</v>
      </c>
      <c r="B371" t="s">
        <v>46</v>
      </c>
      <c r="C371" t="s">
        <v>163</v>
      </c>
      <c r="D371" s="4" t="s">
        <v>247</v>
      </c>
      <c r="E371" s="4" t="s">
        <v>229</v>
      </c>
      <c r="F371" s="4" t="s">
        <v>1085</v>
      </c>
      <c r="G371" t="s">
        <v>2068</v>
      </c>
      <c r="H371" t="s">
        <v>300</v>
      </c>
      <c r="I371" s="3">
        <f t="shared" si="5"/>
        <v>0.25</v>
      </c>
      <c r="J371" s="3">
        <f>D371/(VLOOKUP(B371,'2023 Team'!$B$2:$G$33,2,FALSE))</f>
        <v>1.0600706713780919E-2</v>
      </c>
      <c r="K371" t="s">
        <v>1297</v>
      </c>
      <c r="L371" t="s">
        <v>417</v>
      </c>
    </row>
    <row r="372" spans="1:12" x14ac:dyDescent="0.25">
      <c r="A372" t="s">
        <v>356</v>
      </c>
      <c r="B372" t="s">
        <v>22</v>
      </c>
      <c r="C372" t="s">
        <v>159</v>
      </c>
      <c r="D372" s="4" t="s">
        <v>229</v>
      </c>
      <c r="E372" s="4" t="s">
        <v>229</v>
      </c>
      <c r="F372" s="4" t="s">
        <v>528</v>
      </c>
      <c r="G372" t="s">
        <v>492</v>
      </c>
      <c r="H372" t="s">
        <v>417</v>
      </c>
      <c r="I372" s="3">
        <f t="shared" si="5"/>
        <v>0</v>
      </c>
      <c r="J372" s="3">
        <f>D372/(VLOOKUP(B372,'2023 Team'!$B$2:$G$33,2,FALSE))</f>
        <v>6.41025641025641E-3</v>
      </c>
      <c r="K372" t="s">
        <v>1519</v>
      </c>
      <c r="L372" t="s">
        <v>417</v>
      </c>
    </row>
    <row r="373" spans="1:12" x14ac:dyDescent="0.25">
      <c r="A373" t="s">
        <v>991</v>
      </c>
      <c r="B373" t="s">
        <v>58</v>
      </c>
      <c r="C373" t="s">
        <v>163</v>
      </c>
      <c r="D373" s="4" t="s">
        <v>247</v>
      </c>
      <c r="E373" s="4" t="s">
        <v>229</v>
      </c>
      <c r="F373" s="4" t="s">
        <v>1199</v>
      </c>
      <c r="G373" t="s">
        <v>605</v>
      </c>
      <c r="H373" t="s">
        <v>417</v>
      </c>
      <c r="I373" s="3">
        <f t="shared" si="5"/>
        <v>0</v>
      </c>
      <c r="J373" s="3">
        <f>D373/(VLOOKUP(B373,'2023 Team'!$B$2:$G$33,2,FALSE))</f>
        <v>1.0657193605683837E-2</v>
      </c>
      <c r="K373" t="s">
        <v>1297</v>
      </c>
      <c r="L373" t="s">
        <v>289</v>
      </c>
    </row>
    <row r="374" spans="1:12" x14ac:dyDescent="0.25">
      <c r="A374" t="s">
        <v>837</v>
      </c>
      <c r="B374" t="s">
        <v>12</v>
      </c>
      <c r="C374" t="s">
        <v>163</v>
      </c>
      <c r="D374" s="4" t="s">
        <v>270</v>
      </c>
      <c r="E374" s="4" t="s">
        <v>229</v>
      </c>
      <c r="F374" s="4" t="s">
        <v>202</v>
      </c>
      <c r="G374" t="s">
        <v>255</v>
      </c>
      <c r="H374" t="s">
        <v>417</v>
      </c>
      <c r="I374" s="3">
        <f t="shared" si="5"/>
        <v>0</v>
      </c>
      <c r="J374" s="3">
        <f>D374/(VLOOKUP(B374,'2023 Team'!$B$2:$G$33,2,FALSE))</f>
        <v>1.8218623481781375E-2</v>
      </c>
      <c r="K374" t="s">
        <v>1255</v>
      </c>
      <c r="L374" t="s">
        <v>417</v>
      </c>
    </row>
    <row r="375" spans="1:12" x14ac:dyDescent="0.25">
      <c r="A375" t="s">
        <v>1725</v>
      </c>
      <c r="B375" t="s">
        <v>22</v>
      </c>
      <c r="C375" t="s">
        <v>163</v>
      </c>
      <c r="D375" s="4" t="s">
        <v>234</v>
      </c>
      <c r="E375" s="4" t="s">
        <v>229</v>
      </c>
      <c r="F375" s="4" t="s">
        <v>376</v>
      </c>
      <c r="G375" t="s">
        <v>1482</v>
      </c>
      <c r="H375" t="s">
        <v>417</v>
      </c>
      <c r="I375" s="3">
        <f t="shared" si="5"/>
        <v>0</v>
      </c>
      <c r="J375" s="3">
        <f>D375/(VLOOKUP(B375,'2023 Team'!$B$2:$G$33,2,FALSE))</f>
        <v>2.0833333333333332E-2</v>
      </c>
      <c r="K375" t="s">
        <v>1516</v>
      </c>
      <c r="L375" t="s">
        <v>417</v>
      </c>
    </row>
    <row r="376" spans="1:12" x14ac:dyDescent="0.25">
      <c r="A376" t="s">
        <v>1748</v>
      </c>
      <c r="B376" t="s">
        <v>24</v>
      </c>
      <c r="C376" t="s">
        <v>153</v>
      </c>
      <c r="D376" s="4" t="s">
        <v>207</v>
      </c>
      <c r="E376" s="4" t="s">
        <v>229</v>
      </c>
      <c r="F376" s="4" t="s">
        <v>480</v>
      </c>
      <c r="G376" t="s">
        <v>723</v>
      </c>
      <c r="H376" t="s">
        <v>417</v>
      </c>
      <c r="I376" s="3">
        <f t="shared" si="5"/>
        <v>0</v>
      </c>
      <c r="J376" s="3">
        <f>D376/(VLOOKUP(B376,'2023 Team'!$B$2:$G$33,2,FALSE))</f>
        <v>1.1400651465798045E-2</v>
      </c>
      <c r="K376" t="s">
        <v>1488</v>
      </c>
      <c r="L376" t="s">
        <v>417</v>
      </c>
    </row>
    <row r="377" spans="1:12" x14ac:dyDescent="0.25">
      <c r="A377" t="s">
        <v>1681</v>
      </c>
      <c r="B377" t="s">
        <v>8</v>
      </c>
      <c r="C377" t="s">
        <v>159</v>
      </c>
      <c r="D377" s="4" t="s">
        <v>229</v>
      </c>
      <c r="E377" s="4" t="s">
        <v>229</v>
      </c>
      <c r="F377" s="4" t="s">
        <v>507</v>
      </c>
      <c r="G377" t="s">
        <v>539</v>
      </c>
      <c r="H377" t="s">
        <v>417</v>
      </c>
      <c r="I377" s="3">
        <f t="shared" ref="I377:I439" si="6">H377/E377</f>
        <v>0</v>
      </c>
      <c r="J377" s="3">
        <f>D377/(VLOOKUP(B377,'2023 Team'!$B$2:$G$33,2,FALSE))</f>
        <v>7.2072072072072073E-3</v>
      </c>
      <c r="K377" t="s">
        <v>1519</v>
      </c>
      <c r="L377" t="s">
        <v>417</v>
      </c>
    </row>
    <row r="378" spans="1:12" x14ac:dyDescent="0.25">
      <c r="A378" t="s">
        <v>1750</v>
      </c>
      <c r="B378" t="s">
        <v>66</v>
      </c>
      <c r="C378" t="s">
        <v>163</v>
      </c>
      <c r="D378" s="4" t="s">
        <v>270</v>
      </c>
      <c r="E378" s="4" t="s">
        <v>229</v>
      </c>
      <c r="F378" s="4" t="s">
        <v>477</v>
      </c>
      <c r="G378" t="s">
        <v>1212</v>
      </c>
      <c r="H378" t="s">
        <v>417</v>
      </c>
      <c r="I378" s="3">
        <f t="shared" si="6"/>
        <v>0</v>
      </c>
      <c r="J378" s="3">
        <f>D378/(VLOOKUP(B378,'2023 Team'!$B$2:$G$33,2,FALSE))</f>
        <v>1.5845070422535211E-2</v>
      </c>
      <c r="K378" t="s">
        <v>1255</v>
      </c>
      <c r="L378" t="s">
        <v>417</v>
      </c>
    </row>
    <row r="379" spans="1:12" x14ac:dyDescent="0.25">
      <c r="A379" t="s">
        <v>658</v>
      </c>
      <c r="B379" t="s">
        <v>18</v>
      </c>
      <c r="C379" t="s">
        <v>163</v>
      </c>
      <c r="D379" s="4" t="s">
        <v>207</v>
      </c>
      <c r="E379" s="4" t="s">
        <v>229</v>
      </c>
      <c r="F379" s="4" t="s">
        <v>524</v>
      </c>
      <c r="G379" t="s">
        <v>258</v>
      </c>
      <c r="H379" t="s">
        <v>417</v>
      </c>
      <c r="I379" s="3">
        <f t="shared" si="6"/>
        <v>0</v>
      </c>
      <c r="J379" s="3">
        <f>D379/(VLOOKUP(B379,'2023 Team'!$B$2:$G$33,2,FALSE))</f>
        <v>1.364522417153996E-2</v>
      </c>
      <c r="K379" t="s">
        <v>1488</v>
      </c>
      <c r="L379" t="s">
        <v>417</v>
      </c>
    </row>
    <row r="380" spans="1:12" x14ac:dyDescent="0.25">
      <c r="A380" t="s">
        <v>1820</v>
      </c>
      <c r="B380" t="s">
        <v>18</v>
      </c>
      <c r="C380" t="s">
        <v>153</v>
      </c>
      <c r="D380" s="4" t="s">
        <v>220</v>
      </c>
      <c r="E380" s="4" t="s">
        <v>229</v>
      </c>
      <c r="F380" s="4" t="s">
        <v>503</v>
      </c>
      <c r="G380" t="s">
        <v>691</v>
      </c>
      <c r="H380" t="s">
        <v>300</v>
      </c>
      <c r="I380" s="3">
        <f t="shared" si="6"/>
        <v>0.25</v>
      </c>
      <c r="J380" s="3">
        <f>D380/(VLOOKUP(B380,'2023 Team'!$B$2:$G$33,2,FALSE))</f>
        <v>9.7465886939571145E-3</v>
      </c>
      <c r="K380" t="s">
        <v>1329</v>
      </c>
      <c r="L380" t="s">
        <v>417</v>
      </c>
    </row>
    <row r="381" spans="1:12" x14ac:dyDescent="0.25">
      <c r="A381" t="s">
        <v>1830</v>
      </c>
      <c r="B381" t="s">
        <v>8</v>
      </c>
      <c r="C381" t="s">
        <v>163</v>
      </c>
      <c r="D381" s="4" t="s">
        <v>557</v>
      </c>
      <c r="E381" s="4" t="s">
        <v>229</v>
      </c>
      <c r="F381" s="4" t="s">
        <v>541</v>
      </c>
      <c r="G381" t="s">
        <v>251</v>
      </c>
      <c r="H381" t="s">
        <v>417</v>
      </c>
      <c r="I381" s="3">
        <f t="shared" si="6"/>
        <v>0</v>
      </c>
      <c r="J381" s="3">
        <f>D381/(VLOOKUP(B381,'2023 Team'!$B$2:$G$33,2,FALSE))</f>
        <v>2.7027027027027029E-2</v>
      </c>
      <c r="K381" t="s">
        <v>2069</v>
      </c>
      <c r="L381" t="s">
        <v>417</v>
      </c>
    </row>
    <row r="382" spans="1:12" x14ac:dyDescent="0.25">
      <c r="A382" t="s">
        <v>1697</v>
      </c>
      <c r="B382" t="s">
        <v>58</v>
      </c>
      <c r="C382" t="s">
        <v>159</v>
      </c>
      <c r="D382" s="4" t="s">
        <v>247</v>
      </c>
      <c r="E382" s="4" t="s">
        <v>229</v>
      </c>
      <c r="F382" s="4" t="s">
        <v>441</v>
      </c>
      <c r="G382" t="s">
        <v>1466</v>
      </c>
      <c r="H382" t="s">
        <v>417</v>
      </c>
      <c r="I382" s="3">
        <f t="shared" si="6"/>
        <v>0</v>
      </c>
      <c r="J382" s="3">
        <f>D382/(VLOOKUP(B382,'2023 Team'!$B$2:$G$33,2,FALSE))</f>
        <v>1.0657193605683837E-2</v>
      </c>
      <c r="K382" t="s">
        <v>1297</v>
      </c>
      <c r="L382" t="s">
        <v>300</v>
      </c>
    </row>
    <row r="383" spans="1:12" x14ac:dyDescent="0.25">
      <c r="A383" t="s">
        <v>951</v>
      </c>
      <c r="B383" t="s">
        <v>30</v>
      </c>
      <c r="C383" t="s">
        <v>153</v>
      </c>
      <c r="D383" s="4" t="s">
        <v>247</v>
      </c>
      <c r="E383" s="4" t="s">
        <v>229</v>
      </c>
      <c r="F383" s="4" t="s">
        <v>528</v>
      </c>
      <c r="G383" t="s">
        <v>492</v>
      </c>
      <c r="H383" t="s">
        <v>300</v>
      </c>
      <c r="I383" s="3">
        <f t="shared" si="6"/>
        <v>0.25</v>
      </c>
      <c r="J383" s="3">
        <f>D383/(VLOOKUP(B383,'2023 Team'!$B$2:$G$33,2,FALSE))</f>
        <v>1.0327022375215147E-2</v>
      </c>
      <c r="K383" t="s">
        <v>1297</v>
      </c>
      <c r="L383" t="s">
        <v>417</v>
      </c>
    </row>
    <row r="384" spans="1:12" x14ac:dyDescent="0.25">
      <c r="A384" t="s">
        <v>906</v>
      </c>
      <c r="B384" t="s">
        <v>44</v>
      </c>
      <c r="C384" t="s">
        <v>163</v>
      </c>
      <c r="D384" s="4" t="s">
        <v>207</v>
      </c>
      <c r="E384" s="4" t="s">
        <v>229</v>
      </c>
      <c r="F384" s="4" t="s">
        <v>503</v>
      </c>
      <c r="G384" t="s">
        <v>691</v>
      </c>
      <c r="H384" t="s">
        <v>417</v>
      </c>
      <c r="I384" s="3">
        <f t="shared" si="6"/>
        <v>0</v>
      </c>
      <c r="J384" s="3">
        <f>D384/(VLOOKUP(B384,'2023 Team'!$B$2:$G$33,2,FALSE))</f>
        <v>1.2006861063464836E-2</v>
      </c>
      <c r="K384" t="s">
        <v>1488</v>
      </c>
      <c r="L384" t="s">
        <v>314</v>
      </c>
    </row>
    <row r="385" spans="1:12" x14ac:dyDescent="0.25">
      <c r="A385" t="s">
        <v>327</v>
      </c>
      <c r="B385" t="s">
        <v>30</v>
      </c>
      <c r="C385" t="s">
        <v>159</v>
      </c>
      <c r="D385" s="4" t="s">
        <v>220</v>
      </c>
      <c r="E385" s="4" t="s">
        <v>229</v>
      </c>
      <c r="F385" s="4" t="s">
        <v>510</v>
      </c>
      <c r="G385" t="s">
        <v>400</v>
      </c>
      <c r="H385" t="s">
        <v>417</v>
      </c>
      <c r="I385" s="3">
        <f t="shared" si="6"/>
        <v>0</v>
      </c>
      <c r="J385" s="3">
        <f>D385/(VLOOKUP(B385,'2023 Team'!$B$2:$G$33,2,FALSE))</f>
        <v>8.6058519793459545E-3</v>
      </c>
      <c r="K385" t="s">
        <v>1329</v>
      </c>
      <c r="L385" t="s">
        <v>300</v>
      </c>
    </row>
    <row r="386" spans="1:12" x14ac:dyDescent="0.25">
      <c r="A386" t="s">
        <v>1773</v>
      </c>
      <c r="B386" t="s">
        <v>70</v>
      </c>
      <c r="C386" t="s">
        <v>159</v>
      </c>
      <c r="D386" s="4" t="s">
        <v>314</v>
      </c>
      <c r="E386" s="4" t="s">
        <v>314</v>
      </c>
      <c r="F386" s="4" t="s">
        <v>234</v>
      </c>
      <c r="G386" t="s">
        <v>239</v>
      </c>
      <c r="H386" t="s">
        <v>417</v>
      </c>
      <c r="I386" s="3">
        <f t="shared" si="6"/>
        <v>0</v>
      </c>
      <c r="J386" s="3">
        <f>D386/(VLOOKUP(B386,'2023 Team'!$B$2:$G$33,2,FALSE))</f>
        <v>4.7169811320754715E-3</v>
      </c>
      <c r="K386" t="s">
        <v>1519</v>
      </c>
      <c r="L386" t="s">
        <v>417</v>
      </c>
    </row>
    <row r="387" spans="1:12" x14ac:dyDescent="0.25">
      <c r="A387" t="s">
        <v>1736</v>
      </c>
      <c r="B387" t="s">
        <v>56</v>
      </c>
      <c r="C387" t="s">
        <v>613</v>
      </c>
      <c r="D387" s="4" t="s">
        <v>314</v>
      </c>
      <c r="E387" s="4" t="s">
        <v>314</v>
      </c>
      <c r="F387" s="4" t="s">
        <v>528</v>
      </c>
      <c r="G387" t="s">
        <v>648</v>
      </c>
      <c r="H387" t="s">
        <v>417</v>
      </c>
      <c r="I387" s="3">
        <f t="shared" si="6"/>
        <v>0</v>
      </c>
      <c r="J387" s="3">
        <f>D387/(VLOOKUP(B387,'2023 Team'!$B$2:$G$33,2,FALSE))</f>
        <v>4.9916805324459234E-3</v>
      </c>
      <c r="K387" t="s">
        <v>1519</v>
      </c>
      <c r="L387" t="s">
        <v>417</v>
      </c>
    </row>
    <row r="388" spans="1:12" x14ac:dyDescent="0.25">
      <c r="A388" t="s">
        <v>1712</v>
      </c>
      <c r="B388" t="s">
        <v>18</v>
      </c>
      <c r="C388" t="s">
        <v>613</v>
      </c>
      <c r="D388" s="4" t="s">
        <v>247</v>
      </c>
      <c r="E388" s="4" t="s">
        <v>314</v>
      </c>
      <c r="F388" s="4" t="s">
        <v>289</v>
      </c>
      <c r="G388" t="s">
        <v>601</v>
      </c>
      <c r="H388" t="s">
        <v>417</v>
      </c>
      <c r="I388" s="3">
        <f t="shared" si="6"/>
        <v>0</v>
      </c>
      <c r="J388" s="3">
        <f>D388/(VLOOKUP(B388,'2023 Team'!$B$2:$G$33,2,FALSE))</f>
        <v>1.1695906432748537E-2</v>
      </c>
      <c r="K388" t="s">
        <v>1356</v>
      </c>
      <c r="L388" t="s">
        <v>417</v>
      </c>
    </row>
    <row r="389" spans="1:12" x14ac:dyDescent="0.25">
      <c r="A389" t="s">
        <v>1777</v>
      </c>
      <c r="B389" t="s">
        <v>60</v>
      </c>
      <c r="C389" t="s">
        <v>163</v>
      </c>
      <c r="D389" s="4" t="s">
        <v>229</v>
      </c>
      <c r="E389" s="4" t="s">
        <v>314</v>
      </c>
      <c r="F389" s="4" t="s">
        <v>535</v>
      </c>
      <c r="G389" t="s">
        <v>226</v>
      </c>
      <c r="H389" t="s">
        <v>417</v>
      </c>
      <c r="I389" s="3">
        <f t="shared" si="6"/>
        <v>0</v>
      </c>
      <c r="J389" s="3">
        <f>D389/(VLOOKUP(B389,'2023 Team'!$B$2:$G$33,2,FALSE))</f>
        <v>7.9051383399209481E-3</v>
      </c>
      <c r="K389" t="s">
        <v>1321</v>
      </c>
      <c r="L389" t="s">
        <v>417</v>
      </c>
    </row>
    <row r="390" spans="1:12" x14ac:dyDescent="0.25">
      <c r="A390" t="s">
        <v>1714</v>
      </c>
      <c r="B390" t="s">
        <v>26</v>
      </c>
      <c r="C390" t="s">
        <v>613</v>
      </c>
      <c r="D390" s="4" t="s">
        <v>314</v>
      </c>
      <c r="E390" s="4" t="s">
        <v>314</v>
      </c>
      <c r="F390" s="4" t="s">
        <v>225</v>
      </c>
      <c r="G390" t="s">
        <v>423</v>
      </c>
      <c r="H390" t="s">
        <v>417</v>
      </c>
      <c r="I390" s="3">
        <f t="shared" si="6"/>
        <v>0</v>
      </c>
      <c r="J390" s="3">
        <f>D390/(VLOOKUP(B390,'2023 Team'!$B$2:$G$33,2,FALSE))</f>
        <v>5.8479532163742687E-3</v>
      </c>
      <c r="K390" t="s">
        <v>1519</v>
      </c>
      <c r="L390" t="s">
        <v>417</v>
      </c>
    </row>
    <row r="391" spans="1:12" x14ac:dyDescent="0.25">
      <c r="A391" t="s">
        <v>1785</v>
      </c>
      <c r="B391" t="s">
        <v>62</v>
      </c>
      <c r="C391" t="s">
        <v>163</v>
      </c>
      <c r="D391" s="4" t="s">
        <v>247</v>
      </c>
      <c r="E391" s="4" t="s">
        <v>314</v>
      </c>
      <c r="F391" s="4" t="s">
        <v>497</v>
      </c>
      <c r="G391" t="s">
        <v>1759</v>
      </c>
      <c r="H391" t="s">
        <v>417</v>
      </c>
      <c r="I391" s="3">
        <f t="shared" si="6"/>
        <v>0</v>
      </c>
      <c r="J391" s="3">
        <f>D391/(VLOOKUP(B391,'2023 Team'!$B$2:$G$33,2,FALSE))</f>
        <v>1.2219959266802444E-2</v>
      </c>
      <c r="K391" t="s">
        <v>1356</v>
      </c>
      <c r="L391" t="s">
        <v>417</v>
      </c>
    </row>
    <row r="392" spans="1:12" x14ac:dyDescent="0.25">
      <c r="A392" t="s">
        <v>1786</v>
      </c>
      <c r="B392" t="s">
        <v>36</v>
      </c>
      <c r="C392" t="s">
        <v>163</v>
      </c>
      <c r="D392" s="4" t="s">
        <v>229</v>
      </c>
      <c r="E392" s="4" t="s">
        <v>314</v>
      </c>
      <c r="F392" s="4" t="s">
        <v>480</v>
      </c>
      <c r="G392" t="s">
        <v>1268</v>
      </c>
      <c r="H392" t="s">
        <v>417</v>
      </c>
      <c r="I392" s="3">
        <f t="shared" si="6"/>
        <v>0</v>
      </c>
      <c r="J392" s="3">
        <f>D392/(VLOOKUP(B392,'2023 Team'!$B$2:$G$33,2,FALSE))</f>
        <v>6.4516129032258064E-3</v>
      </c>
      <c r="K392" t="s">
        <v>1321</v>
      </c>
      <c r="L392" t="s">
        <v>417</v>
      </c>
    </row>
    <row r="393" spans="1:12" x14ac:dyDescent="0.25">
      <c r="A393" t="s">
        <v>1744</v>
      </c>
      <c r="B393" t="s">
        <v>54</v>
      </c>
      <c r="C393" t="s">
        <v>159</v>
      </c>
      <c r="D393" s="4" t="s">
        <v>314</v>
      </c>
      <c r="E393" s="4" t="s">
        <v>314</v>
      </c>
      <c r="F393" s="4" t="s">
        <v>198</v>
      </c>
      <c r="G393" t="s">
        <v>235</v>
      </c>
      <c r="H393" t="s">
        <v>417</v>
      </c>
      <c r="I393" s="3">
        <f t="shared" si="6"/>
        <v>0</v>
      </c>
      <c r="J393" s="3">
        <f>D393/(VLOOKUP(B393,'2023 Team'!$B$2:$G$33,2,FALSE))</f>
        <v>5.7915057915057912E-3</v>
      </c>
      <c r="K393" t="s">
        <v>1519</v>
      </c>
      <c r="L393" t="s">
        <v>417</v>
      </c>
    </row>
    <row r="394" spans="1:12" x14ac:dyDescent="0.25">
      <c r="A394" t="s">
        <v>733</v>
      </c>
      <c r="B394" t="s">
        <v>26</v>
      </c>
      <c r="C394" t="s">
        <v>153</v>
      </c>
      <c r="D394" s="4" t="s">
        <v>229</v>
      </c>
      <c r="E394" s="4" t="s">
        <v>314</v>
      </c>
      <c r="F394" s="4" t="s">
        <v>500</v>
      </c>
      <c r="G394" t="s">
        <v>1383</v>
      </c>
      <c r="H394" t="s">
        <v>417</v>
      </c>
      <c r="I394" s="3">
        <f t="shared" si="6"/>
        <v>0</v>
      </c>
      <c r="J394" s="3">
        <f>D394/(VLOOKUP(B394,'2023 Team'!$B$2:$G$33,2,FALSE))</f>
        <v>7.7972709551656916E-3</v>
      </c>
      <c r="K394" t="s">
        <v>1321</v>
      </c>
      <c r="L394" t="s">
        <v>417</v>
      </c>
    </row>
    <row r="395" spans="1:12" x14ac:dyDescent="0.25">
      <c r="A395" t="s">
        <v>1688</v>
      </c>
      <c r="B395" t="s">
        <v>12</v>
      </c>
      <c r="C395" t="s">
        <v>159</v>
      </c>
      <c r="D395" s="4" t="s">
        <v>314</v>
      </c>
      <c r="E395" s="4" t="s">
        <v>314</v>
      </c>
      <c r="F395" s="4" t="s">
        <v>459</v>
      </c>
      <c r="G395" t="s">
        <v>1263</v>
      </c>
      <c r="H395" t="s">
        <v>417</v>
      </c>
      <c r="I395" s="3">
        <f t="shared" si="6"/>
        <v>0</v>
      </c>
      <c r="J395" s="3">
        <f>D395/(VLOOKUP(B395,'2023 Team'!$B$2:$G$33,2,FALSE))</f>
        <v>6.0728744939271256E-3</v>
      </c>
      <c r="K395" t="s">
        <v>1519</v>
      </c>
      <c r="L395" t="s">
        <v>300</v>
      </c>
    </row>
    <row r="396" spans="1:12" x14ac:dyDescent="0.25">
      <c r="A396" t="s">
        <v>1700</v>
      </c>
      <c r="B396" t="s">
        <v>50</v>
      </c>
      <c r="C396" t="s">
        <v>159</v>
      </c>
      <c r="D396" s="4" t="s">
        <v>314</v>
      </c>
      <c r="E396" s="4" t="s">
        <v>314</v>
      </c>
      <c r="F396" s="4" t="s">
        <v>413</v>
      </c>
      <c r="G396" t="s">
        <v>2041</v>
      </c>
      <c r="H396" t="s">
        <v>417</v>
      </c>
      <c r="I396" s="3">
        <f t="shared" si="6"/>
        <v>0</v>
      </c>
      <c r="J396" s="3">
        <f>D396/(VLOOKUP(B396,'2023 Team'!$B$2:$G$33,2,FALSE))</f>
        <v>5.3859964093357273E-3</v>
      </c>
      <c r="K396" t="s">
        <v>1519</v>
      </c>
      <c r="L396" t="s">
        <v>417</v>
      </c>
    </row>
    <row r="397" spans="1:12" x14ac:dyDescent="0.25">
      <c r="A397" t="s">
        <v>566</v>
      </c>
      <c r="B397" t="s">
        <v>24</v>
      </c>
      <c r="C397" t="s">
        <v>159</v>
      </c>
      <c r="D397" s="4" t="s">
        <v>229</v>
      </c>
      <c r="E397" s="4" t="s">
        <v>314</v>
      </c>
      <c r="F397" s="4" t="s">
        <v>202</v>
      </c>
      <c r="G397" t="s">
        <v>389</v>
      </c>
      <c r="H397" t="s">
        <v>417</v>
      </c>
      <c r="I397" s="3">
        <f t="shared" si="6"/>
        <v>0</v>
      </c>
      <c r="J397" s="3">
        <f>D397/(VLOOKUP(B397,'2023 Team'!$B$2:$G$33,2,FALSE))</f>
        <v>6.5146579804560263E-3</v>
      </c>
      <c r="K397" t="s">
        <v>1321</v>
      </c>
      <c r="L397" t="s">
        <v>417</v>
      </c>
    </row>
    <row r="398" spans="1:12" x14ac:dyDescent="0.25">
      <c r="A398" t="s">
        <v>294</v>
      </c>
      <c r="B398" t="s">
        <v>62</v>
      </c>
      <c r="C398" t="s">
        <v>159</v>
      </c>
      <c r="D398" s="4" t="s">
        <v>229</v>
      </c>
      <c r="E398" s="4" t="s">
        <v>314</v>
      </c>
      <c r="F398" s="4" t="s">
        <v>493</v>
      </c>
      <c r="G398" t="s">
        <v>1533</v>
      </c>
      <c r="H398" t="s">
        <v>417</v>
      </c>
      <c r="I398" s="3">
        <f t="shared" si="6"/>
        <v>0</v>
      </c>
      <c r="J398" s="3">
        <f>D398/(VLOOKUP(B398,'2023 Team'!$B$2:$G$33,2,FALSE))</f>
        <v>8.1466395112016286E-3</v>
      </c>
      <c r="K398" t="s">
        <v>1321</v>
      </c>
      <c r="L398" t="s">
        <v>417</v>
      </c>
    </row>
    <row r="399" spans="1:12" x14ac:dyDescent="0.25">
      <c r="A399" t="s">
        <v>1825</v>
      </c>
      <c r="B399" t="s">
        <v>34</v>
      </c>
      <c r="C399" t="s">
        <v>163</v>
      </c>
      <c r="D399" s="4" t="s">
        <v>225</v>
      </c>
      <c r="E399" s="4" t="s">
        <v>314</v>
      </c>
      <c r="F399" s="4" t="s">
        <v>1244</v>
      </c>
      <c r="G399" t="s">
        <v>2070</v>
      </c>
      <c r="H399" t="s">
        <v>300</v>
      </c>
      <c r="I399" s="3">
        <f t="shared" si="6"/>
        <v>0.33333333333333331</v>
      </c>
      <c r="J399" s="3">
        <f>D399/(VLOOKUP(B399,'2023 Team'!$B$2:$G$33,2,FALSE))</f>
        <v>1.3937282229965157E-2</v>
      </c>
      <c r="K399" t="s">
        <v>2071</v>
      </c>
      <c r="L399" t="s">
        <v>417</v>
      </c>
    </row>
    <row r="400" spans="1:12" x14ac:dyDescent="0.25">
      <c r="A400" t="s">
        <v>701</v>
      </c>
      <c r="B400" t="s">
        <v>48</v>
      </c>
      <c r="C400" t="s">
        <v>163</v>
      </c>
      <c r="D400" s="4" t="s">
        <v>247</v>
      </c>
      <c r="E400" s="4" t="s">
        <v>314</v>
      </c>
      <c r="F400" s="4" t="s">
        <v>503</v>
      </c>
      <c r="G400" t="s">
        <v>1233</v>
      </c>
      <c r="H400" t="s">
        <v>417</v>
      </c>
      <c r="I400" s="3">
        <f t="shared" si="6"/>
        <v>0</v>
      </c>
      <c r="J400" s="3">
        <f>D400/(VLOOKUP(B400,'2023 Team'!$B$2:$G$33,2,FALSE))</f>
        <v>9.5087163232963554E-3</v>
      </c>
      <c r="K400" t="s">
        <v>1356</v>
      </c>
      <c r="L400" t="s">
        <v>417</v>
      </c>
    </row>
    <row r="401" spans="1:12" x14ac:dyDescent="0.25">
      <c r="A401" t="s">
        <v>1696</v>
      </c>
      <c r="B401" t="s">
        <v>38</v>
      </c>
      <c r="C401" t="s">
        <v>159</v>
      </c>
      <c r="D401" s="4" t="s">
        <v>220</v>
      </c>
      <c r="E401" s="4" t="s">
        <v>314</v>
      </c>
      <c r="F401" s="4" t="s">
        <v>485</v>
      </c>
      <c r="G401" t="s">
        <v>779</v>
      </c>
      <c r="H401" t="s">
        <v>417</v>
      </c>
      <c r="I401" s="3">
        <f t="shared" si="6"/>
        <v>0</v>
      </c>
      <c r="J401" s="3">
        <f>D401/(VLOOKUP(B401,'2023 Team'!$B$2:$G$33,2,FALSE))</f>
        <v>7.874015748031496E-3</v>
      </c>
      <c r="K401" t="s">
        <v>1290</v>
      </c>
      <c r="L401" t="s">
        <v>417</v>
      </c>
    </row>
    <row r="402" spans="1:12" x14ac:dyDescent="0.25">
      <c r="A402" t="s">
        <v>1011</v>
      </c>
      <c r="B402" t="s">
        <v>32</v>
      </c>
      <c r="C402" t="s">
        <v>153</v>
      </c>
      <c r="D402" s="4" t="s">
        <v>314</v>
      </c>
      <c r="E402" s="4" t="s">
        <v>314</v>
      </c>
      <c r="F402" s="4" t="s">
        <v>198</v>
      </c>
      <c r="G402" t="s">
        <v>235</v>
      </c>
      <c r="H402" t="s">
        <v>417</v>
      </c>
      <c r="I402" s="3">
        <f t="shared" si="6"/>
        <v>0</v>
      </c>
      <c r="J402" s="3">
        <f>D402/(VLOOKUP(B402,'2023 Team'!$B$2:$G$33,2,FALSE))</f>
        <v>5.0675675675675678E-3</v>
      </c>
      <c r="K402" t="s">
        <v>1519</v>
      </c>
      <c r="L402" t="s">
        <v>417</v>
      </c>
    </row>
    <row r="403" spans="1:12" x14ac:dyDescent="0.25">
      <c r="A403" t="s">
        <v>1682</v>
      </c>
      <c r="B403" t="s">
        <v>34</v>
      </c>
      <c r="C403" t="s">
        <v>159</v>
      </c>
      <c r="D403" s="4" t="s">
        <v>247</v>
      </c>
      <c r="E403" s="4" t="s">
        <v>314</v>
      </c>
      <c r="F403" s="4" t="s">
        <v>234</v>
      </c>
      <c r="G403" t="s">
        <v>239</v>
      </c>
      <c r="H403" t="s">
        <v>417</v>
      </c>
      <c r="I403" s="3">
        <f t="shared" si="6"/>
        <v>0</v>
      </c>
      <c r="J403" s="3">
        <f>D403/(VLOOKUP(B403,'2023 Team'!$B$2:$G$33,2,FALSE))</f>
        <v>1.0452961672473868E-2</v>
      </c>
      <c r="K403" t="s">
        <v>1356</v>
      </c>
      <c r="L403" t="s">
        <v>417</v>
      </c>
    </row>
    <row r="404" spans="1:12" x14ac:dyDescent="0.25">
      <c r="A404" t="s">
        <v>798</v>
      </c>
      <c r="B404" t="s">
        <v>32</v>
      </c>
      <c r="C404" t="s">
        <v>163</v>
      </c>
      <c r="D404" s="4" t="s">
        <v>314</v>
      </c>
      <c r="E404" s="4" t="s">
        <v>314</v>
      </c>
      <c r="F404" s="4" t="s">
        <v>500</v>
      </c>
      <c r="G404" t="s">
        <v>1383</v>
      </c>
      <c r="H404" t="s">
        <v>417</v>
      </c>
      <c r="I404" s="3">
        <f t="shared" si="6"/>
        <v>0</v>
      </c>
      <c r="J404" s="3">
        <f>D404/(VLOOKUP(B404,'2023 Team'!$B$2:$G$33,2,FALSE))</f>
        <v>5.0675675675675678E-3</v>
      </c>
      <c r="K404" t="s">
        <v>1519</v>
      </c>
      <c r="L404" t="s">
        <v>417</v>
      </c>
    </row>
    <row r="405" spans="1:12" x14ac:dyDescent="0.25">
      <c r="A405" t="s">
        <v>1845</v>
      </c>
      <c r="B405" t="s">
        <v>10</v>
      </c>
      <c r="C405" t="s">
        <v>613</v>
      </c>
      <c r="D405" s="4" t="s">
        <v>314</v>
      </c>
      <c r="E405" s="4" t="s">
        <v>314</v>
      </c>
      <c r="F405" s="4" t="s">
        <v>485</v>
      </c>
      <c r="G405" t="s">
        <v>779</v>
      </c>
      <c r="H405" t="s">
        <v>417</v>
      </c>
      <c r="I405" s="3">
        <f t="shared" si="6"/>
        <v>0</v>
      </c>
      <c r="J405" s="3">
        <f>D405/(VLOOKUP(B405,'2023 Team'!$B$2:$G$33,2,FALSE))</f>
        <v>5.6603773584905656E-3</v>
      </c>
      <c r="K405" t="s">
        <v>1519</v>
      </c>
      <c r="L405" t="s">
        <v>417</v>
      </c>
    </row>
    <row r="406" spans="1:12" x14ac:dyDescent="0.25">
      <c r="A406" t="s">
        <v>811</v>
      </c>
      <c r="B406" t="s">
        <v>62</v>
      </c>
      <c r="C406" t="s">
        <v>153</v>
      </c>
      <c r="D406" s="4" t="s">
        <v>314</v>
      </c>
      <c r="E406" s="4" t="s">
        <v>314</v>
      </c>
      <c r="F406" s="4" t="s">
        <v>475</v>
      </c>
      <c r="G406" t="s">
        <v>1331</v>
      </c>
      <c r="H406" t="s">
        <v>417</v>
      </c>
      <c r="I406" s="3">
        <f t="shared" si="6"/>
        <v>0</v>
      </c>
      <c r="J406" s="3">
        <f>D406/(VLOOKUP(B406,'2023 Team'!$B$2:$G$33,2,FALSE))</f>
        <v>6.1099796334012219E-3</v>
      </c>
      <c r="K406" t="s">
        <v>1519</v>
      </c>
      <c r="L406" t="s">
        <v>417</v>
      </c>
    </row>
    <row r="407" spans="1:12" x14ac:dyDescent="0.25">
      <c r="A407" t="s">
        <v>963</v>
      </c>
      <c r="B407" t="s">
        <v>50</v>
      </c>
      <c r="C407" t="s">
        <v>163</v>
      </c>
      <c r="D407" s="4" t="s">
        <v>207</v>
      </c>
      <c r="E407" s="4" t="s">
        <v>289</v>
      </c>
      <c r="F407" s="4" t="s">
        <v>541</v>
      </c>
      <c r="G407" t="s">
        <v>723</v>
      </c>
      <c r="H407" t="s">
        <v>417</v>
      </c>
      <c r="I407" s="3">
        <f t="shared" si="6"/>
        <v>0</v>
      </c>
      <c r="J407" s="3">
        <f>D407/(VLOOKUP(B407,'2023 Team'!$B$2:$G$33,2,FALSE))</f>
        <v>1.2567324955116697E-2</v>
      </c>
      <c r="K407" t="s">
        <v>2062</v>
      </c>
      <c r="L407" t="s">
        <v>417</v>
      </c>
    </row>
    <row r="408" spans="1:12" x14ac:dyDescent="0.25">
      <c r="A408" t="s">
        <v>330</v>
      </c>
      <c r="B408" t="s">
        <v>12</v>
      </c>
      <c r="C408" t="s">
        <v>159</v>
      </c>
      <c r="D408" s="4" t="s">
        <v>314</v>
      </c>
      <c r="E408" s="4" t="s">
        <v>289</v>
      </c>
      <c r="F408" s="4" t="s">
        <v>557</v>
      </c>
      <c r="G408" t="s">
        <v>726</v>
      </c>
      <c r="H408" t="s">
        <v>417</v>
      </c>
      <c r="I408" s="3">
        <f t="shared" si="6"/>
        <v>0</v>
      </c>
      <c r="J408" s="3">
        <f>D408/(VLOOKUP(B408,'2023 Team'!$B$2:$G$33,2,FALSE))</f>
        <v>6.0728744939271256E-3</v>
      </c>
      <c r="K408" t="s">
        <v>1297</v>
      </c>
      <c r="L408" t="s">
        <v>417</v>
      </c>
    </row>
    <row r="409" spans="1:12" x14ac:dyDescent="0.25">
      <c r="A409" t="s">
        <v>1724</v>
      </c>
      <c r="B409" t="s">
        <v>42</v>
      </c>
      <c r="C409" t="s">
        <v>159</v>
      </c>
      <c r="D409" s="4" t="s">
        <v>289</v>
      </c>
      <c r="E409" s="4" t="s">
        <v>289</v>
      </c>
      <c r="F409" s="4" t="s">
        <v>234</v>
      </c>
      <c r="G409" t="s">
        <v>539</v>
      </c>
      <c r="H409" t="s">
        <v>417</v>
      </c>
      <c r="I409" s="3">
        <f t="shared" si="6"/>
        <v>0</v>
      </c>
      <c r="J409" s="3">
        <f>D409/(VLOOKUP(B409,'2023 Team'!$B$2:$G$33,2,FALSE))</f>
        <v>3.1645569620253164E-3</v>
      </c>
      <c r="K409" t="s">
        <v>1519</v>
      </c>
      <c r="L409" t="s">
        <v>417</v>
      </c>
    </row>
    <row r="410" spans="1:12" x14ac:dyDescent="0.25">
      <c r="A410" t="s">
        <v>1741</v>
      </c>
      <c r="B410" t="s">
        <v>12</v>
      </c>
      <c r="C410" t="s">
        <v>159</v>
      </c>
      <c r="D410" s="4" t="s">
        <v>314</v>
      </c>
      <c r="E410" s="4" t="s">
        <v>289</v>
      </c>
      <c r="F410" s="4" t="s">
        <v>493</v>
      </c>
      <c r="G410" t="s">
        <v>1536</v>
      </c>
      <c r="H410" t="s">
        <v>417</v>
      </c>
      <c r="I410" s="3">
        <f t="shared" si="6"/>
        <v>0</v>
      </c>
      <c r="J410" s="3">
        <f>D410/(VLOOKUP(B410,'2023 Team'!$B$2:$G$33,2,FALSE))</f>
        <v>6.0728744939271256E-3</v>
      </c>
      <c r="K410" t="s">
        <v>1297</v>
      </c>
      <c r="L410" t="s">
        <v>300</v>
      </c>
    </row>
    <row r="411" spans="1:12" x14ac:dyDescent="0.25">
      <c r="A411" t="s">
        <v>1741</v>
      </c>
      <c r="B411" t="s">
        <v>30</v>
      </c>
      <c r="C411" t="s">
        <v>159</v>
      </c>
      <c r="D411" s="4" t="s">
        <v>417</v>
      </c>
      <c r="E411" s="4" t="s">
        <v>417</v>
      </c>
      <c r="F411" s="4" t="s">
        <v>417</v>
      </c>
      <c r="H411" t="s">
        <v>417</v>
      </c>
      <c r="I411" s="3" t="e">
        <f t="shared" si="6"/>
        <v>#DIV/0!</v>
      </c>
      <c r="J411" s="3">
        <f>D411/(VLOOKUP(B411,'2023 Team'!$B$2:$G$33,2,FALSE))</f>
        <v>0</v>
      </c>
      <c r="L411" t="s">
        <v>417</v>
      </c>
    </row>
    <row r="412" spans="1:12" x14ac:dyDescent="0.25">
      <c r="A412" t="s">
        <v>1692</v>
      </c>
      <c r="B412" t="s">
        <v>14</v>
      </c>
      <c r="C412" t="s">
        <v>159</v>
      </c>
      <c r="D412" s="4" t="s">
        <v>289</v>
      </c>
      <c r="E412" s="4" t="s">
        <v>289</v>
      </c>
      <c r="F412" s="4" t="s">
        <v>193</v>
      </c>
      <c r="G412" t="s">
        <v>531</v>
      </c>
      <c r="H412" t="s">
        <v>417</v>
      </c>
      <c r="I412" s="3">
        <f t="shared" si="6"/>
        <v>0</v>
      </c>
      <c r="J412" s="3">
        <f>D412/(VLOOKUP(B412,'2023 Team'!$B$2:$G$33,2,FALSE))</f>
        <v>3.4542314335060447E-3</v>
      </c>
      <c r="K412" t="s">
        <v>1519</v>
      </c>
      <c r="L412" t="s">
        <v>417</v>
      </c>
    </row>
    <row r="413" spans="1:12" x14ac:dyDescent="0.25">
      <c r="A413" t="s">
        <v>1808</v>
      </c>
      <c r="B413" t="s">
        <v>48</v>
      </c>
      <c r="C413" t="s">
        <v>163</v>
      </c>
      <c r="D413" s="4" t="s">
        <v>229</v>
      </c>
      <c r="E413" s="4" t="s">
        <v>289</v>
      </c>
      <c r="F413" s="4" t="s">
        <v>270</v>
      </c>
      <c r="G413" t="s">
        <v>255</v>
      </c>
      <c r="H413" t="s">
        <v>417</v>
      </c>
      <c r="I413" s="3">
        <f t="shared" si="6"/>
        <v>0</v>
      </c>
      <c r="J413" s="3">
        <f>D413/(VLOOKUP(B413,'2023 Team'!$B$2:$G$33,2,FALSE))</f>
        <v>6.3391442155309036E-3</v>
      </c>
      <c r="K413" t="s">
        <v>1356</v>
      </c>
      <c r="L413" t="s">
        <v>417</v>
      </c>
    </row>
    <row r="414" spans="1:12" x14ac:dyDescent="0.25">
      <c r="A414" t="s">
        <v>977</v>
      </c>
      <c r="B414" t="s">
        <v>44</v>
      </c>
      <c r="C414" t="s">
        <v>163</v>
      </c>
      <c r="D414" s="4" t="s">
        <v>314</v>
      </c>
      <c r="E414" s="4" t="s">
        <v>289</v>
      </c>
      <c r="F414" s="4" t="s">
        <v>225</v>
      </c>
      <c r="G414" t="s">
        <v>235</v>
      </c>
      <c r="H414" t="s">
        <v>300</v>
      </c>
      <c r="I414" s="3">
        <f t="shared" si="6"/>
        <v>0.5</v>
      </c>
      <c r="J414" s="3">
        <f>D414/(VLOOKUP(B414,'2023 Team'!$B$2:$G$33,2,FALSE))</f>
        <v>5.1457975986277877E-3</v>
      </c>
      <c r="K414" t="s">
        <v>1297</v>
      </c>
      <c r="L414" t="s">
        <v>417</v>
      </c>
    </row>
    <row r="415" spans="1:12" x14ac:dyDescent="0.25">
      <c r="A415" t="s">
        <v>974</v>
      </c>
      <c r="B415" t="s">
        <v>26</v>
      </c>
      <c r="C415" t="s">
        <v>153</v>
      </c>
      <c r="D415" s="4" t="s">
        <v>229</v>
      </c>
      <c r="E415" s="4" t="s">
        <v>289</v>
      </c>
      <c r="F415" s="4" t="s">
        <v>193</v>
      </c>
      <c r="G415" t="s">
        <v>531</v>
      </c>
      <c r="H415" t="s">
        <v>417</v>
      </c>
      <c r="I415" s="3">
        <f t="shared" si="6"/>
        <v>0</v>
      </c>
      <c r="J415" s="3">
        <f>D415/(VLOOKUP(B415,'2023 Team'!$B$2:$G$33,2,FALSE))</f>
        <v>7.7972709551656916E-3</v>
      </c>
      <c r="K415" t="s">
        <v>1356</v>
      </c>
      <c r="L415" t="s">
        <v>417</v>
      </c>
    </row>
    <row r="416" spans="1:12" x14ac:dyDescent="0.25">
      <c r="A416" t="s">
        <v>1822</v>
      </c>
      <c r="B416" t="s">
        <v>60</v>
      </c>
      <c r="C416" t="s">
        <v>159</v>
      </c>
      <c r="D416" s="4" t="s">
        <v>289</v>
      </c>
      <c r="E416" s="4" t="s">
        <v>289</v>
      </c>
      <c r="F416" s="4" t="s">
        <v>266</v>
      </c>
      <c r="G416" t="s">
        <v>445</v>
      </c>
      <c r="H416" t="s">
        <v>417</v>
      </c>
      <c r="I416" s="3">
        <f t="shared" si="6"/>
        <v>0</v>
      </c>
      <c r="J416" s="3">
        <f>D416/(VLOOKUP(B416,'2023 Team'!$B$2:$G$33,2,FALSE))</f>
        <v>3.952569169960474E-3</v>
      </c>
      <c r="K416" t="s">
        <v>1519</v>
      </c>
      <c r="L416" t="s">
        <v>417</v>
      </c>
    </row>
    <row r="417" spans="1:12" x14ac:dyDescent="0.25">
      <c r="A417" t="s">
        <v>832</v>
      </c>
      <c r="B417" t="s">
        <v>28</v>
      </c>
      <c r="C417" t="s">
        <v>153</v>
      </c>
      <c r="D417" s="4" t="s">
        <v>289</v>
      </c>
      <c r="E417" s="4" t="s">
        <v>289</v>
      </c>
      <c r="F417" s="4" t="s">
        <v>496</v>
      </c>
      <c r="G417" t="s">
        <v>696</v>
      </c>
      <c r="H417" t="s">
        <v>417</v>
      </c>
      <c r="I417" s="3">
        <f t="shared" si="6"/>
        <v>0</v>
      </c>
      <c r="J417" s="3">
        <f>D417/(VLOOKUP(B417,'2023 Team'!$B$2:$G$33,2,FALSE))</f>
        <v>3.3003300330033004E-3</v>
      </c>
      <c r="K417" t="s">
        <v>1519</v>
      </c>
      <c r="L417" t="s">
        <v>417</v>
      </c>
    </row>
    <row r="418" spans="1:12" x14ac:dyDescent="0.25">
      <c r="A418" t="s">
        <v>902</v>
      </c>
      <c r="B418" t="s">
        <v>14</v>
      </c>
      <c r="C418" t="s">
        <v>153</v>
      </c>
      <c r="D418" s="4" t="s">
        <v>314</v>
      </c>
      <c r="E418" s="4" t="s">
        <v>289</v>
      </c>
      <c r="F418" s="4" t="s">
        <v>507</v>
      </c>
      <c r="G418" t="s">
        <v>1466</v>
      </c>
      <c r="H418" t="s">
        <v>300</v>
      </c>
      <c r="I418" s="3">
        <f t="shared" si="6"/>
        <v>0.5</v>
      </c>
      <c r="J418" s="3">
        <f>D418/(VLOOKUP(B418,'2023 Team'!$B$2:$G$33,2,FALSE))</f>
        <v>5.1813471502590676E-3</v>
      </c>
      <c r="K418" t="s">
        <v>1297</v>
      </c>
      <c r="L418" t="s">
        <v>417</v>
      </c>
    </row>
    <row r="419" spans="1:12" x14ac:dyDescent="0.25">
      <c r="A419" t="s">
        <v>595</v>
      </c>
      <c r="B419" t="s">
        <v>32</v>
      </c>
      <c r="C419" t="s">
        <v>159</v>
      </c>
      <c r="D419" s="4" t="s">
        <v>207</v>
      </c>
      <c r="E419" s="4" t="s">
        <v>289</v>
      </c>
      <c r="F419" s="4" t="s">
        <v>202</v>
      </c>
      <c r="G419" t="s">
        <v>732</v>
      </c>
      <c r="H419" t="s">
        <v>417</v>
      </c>
      <c r="I419" s="3">
        <f t="shared" si="6"/>
        <v>0</v>
      </c>
      <c r="J419" s="3">
        <f>D419/(VLOOKUP(B419,'2023 Team'!$B$2:$G$33,2,FALSE))</f>
        <v>1.1824324324324325E-2</v>
      </c>
      <c r="K419" t="s">
        <v>2062</v>
      </c>
      <c r="L419" t="s">
        <v>417</v>
      </c>
    </row>
    <row r="420" spans="1:12" x14ac:dyDescent="0.25">
      <c r="A420" t="s">
        <v>612</v>
      </c>
      <c r="B420" t="s">
        <v>52</v>
      </c>
      <c r="C420" t="s">
        <v>613</v>
      </c>
      <c r="D420" s="4" t="s">
        <v>314</v>
      </c>
      <c r="E420" s="4" t="s">
        <v>289</v>
      </c>
      <c r="F420" s="4" t="s">
        <v>198</v>
      </c>
      <c r="G420" t="s">
        <v>389</v>
      </c>
      <c r="H420" t="s">
        <v>417</v>
      </c>
      <c r="I420" s="3">
        <f t="shared" si="6"/>
        <v>0</v>
      </c>
      <c r="J420" s="3">
        <f>D420/(VLOOKUP(B420,'2023 Team'!$B$2:$G$33,2,FALSE))</f>
        <v>4.9504950495049506E-3</v>
      </c>
      <c r="K420" t="s">
        <v>1297</v>
      </c>
      <c r="L420" t="s">
        <v>300</v>
      </c>
    </row>
    <row r="421" spans="1:12" x14ac:dyDescent="0.25">
      <c r="A421" t="s">
        <v>1836</v>
      </c>
      <c r="B421" t="s">
        <v>32</v>
      </c>
      <c r="C421" t="s">
        <v>153</v>
      </c>
      <c r="D421" s="4" t="s">
        <v>314</v>
      </c>
      <c r="E421" s="4" t="s">
        <v>289</v>
      </c>
      <c r="F421" s="4" t="s">
        <v>485</v>
      </c>
      <c r="G421" t="s">
        <v>2072</v>
      </c>
      <c r="H421" t="s">
        <v>417</v>
      </c>
      <c r="I421" s="3">
        <f t="shared" si="6"/>
        <v>0</v>
      </c>
      <c r="J421" s="3">
        <f>D421/(VLOOKUP(B421,'2023 Team'!$B$2:$G$33,2,FALSE))</f>
        <v>5.0675675675675678E-3</v>
      </c>
      <c r="K421" t="s">
        <v>1297</v>
      </c>
      <c r="L421" t="s">
        <v>417</v>
      </c>
    </row>
    <row r="422" spans="1:12" x14ac:dyDescent="0.25">
      <c r="A422" t="s">
        <v>336</v>
      </c>
      <c r="B422" t="s">
        <v>70</v>
      </c>
      <c r="C422" t="s">
        <v>159</v>
      </c>
      <c r="D422" s="4" t="s">
        <v>289</v>
      </c>
      <c r="E422" s="4" t="s">
        <v>289</v>
      </c>
      <c r="F422" s="4" t="s">
        <v>198</v>
      </c>
      <c r="G422" t="s">
        <v>389</v>
      </c>
      <c r="H422" t="s">
        <v>417</v>
      </c>
      <c r="I422" s="3">
        <f t="shared" si="6"/>
        <v>0</v>
      </c>
      <c r="J422" s="3">
        <f>D422/(VLOOKUP(B422,'2023 Team'!$B$2:$G$33,2,FALSE))</f>
        <v>3.1446540880503146E-3</v>
      </c>
      <c r="K422" t="s">
        <v>1519</v>
      </c>
      <c r="L422" t="s">
        <v>300</v>
      </c>
    </row>
    <row r="423" spans="1:12" x14ac:dyDescent="0.25">
      <c r="A423" t="s">
        <v>1846</v>
      </c>
      <c r="B423" t="s">
        <v>62</v>
      </c>
      <c r="C423" t="s">
        <v>163</v>
      </c>
      <c r="D423" s="4" t="s">
        <v>314</v>
      </c>
      <c r="E423" s="4" t="s">
        <v>289</v>
      </c>
      <c r="F423" s="4" t="s">
        <v>344</v>
      </c>
      <c r="G423" t="s">
        <v>648</v>
      </c>
      <c r="H423" t="s">
        <v>417</v>
      </c>
      <c r="I423" s="3">
        <f t="shared" si="6"/>
        <v>0</v>
      </c>
      <c r="J423" s="3">
        <f>D423/(VLOOKUP(B423,'2023 Team'!$B$2:$G$33,2,FALSE))</f>
        <v>6.1099796334012219E-3</v>
      </c>
      <c r="K423" t="s">
        <v>1297</v>
      </c>
      <c r="L423" t="s">
        <v>417</v>
      </c>
    </row>
    <row r="424" spans="1:12" x14ac:dyDescent="0.25">
      <c r="A424" t="s">
        <v>1852</v>
      </c>
      <c r="B424" t="s">
        <v>56</v>
      </c>
      <c r="C424" t="s">
        <v>163</v>
      </c>
      <c r="D424" s="4" t="s">
        <v>229</v>
      </c>
      <c r="E424" s="4" t="s">
        <v>289</v>
      </c>
      <c r="F424" s="4" t="s">
        <v>234</v>
      </c>
      <c r="G424" t="s">
        <v>539</v>
      </c>
      <c r="H424" t="s">
        <v>417</v>
      </c>
      <c r="I424" s="3">
        <f t="shared" si="6"/>
        <v>0</v>
      </c>
      <c r="J424" s="3">
        <f>D424/(VLOOKUP(B424,'2023 Team'!$B$2:$G$33,2,FALSE))</f>
        <v>6.6555740432612314E-3</v>
      </c>
      <c r="K424" t="s">
        <v>1356</v>
      </c>
      <c r="L424" t="s">
        <v>417</v>
      </c>
    </row>
    <row r="425" spans="1:12" x14ac:dyDescent="0.25">
      <c r="A425" t="s">
        <v>378</v>
      </c>
      <c r="B425" t="s">
        <v>66</v>
      </c>
      <c r="C425" t="s">
        <v>159</v>
      </c>
      <c r="D425" s="4" t="s">
        <v>289</v>
      </c>
      <c r="E425" s="4" t="s">
        <v>289</v>
      </c>
      <c r="F425" s="4" t="s">
        <v>270</v>
      </c>
      <c r="G425" t="s">
        <v>255</v>
      </c>
      <c r="H425" t="s">
        <v>417</v>
      </c>
      <c r="I425" s="3">
        <f t="shared" si="6"/>
        <v>0</v>
      </c>
      <c r="J425" s="3">
        <f>D425/(VLOOKUP(B425,'2023 Team'!$B$2:$G$33,2,FALSE))</f>
        <v>3.5211267605633804E-3</v>
      </c>
      <c r="K425" t="s">
        <v>1519</v>
      </c>
      <c r="L425" t="s">
        <v>417</v>
      </c>
    </row>
    <row r="426" spans="1:12" x14ac:dyDescent="0.25">
      <c r="A426" t="s">
        <v>1690</v>
      </c>
      <c r="B426" t="s">
        <v>66</v>
      </c>
      <c r="C426" t="s">
        <v>159</v>
      </c>
      <c r="D426" s="4" t="s">
        <v>220</v>
      </c>
      <c r="E426" s="4" t="s">
        <v>289</v>
      </c>
      <c r="F426" s="4" t="s">
        <v>289</v>
      </c>
      <c r="G426" t="s">
        <v>614</v>
      </c>
      <c r="H426" t="s">
        <v>417</v>
      </c>
      <c r="I426" s="3">
        <f t="shared" si="6"/>
        <v>0</v>
      </c>
      <c r="J426" s="3">
        <f>D426/(VLOOKUP(B426,'2023 Team'!$B$2:$G$33,2,FALSE))</f>
        <v>8.8028169014084511E-3</v>
      </c>
      <c r="K426" t="s">
        <v>1522</v>
      </c>
      <c r="L426" t="s">
        <v>417</v>
      </c>
    </row>
    <row r="427" spans="1:12" x14ac:dyDescent="0.25">
      <c r="A427" t="s">
        <v>1861</v>
      </c>
      <c r="B427" t="s">
        <v>66</v>
      </c>
      <c r="C427" t="s">
        <v>153</v>
      </c>
      <c r="D427" s="4" t="s">
        <v>289</v>
      </c>
      <c r="E427" s="4" t="s">
        <v>289</v>
      </c>
      <c r="F427" s="4" t="s">
        <v>618</v>
      </c>
      <c r="G427" t="s">
        <v>2073</v>
      </c>
      <c r="H427" t="s">
        <v>417</v>
      </c>
      <c r="I427" s="3">
        <f t="shared" si="6"/>
        <v>0</v>
      </c>
      <c r="J427" s="3">
        <f>D427/(VLOOKUP(B427,'2023 Team'!$B$2:$G$33,2,FALSE))</f>
        <v>3.5211267605633804E-3</v>
      </c>
      <c r="K427" t="s">
        <v>1519</v>
      </c>
      <c r="L427" t="s">
        <v>300</v>
      </c>
    </row>
    <row r="428" spans="1:12" x14ac:dyDescent="0.25">
      <c r="A428" t="s">
        <v>1707</v>
      </c>
      <c r="B428" t="s">
        <v>8</v>
      </c>
      <c r="C428" t="s">
        <v>159</v>
      </c>
      <c r="D428" s="4" t="s">
        <v>289</v>
      </c>
      <c r="E428" s="4" t="s">
        <v>289</v>
      </c>
      <c r="F428" s="4" t="s">
        <v>198</v>
      </c>
      <c r="G428" t="s">
        <v>389</v>
      </c>
      <c r="H428" t="s">
        <v>417</v>
      </c>
      <c r="I428" s="3">
        <f t="shared" si="6"/>
        <v>0</v>
      </c>
      <c r="J428" s="3">
        <f>D428/(VLOOKUP(B428,'2023 Team'!$B$2:$G$33,2,FALSE))</f>
        <v>3.6036036036036037E-3</v>
      </c>
      <c r="K428" t="s">
        <v>1519</v>
      </c>
      <c r="L428" t="s">
        <v>417</v>
      </c>
    </row>
    <row r="429" spans="1:12" x14ac:dyDescent="0.25">
      <c r="A429" t="s">
        <v>1866</v>
      </c>
      <c r="B429" t="s">
        <v>56</v>
      </c>
      <c r="C429" t="s">
        <v>153</v>
      </c>
      <c r="D429" s="4" t="s">
        <v>229</v>
      </c>
      <c r="E429" s="4" t="s">
        <v>289</v>
      </c>
      <c r="F429" s="4" t="s">
        <v>496</v>
      </c>
      <c r="G429" t="s">
        <v>696</v>
      </c>
      <c r="H429" t="s">
        <v>417</v>
      </c>
      <c r="I429" s="3">
        <f t="shared" si="6"/>
        <v>0</v>
      </c>
      <c r="J429" s="3">
        <f>D429/(VLOOKUP(B429,'2023 Team'!$B$2:$G$33,2,FALSE))</f>
        <v>6.6555740432612314E-3</v>
      </c>
      <c r="K429" t="s">
        <v>1356</v>
      </c>
      <c r="L429" t="s">
        <v>417</v>
      </c>
    </row>
    <row r="430" spans="1:12" x14ac:dyDescent="0.25">
      <c r="A430" t="s">
        <v>418</v>
      </c>
      <c r="B430" t="s">
        <v>36</v>
      </c>
      <c r="C430" t="s">
        <v>159</v>
      </c>
      <c r="D430" s="4" t="s">
        <v>229</v>
      </c>
      <c r="E430" s="4" t="s">
        <v>300</v>
      </c>
      <c r="F430" s="4" t="s">
        <v>247</v>
      </c>
      <c r="G430" t="s">
        <v>389</v>
      </c>
      <c r="H430" t="s">
        <v>417</v>
      </c>
      <c r="I430" s="3">
        <f t="shared" si="6"/>
        <v>0</v>
      </c>
      <c r="J430" s="3">
        <f>D430/(VLOOKUP(B430,'2023 Team'!$B$2:$G$33,2,FALSE))</f>
        <v>6.4516129032258064E-3</v>
      </c>
      <c r="K430" t="s">
        <v>1542</v>
      </c>
      <c r="L430" t="s">
        <v>289</v>
      </c>
    </row>
    <row r="431" spans="1:12" x14ac:dyDescent="0.25">
      <c r="A431" t="s">
        <v>1778</v>
      </c>
      <c r="B431" t="s">
        <v>54</v>
      </c>
      <c r="C431" t="s">
        <v>934</v>
      </c>
      <c r="D431" s="4" t="s">
        <v>300</v>
      </c>
      <c r="E431" s="4" t="s">
        <v>300</v>
      </c>
      <c r="F431" s="4" t="s">
        <v>417</v>
      </c>
      <c r="G431" t="s">
        <v>504</v>
      </c>
      <c r="H431" t="s">
        <v>417</v>
      </c>
      <c r="I431" s="3">
        <f t="shared" si="6"/>
        <v>0</v>
      </c>
      <c r="J431" s="3">
        <f>D431/(VLOOKUP(B431,'2023 Team'!$B$2:$G$33,2,FALSE))</f>
        <v>1.9305019305019305E-3</v>
      </c>
      <c r="K431" t="s">
        <v>1519</v>
      </c>
      <c r="L431" t="s">
        <v>417</v>
      </c>
    </row>
    <row r="432" spans="1:12" x14ac:dyDescent="0.25">
      <c r="A432" t="s">
        <v>125</v>
      </c>
      <c r="B432" t="s">
        <v>20</v>
      </c>
      <c r="C432" t="s">
        <v>82</v>
      </c>
      <c r="D432" s="4" t="s">
        <v>300</v>
      </c>
      <c r="E432" s="4" t="s">
        <v>300</v>
      </c>
      <c r="F432" s="4" t="s">
        <v>734</v>
      </c>
      <c r="G432" t="s">
        <v>735</v>
      </c>
      <c r="H432" t="s">
        <v>417</v>
      </c>
      <c r="I432" s="3">
        <f t="shared" si="6"/>
        <v>0</v>
      </c>
      <c r="J432" s="3">
        <f>D432/(VLOOKUP(B432,'2023 Team'!$B$2:$G$33,2,FALSE))</f>
        <v>1.6260162601626016E-3</v>
      </c>
      <c r="K432" t="s">
        <v>1519</v>
      </c>
      <c r="L432" t="s">
        <v>314</v>
      </c>
    </row>
    <row r="433" spans="1:12" x14ac:dyDescent="0.25">
      <c r="A433" t="s">
        <v>1791</v>
      </c>
      <c r="B433" t="s">
        <v>28</v>
      </c>
      <c r="C433" t="s">
        <v>647</v>
      </c>
      <c r="D433" s="4" t="s">
        <v>300</v>
      </c>
      <c r="E433" s="4" t="s">
        <v>300</v>
      </c>
      <c r="F433" s="4" t="s">
        <v>493</v>
      </c>
      <c r="G433" t="s">
        <v>2074</v>
      </c>
      <c r="H433" t="s">
        <v>417</v>
      </c>
      <c r="I433" s="3">
        <f t="shared" si="6"/>
        <v>0</v>
      </c>
      <c r="J433" s="3">
        <f>D433/(VLOOKUP(B433,'2023 Team'!$B$2:$G$33,2,FALSE))</f>
        <v>1.6501650165016502E-3</v>
      </c>
      <c r="K433" t="s">
        <v>1519</v>
      </c>
      <c r="L433" t="s">
        <v>417</v>
      </c>
    </row>
    <row r="434" spans="1:12" x14ac:dyDescent="0.25">
      <c r="A434" t="s">
        <v>1793</v>
      </c>
      <c r="B434" t="s">
        <v>68</v>
      </c>
      <c r="C434" t="s">
        <v>163</v>
      </c>
      <c r="D434" s="4" t="s">
        <v>289</v>
      </c>
      <c r="E434" s="4" t="s">
        <v>300</v>
      </c>
      <c r="F434" s="4" t="s">
        <v>314</v>
      </c>
      <c r="G434" t="s">
        <v>502</v>
      </c>
      <c r="H434" t="s">
        <v>417</v>
      </c>
      <c r="I434" s="3">
        <f t="shared" si="6"/>
        <v>0</v>
      </c>
      <c r="J434" s="3">
        <f>D434/(VLOOKUP(B434,'2023 Team'!$B$2:$G$33,2,FALSE))</f>
        <v>4.048582995951417E-3</v>
      </c>
      <c r="K434" t="s">
        <v>1356</v>
      </c>
      <c r="L434" t="s">
        <v>417</v>
      </c>
    </row>
    <row r="435" spans="1:12" x14ac:dyDescent="0.25">
      <c r="A435" t="s">
        <v>870</v>
      </c>
      <c r="B435" t="s">
        <v>62</v>
      </c>
      <c r="C435" t="s">
        <v>153</v>
      </c>
      <c r="D435" s="4" t="s">
        <v>289</v>
      </c>
      <c r="E435" s="4" t="s">
        <v>300</v>
      </c>
      <c r="F435" s="4" t="s">
        <v>198</v>
      </c>
      <c r="G435" t="s">
        <v>752</v>
      </c>
      <c r="H435" t="s">
        <v>417</v>
      </c>
      <c r="I435" s="3">
        <f t="shared" si="6"/>
        <v>0</v>
      </c>
      <c r="J435" s="3">
        <f>D435/(VLOOKUP(B435,'2023 Team'!$B$2:$G$33,2,FALSE))</f>
        <v>4.0733197556008143E-3</v>
      </c>
      <c r="K435" t="s">
        <v>1356</v>
      </c>
      <c r="L435" t="s">
        <v>417</v>
      </c>
    </row>
    <row r="436" spans="1:12" x14ac:dyDescent="0.25">
      <c r="A436" t="s">
        <v>1794</v>
      </c>
      <c r="B436" t="s">
        <v>56</v>
      </c>
      <c r="C436" t="s">
        <v>647</v>
      </c>
      <c r="D436" s="4" t="s">
        <v>300</v>
      </c>
      <c r="E436" s="4" t="s">
        <v>300</v>
      </c>
      <c r="F436" s="4" t="s">
        <v>202</v>
      </c>
      <c r="G436" t="s">
        <v>1742</v>
      </c>
      <c r="H436" t="s">
        <v>417</v>
      </c>
      <c r="I436" s="3">
        <f t="shared" si="6"/>
        <v>0</v>
      </c>
      <c r="J436" s="3">
        <f>D436/(VLOOKUP(B436,'2023 Team'!$B$2:$G$33,2,FALSE))</f>
        <v>1.6638935108153079E-3</v>
      </c>
      <c r="K436" t="s">
        <v>1519</v>
      </c>
      <c r="L436" t="s">
        <v>417</v>
      </c>
    </row>
    <row r="437" spans="1:12" x14ac:dyDescent="0.25">
      <c r="A437" t="s">
        <v>1738</v>
      </c>
      <c r="B437" t="s">
        <v>20</v>
      </c>
      <c r="C437" t="s">
        <v>159</v>
      </c>
      <c r="D437" s="4" t="s">
        <v>300</v>
      </c>
      <c r="E437" s="4" t="s">
        <v>300</v>
      </c>
      <c r="F437" s="4" t="s">
        <v>663</v>
      </c>
      <c r="G437" t="s">
        <v>652</v>
      </c>
      <c r="H437" t="s">
        <v>417</v>
      </c>
      <c r="I437" s="3">
        <f t="shared" si="6"/>
        <v>0</v>
      </c>
      <c r="J437" s="3">
        <f>D437/(VLOOKUP(B437,'2023 Team'!$B$2:$G$33,2,FALSE))</f>
        <v>1.6260162601626016E-3</v>
      </c>
      <c r="K437" t="s">
        <v>1519</v>
      </c>
      <c r="L437" t="s">
        <v>417</v>
      </c>
    </row>
    <row r="438" spans="1:12" x14ac:dyDescent="0.25">
      <c r="A438" t="s">
        <v>1796</v>
      </c>
      <c r="B438" t="s">
        <v>42</v>
      </c>
      <c r="C438" t="s">
        <v>163</v>
      </c>
      <c r="D438" s="4" t="s">
        <v>289</v>
      </c>
      <c r="E438" s="4" t="s">
        <v>300</v>
      </c>
      <c r="F438" s="4" t="s">
        <v>270</v>
      </c>
      <c r="G438" t="s">
        <v>732</v>
      </c>
      <c r="H438" t="s">
        <v>300</v>
      </c>
      <c r="I438" s="3">
        <f t="shared" si="6"/>
        <v>1</v>
      </c>
      <c r="J438" s="3">
        <f>D438/(VLOOKUP(B438,'2023 Team'!$B$2:$G$33,2,FALSE))</f>
        <v>3.1645569620253164E-3</v>
      </c>
      <c r="K438" t="s">
        <v>1356</v>
      </c>
      <c r="L438" t="s">
        <v>417</v>
      </c>
    </row>
    <row r="439" spans="1:12" x14ac:dyDescent="0.25">
      <c r="A439" t="s">
        <v>918</v>
      </c>
      <c r="B439" t="s">
        <v>10</v>
      </c>
      <c r="C439" t="s">
        <v>153</v>
      </c>
      <c r="D439" s="4" t="s">
        <v>300</v>
      </c>
      <c r="E439" s="4" t="s">
        <v>300</v>
      </c>
      <c r="F439" s="4" t="s">
        <v>270</v>
      </c>
      <c r="G439" t="s">
        <v>732</v>
      </c>
      <c r="H439" t="s">
        <v>417</v>
      </c>
      <c r="I439" s="3">
        <f t="shared" si="6"/>
        <v>0</v>
      </c>
      <c r="J439" s="3">
        <f>D439/(VLOOKUP(B439,'2023 Team'!$B$2:$G$33,2,FALSE))</f>
        <v>1.8867924528301887E-3</v>
      </c>
      <c r="K439" t="s">
        <v>1519</v>
      </c>
      <c r="L439" t="s">
        <v>417</v>
      </c>
    </row>
    <row r="440" spans="1:12" x14ac:dyDescent="0.25">
      <c r="A440" t="s">
        <v>880</v>
      </c>
      <c r="B440" t="s">
        <v>10</v>
      </c>
      <c r="C440" t="s">
        <v>153</v>
      </c>
      <c r="D440" s="4" t="s">
        <v>300</v>
      </c>
      <c r="E440" s="4" t="s">
        <v>300</v>
      </c>
      <c r="F440" s="4" t="s">
        <v>198</v>
      </c>
      <c r="G440" t="s">
        <v>752</v>
      </c>
      <c r="H440" t="s">
        <v>417</v>
      </c>
      <c r="I440" s="3">
        <f t="shared" ref="I440:I502" si="7">H440/E440</f>
        <v>0</v>
      </c>
      <c r="J440" s="3">
        <f>D440/(VLOOKUP(B440,'2023 Team'!$B$2:$G$33,2,FALSE))</f>
        <v>1.8867924528301887E-3</v>
      </c>
      <c r="K440" t="s">
        <v>1519</v>
      </c>
      <c r="L440" t="s">
        <v>417</v>
      </c>
    </row>
    <row r="441" spans="1:12" x14ac:dyDescent="0.25">
      <c r="A441" t="s">
        <v>1797</v>
      </c>
      <c r="B441" t="s">
        <v>40</v>
      </c>
      <c r="C441" t="s">
        <v>153</v>
      </c>
      <c r="D441" s="4" t="s">
        <v>300</v>
      </c>
      <c r="E441" s="4" t="s">
        <v>300</v>
      </c>
      <c r="F441" s="4" t="s">
        <v>247</v>
      </c>
      <c r="G441" t="s">
        <v>389</v>
      </c>
      <c r="H441" t="s">
        <v>417</v>
      </c>
      <c r="I441" s="3">
        <f t="shared" si="7"/>
        <v>0</v>
      </c>
      <c r="J441" s="3">
        <f>D441/(VLOOKUP(B441,'2023 Team'!$B$2:$G$33,2,FALSE))</f>
        <v>1.7953321364452424E-3</v>
      </c>
      <c r="K441" t="s">
        <v>1519</v>
      </c>
      <c r="L441" t="s">
        <v>417</v>
      </c>
    </row>
    <row r="442" spans="1:12" x14ac:dyDescent="0.25">
      <c r="A442" t="s">
        <v>1664</v>
      </c>
      <c r="B442" t="s">
        <v>44</v>
      </c>
      <c r="C442" t="s">
        <v>159</v>
      </c>
      <c r="D442" s="4" t="s">
        <v>289</v>
      </c>
      <c r="E442" s="4" t="s">
        <v>300</v>
      </c>
      <c r="F442" s="4" t="s">
        <v>234</v>
      </c>
      <c r="G442" t="s">
        <v>1466</v>
      </c>
      <c r="H442" t="s">
        <v>417</v>
      </c>
      <c r="I442" s="3">
        <f t="shared" si="7"/>
        <v>0</v>
      </c>
      <c r="J442" s="3">
        <f>D442/(VLOOKUP(B442,'2023 Team'!$B$2:$G$33,2,FALSE))</f>
        <v>3.4305317324185248E-3</v>
      </c>
      <c r="K442" t="s">
        <v>1356</v>
      </c>
      <c r="L442" t="s">
        <v>417</v>
      </c>
    </row>
    <row r="443" spans="1:12" x14ac:dyDescent="0.25">
      <c r="A443" t="s">
        <v>1739</v>
      </c>
      <c r="B443" t="s">
        <v>34</v>
      </c>
      <c r="C443" t="s">
        <v>159</v>
      </c>
      <c r="D443" s="4" t="s">
        <v>300</v>
      </c>
      <c r="E443" s="4" t="s">
        <v>300</v>
      </c>
      <c r="F443" s="4" t="s">
        <v>198</v>
      </c>
      <c r="G443" t="s">
        <v>752</v>
      </c>
      <c r="H443" t="s">
        <v>417</v>
      </c>
      <c r="I443" s="3">
        <f t="shared" si="7"/>
        <v>0</v>
      </c>
      <c r="J443" s="3">
        <f>D443/(VLOOKUP(B443,'2023 Team'!$B$2:$G$33,2,FALSE))</f>
        <v>1.7421602787456446E-3</v>
      </c>
      <c r="K443" t="s">
        <v>1519</v>
      </c>
      <c r="L443" t="s">
        <v>417</v>
      </c>
    </row>
    <row r="444" spans="1:12" x14ac:dyDescent="0.25">
      <c r="A444" t="s">
        <v>702</v>
      </c>
      <c r="B444" t="s">
        <v>14</v>
      </c>
      <c r="C444" t="s">
        <v>613</v>
      </c>
      <c r="D444" s="4" t="s">
        <v>300</v>
      </c>
      <c r="E444" s="4" t="s">
        <v>300</v>
      </c>
      <c r="F444" s="4" t="s">
        <v>314</v>
      </c>
      <c r="G444" t="s">
        <v>502</v>
      </c>
      <c r="H444" t="s">
        <v>417</v>
      </c>
      <c r="I444" s="3">
        <f t="shared" si="7"/>
        <v>0</v>
      </c>
      <c r="J444" s="3">
        <f>D444/(VLOOKUP(B444,'2023 Team'!$B$2:$G$33,2,FALSE))</f>
        <v>1.7271157167530224E-3</v>
      </c>
      <c r="K444" t="s">
        <v>1519</v>
      </c>
      <c r="L444" t="s">
        <v>417</v>
      </c>
    </row>
    <row r="445" spans="1:12" x14ac:dyDescent="0.25">
      <c r="A445" t="s">
        <v>1800</v>
      </c>
      <c r="B445" t="s">
        <v>28</v>
      </c>
      <c r="C445" t="s">
        <v>163</v>
      </c>
      <c r="D445" s="4" t="s">
        <v>289</v>
      </c>
      <c r="E445" s="4" t="s">
        <v>300</v>
      </c>
      <c r="F445" s="4" t="s">
        <v>289</v>
      </c>
      <c r="G445" t="s">
        <v>643</v>
      </c>
      <c r="H445" t="s">
        <v>417</v>
      </c>
      <c r="I445" s="3">
        <f t="shared" si="7"/>
        <v>0</v>
      </c>
      <c r="J445" s="3">
        <f>D445/(VLOOKUP(B445,'2023 Team'!$B$2:$G$33,2,FALSE))</f>
        <v>3.3003300330033004E-3</v>
      </c>
      <c r="K445" t="s">
        <v>1356</v>
      </c>
      <c r="L445" t="s">
        <v>417</v>
      </c>
    </row>
    <row r="446" spans="1:12" x14ac:dyDescent="0.25">
      <c r="A446" t="s">
        <v>90</v>
      </c>
      <c r="B446" t="s">
        <v>42</v>
      </c>
      <c r="C446" t="s">
        <v>82</v>
      </c>
      <c r="D446" s="4" t="s">
        <v>300</v>
      </c>
      <c r="E446" s="4" t="s">
        <v>300</v>
      </c>
      <c r="F446" s="4" t="s">
        <v>211</v>
      </c>
      <c r="G446" t="s">
        <v>662</v>
      </c>
      <c r="H446" t="s">
        <v>417</v>
      </c>
      <c r="I446" s="3">
        <f t="shared" si="7"/>
        <v>0</v>
      </c>
      <c r="J446" s="3">
        <f>D446/(VLOOKUP(B446,'2023 Team'!$B$2:$G$33,2,FALSE))</f>
        <v>1.5822784810126582E-3</v>
      </c>
      <c r="K446" t="s">
        <v>1519</v>
      </c>
      <c r="L446" t="s">
        <v>229</v>
      </c>
    </row>
    <row r="447" spans="1:12" x14ac:dyDescent="0.25">
      <c r="A447" t="s">
        <v>1805</v>
      </c>
      <c r="B447" t="s">
        <v>40</v>
      </c>
      <c r="C447" t="s">
        <v>153</v>
      </c>
      <c r="D447" s="4" t="s">
        <v>300</v>
      </c>
      <c r="E447" s="4" t="s">
        <v>300</v>
      </c>
      <c r="F447" s="4" t="s">
        <v>229</v>
      </c>
      <c r="G447" t="s">
        <v>235</v>
      </c>
      <c r="H447" t="s">
        <v>417</v>
      </c>
      <c r="I447" s="3">
        <f t="shared" si="7"/>
        <v>0</v>
      </c>
      <c r="J447" s="3">
        <f>D447/(VLOOKUP(B447,'2023 Team'!$B$2:$G$33,2,FALSE))</f>
        <v>1.7953321364452424E-3</v>
      </c>
      <c r="K447" t="s">
        <v>1519</v>
      </c>
      <c r="L447" t="s">
        <v>417</v>
      </c>
    </row>
    <row r="448" spans="1:12" x14ac:dyDescent="0.25">
      <c r="A448" t="s">
        <v>1551</v>
      </c>
      <c r="B448" t="s">
        <v>70</v>
      </c>
      <c r="C448" t="s">
        <v>82</v>
      </c>
      <c r="D448" s="4" t="s">
        <v>300</v>
      </c>
      <c r="E448" s="4" t="s">
        <v>300</v>
      </c>
      <c r="F448" s="4" t="s">
        <v>229</v>
      </c>
      <c r="G448" t="s">
        <v>235</v>
      </c>
      <c r="H448" t="s">
        <v>417</v>
      </c>
      <c r="I448" s="3">
        <f t="shared" si="7"/>
        <v>0</v>
      </c>
      <c r="J448" s="3">
        <f>D448/(VLOOKUP(B448,'2023 Team'!$B$2:$G$33,2,FALSE))</f>
        <v>1.5723270440251573E-3</v>
      </c>
      <c r="K448" t="s">
        <v>1519</v>
      </c>
      <c r="L448" t="s">
        <v>229</v>
      </c>
    </row>
    <row r="449" spans="1:12" x14ac:dyDescent="0.25">
      <c r="A449" t="s">
        <v>544</v>
      </c>
      <c r="B449" t="s">
        <v>34</v>
      </c>
      <c r="C449" t="s">
        <v>159</v>
      </c>
      <c r="D449" s="4" t="s">
        <v>300</v>
      </c>
      <c r="E449" s="4" t="s">
        <v>300</v>
      </c>
      <c r="F449" s="4" t="s">
        <v>247</v>
      </c>
      <c r="G449" t="s">
        <v>389</v>
      </c>
      <c r="H449" t="s">
        <v>417</v>
      </c>
      <c r="I449" s="3">
        <f t="shared" si="7"/>
        <v>0</v>
      </c>
      <c r="J449" s="3">
        <f>D449/(VLOOKUP(B449,'2023 Team'!$B$2:$G$33,2,FALSE))</f>
        <v>1.7421602787456446E-3</v>
      </c>
      <c r="K449" t="s">
        <v>1519</v>
      </c>
      <c r="L449" t="s">
        <v>417</v>
      </c>
    </row>
    <row r="450" spans="1:12" x14ac:dyDescent="0.25">
      <c r="A450" t="s">
        <v>1811</v>
      </c>
      <c r="B450" t="s">
        <v>18</v>
      </c>
      <c r="C450" t="s">
        <v>163</v>
      </c>
      <c r="D450" s="4" t="s">
        <v>300</v>
      </c>
      <c r="E450" s="4" t="s">
        <v>300</v>
      </c>
      <c r="F450" s="4" t="s">
        <v>266</v>
      </c>
      <c r="G450" t="s">
        <v>779</v>
      </c>
      <c r="H450" t="s">
        <v>417</v>
      </c>
      <c r="I450" s="3">
        <f t="shared" si="7"/>
        <v>0</v>
      </c>
      <c r="J450" s="3">
        <f>D450/(VLOOKUP(B450,'2023 Team'!$B$2:$G$33,2,FALSE))</f>
        <v>1.9493177387914229E-3</v>
      </c>
      <c r="K450" t="s">
        <v>1519</v>
      </c>
      <c r="L450" t="s">
        <v>417</v>
      </c>
    </row>
    <row r="451" spans="1:12" x14ac:dyDescent="0.25">
      <c r="A451" t="s">
        <v>1813</v>
      </c>
      <c r="B451" t="s">
        <v>40</v>
      </c>
      <c r="C451" t="s">
        <v>613</v>
      </c>
      <c r="D451" s="4" t="s">
        <v>289</v>
      </c>
      <c r="E451" s="4" t="s">
        <v>300</v>
      </c>
      <c r="F451" s="4" t="s">
        <v>198</v>
      </c>
      <c r="G451" t="s">
        <v>752</v>
      </c>
      <c r="H451" t="s">
        <v>417</v>
      </c>
      <c r="I451" s="3">
        <f t="shared" si="7"/>
        <v>0</v>
      </c>
      <c r="J451" s="3">
        <f>D451/(VLOOKUP(B451,'2023 Team'!$B$2:$G$33,2,FALSE))</f>
        <v>3.5906642728904849E-3</v>
      </c>
      <c r="K451" t="s">
        <v>1356</v>
      </c>
      <c r="L451" t="s">
        <v>417</v>
      </c>
    </row>
    <row r="452" spans="1:12" x14ac:dyDescent="0.25">
      <c r="A452" t="s">
        <v>1817</v>
      </c>
      <c r="B452" t="s">
        <v>66</v>
      </c>
      <c r="C452" t="s">
        <v>153</v>
      </c>
      <c r="D452" s="4" t="s">
        <v>220</v>
      </c>
      <c r="E452" s="4" t="s">
        <v>300</v>
      </c>
      <c r="F452" s="4" t="s">
        <v>289</v>
      </c>
      <c r="G452" t="s">
        <v>643</v>
      </c>
      <c r="H452" t="s">
        <v>300</v>
      </c>
      <c r="I452" s="3">
        <f t="shared" si="7"/>
        <v>1</v>
      </c>
      <c r="J452" s="3">
        <f>D452/(VLOOKUP(B452,'2023 Team'!$B$2:$G$33,2,FALSE))</f>
        <v>8.8028169014084511E-3</v>
      </c>
      <c r="K452" t="s">
        <v>1543</v>
      </c>
      <c r="L452" t="s">
        <v>417</v>
      </c>
    </row>
    <row r="453" spans="1:12" x14ac:dyDescent="0.25">
      <c r="A453" t="s">
        <v>1032</v>
      </c>
      <c r="B453" t="s">
        <v>68</v>
      </c>
      <c r="C453" t="s">
        <v>163</v>
      </c>
      <c r="D453" s="4" t="s">
        <v>300</v>
      </c>
      <c r="E453" s="4" t="s">
        <v>300</v>
      </c>
      <c r="F453" s="4" t="s">
        <v>247</v>
      </c>
      <c r="G453" t="s">
        <v>389</v>
      </c>
      <c r="H453" t="s">
        <v>417</v>
      </c>
      <c r="I453" s="3">
        <f t="shared" si="7"/>
        <v>0</v>
      </c>
      <c r="J453" s="3">
        <f>D453/(VLOOKUP(B453,'2023 Team'!$B$2:$G$33,2,FALSE))</f>
        <v>2.0242914979757085E-3</v>
      </c>
      <c r="K453" t="s">
        <v>1519</v>
      </c>
      <c r="L453" t="s">
        <v>417</v>
      </c>
    </row>
    <row r="454" spans="1:12" x14ac:dyDescent="0.25">
      <c r="A454" t="s">
        <v>407</v>
      </c>
      <c r="B454" t="s">
        <v>28</v>
      </c>
      <c r="C454" t="s">
        <v>159</v>
      </c>
      <c r="D454" s="4" t="s">
        <v>300</v>
      </c>
      <c r="E454" s="4" t="s">
        <v>300</v>
      </c>
      <c r="F454" s="4" t="s">
        <v>225</v>
      </c>
      <c r="G454" t="s">
        <v>531</v>
      </c>
      <c r="H454" t="s">
        <v>417</v>
      </c>
      <c r="I454" s="3">
        <f t="shared" si="7"/>
        <v>0</v>
      </c>
      <c r="J454" s="3">
        <f>D454/(VLOOKUP(B454,'2023 Team'!$B$2:$G$33,2,FALSE))</f>
        <v>1.6501650165016502E-3</v>
      </c>
      <c r="K454" t="s">
        <v>1519</v>
      </c>
      <c r="L454" t="s">
        <v>417</v>
      </c>
    </row>
    <row r="455" spans="1:12" x14ac:dyDescent="0.25">
      <c r="A455" t="s">
        <v>1819</v>
      </c>
      <c r="B455" t="s">
        <v>20</v>
      </c>
      <c r="C455" t="s">
        <v>163</v>
      </c>
      <c r="D455" s="4" t="s">
        <v>300</v>
      </c>
      <c r="E455" s="4" t="s">
        <v>300</v>
      </c>
      <c r="F455" s="4" t="s">
        <v>289</v>
      </c>
      <c r="G455" t="s">
        <v>643</v>
      </c>
      <c r="H455" t="s">
        <v>417</v>
      </c>
      <c r="I455" s="3">
        <f t="shared" si="7"/>
        <v>0</v>
      </c>
      <c r="J455" s="3">
        <f>D455/(VLOOKUP(B455,'2023 Team'!$B$2:$G$33,2,FALSE))</f>
        <v>1.6260162601626016E-3</v>
      </c>
      <c r="K455" t="s">
        <v>1519</v>
      </c>
      <c r="L455" t="s">
        <v>417</v>
      </c>
    </row>
    <row r="456" spans="1:12" x14ac:dyDescent="0.25">
      <c r="A456" t="s">
        <v>1826</v>
      </c>
      <c r="B456" t="s">
        <v>48</v>
      </c>
      <c r="C456" t="s">
        <v>153</v>
      </c>
      <c r="D456" s="4" t="s">
        <v>300</v>
      </c>
      <c r="E456" s="4" t="s">
        <v>300</v>
      </c>
      <c r="F456" s="4" t="s">
        <v>514</v>
      </c>
      <c r="G456" t="s">
        <v>2075</v>
      </c>
      <c r="H456" t="s">
        <v>417</v>
      </c>
      <c r="I456" s="3">
        <f t="shared" si="7"/>
        <v>0</v>
      </c>
      <c r="J456" s="3">
        <f>D456/(VLOOKUP(B456,'2023 Team'!$B$2:$G$33,2,FALSE))</f>
        <v>1.5847860538827259E-3</v>
      </c>
      <c r="K456" t="s">
        <v>1519</v>
      </c>
      <c r="L456" t="s">
        <v>417</v>
      </c>
    </row>
    <row r="457" spans="1:12" x14ac:dyDescent="0.25">
      <c r="A457" t="s">
        <v>162</v>
      </c>
      <c r="B457" t="s">
        <v>60</v>
      </c>
      <c r="C457" t="s">
        <v>163</v>
      </c>
      <c r="D457" s="4" t="s">
        <v>300</v>
      </c>
      <c r="E457" s="4" t="s">
        <v>300</v>
      </c>
      <c r="F457" s="4" t="s">
        <v>417</v>
      </c>
      <c r="G457" t="s">
        <v>504</v>
      </c>
      <c r="H457" t="s">
        <v>417</v>
      </c>
      <c r="I457" s="3">
        <f t="shared" si="7"/>
        <v>0</v>
      </c>
      <c r="J457" s="3">
        <f>D457/(VLOOKUP(B457,'2023 Team'!$B$2:$G$33,2,FALSE))</f>
        <v>1.976284584980237E-3</v>
      </c>
      <c r="K457" t="s">
        <v>1519</v>
      </c>
      <c r="L457" t="s">
        <v>289</v>
      </c>
    </row>
    <row r="458" spans="1:12" x14ac:dyDescent="0.25">
      <c r="A458" t="s">
        <v>1733</v>
      </c>
      <c r="B458" t="s">
        <v>28</v>
      </c>
      <c r="C458" t="s">
        <v>159</v>
      </c>
      <c r="D458" s="4" t="s">
        <v>300</v>
      </c>
      <c r="E458" s="4" t="s">
        <v>300</v>
      </c>
      <c r="F458" s="4" t="s">
        <v>225</v>
      </c>
      <c r="G458" t="s">
        <v>531</v>
      </c>
      <c r="H458" t="s">
        <v>417</v>
      </c>
      <c r="I458" s="3">
        <f t="shared" si="7"/>
        <v>0</v>
      </c>
      <c r="J458" s="3">
        <f>D458/(VLOOKUP(B458,'2023 Team'!$B$2:$G$33,2,FALSE))</f>
        <v>1.6501650165016502E-3</v>
      </c>
      <c r="K458" t="s">
        <v>1519</v>
      </c>
      <c r="L458" t="s">
        <v>417</v>
      </c>
    </row>
    <row r="459" spans="1:12" x14ac:dyDescent="0.25">
      <c r="A459" t="s">
        <v>1706</v>
      </c>
      <c r="B459" t="s">
        <v>58</v>
      </c>
      <c r="C459" t="s">
        <v>159</v>
      </c>
      <c r="D459" s="4" t="s">
        <v>300</v>
      </c>
      <c r="E459" s="4" t="s">
        <v>300</v>
      </c>
      <c r="F459" s="4" t="s">
        <v>220</v>
      </c>
      <c r="G459" t="s">
        <v>258</v>
      </c>
      <c r="H459" t="s">
        <v>417</v>
      </c>
      <c r="I459" s="3">
        <f t="shared" si="7"/>
        <v>0</v>
      </c>
      <c r="J459" s="3">
        <f>D459/(VLOOKUP(B459,'2023 Team'!$B$2:$G$33,2,FALSE))</f>
        <v>1.7761989342806395E-3</v>
      </c>
      <c r="K459" t="s">
        <v>1519</v>
      </c>
      <c r="L459" t="s">
        <v>417</v>
      </c>
    </row>
    <row r="460" spans="1:12" x14ac:dyDescent="0.25">
      <c r="A460" t="s">
        <v>1837</v>
      </c>
      <c r="B460" t="s">
        <v>68</v>
      </c>
      <c r="C460" t="s">
        <v>153</v>
      </c>
      <c r="D460" s="4" t="s">
        <v>314</v>
      </c>
      <c r="E460" s="4" t="s">
        <v>300</v>
      </c>
      <c r="F460" s="4" t="s">
        <v>247</v>
      </c>
      <c r="G460" t="s">
        <v>389</v>
      </c>
      <c r="H460" t="s">
        <v>417</v>
      </c>
      <c r="I460" s="3">
        <f t="shared" si="7"/>
        <v>0</v>
      </c>
      <c r="J460" s="3">
        <f>D460/(VLOOKUP(B460,'2023 Team'!$B$2:$G$33,2,FALSE))</f>
        <v>6.0728744939271256E-3</v>
      </c>
      <c r="K460" t="s">
        <v>1446</v>
      </c>
      <c r="L460" t="s">
        <v>417</v>
      </c>
    </row>
    <row r="461" spans="1:12" x14ac:dyDescent="0.25">
      <c r="A461" t="s">
        <v>874</v>
      </c>
      <c r="B461" t="s">
        <v>16</v>
      </c>
      <c r="C461" t="s">
        <v>153</v>
      </c>
      <c r="D461" s="4" t="s">
        <v>300</v>
      </c>
      <c r="E461" s="4" t="s">
        <v>300</v>
      </c>
      <c r="F461" s="4" t="s">
        <v>289</v>
      </c>
      <c r="G461" t="s">
        <v>643</v>
      </c>
      <c r="H461" t="s">
        <v>417</v>
      </c>
      <c r="I461" s="3">
        <f t="shared" si="7"/>
        <v>0</v>
      </c>
      <c r="J461" s="3">
        <f>D461/(VLOOKUP(B461,'2023 Team'!$B$2:$G$33,2,FALSE))</f>
        <v>1.7064846416382253E-3</v>
      </c>
      <c r="K461" t="s">
        <v>1519</v>
      </c>
      <c r="L461" t="s">
        <v>417</v>
      </c>
    </row>
    <row r="462" spans="1:12" x14ac:dyDescent="0.25">
      <c r="A462" t="s">
        <v>1553</v>
      </c>
      <c r="B462" t="s">
        <v>10</v>
      </c>
      <c r="C462" t="s">
        <v>82</v>
      </c>
      <c r="D462" s="4" t="s">
        <v>300</v>
      </c>
      <c r="E462" s="4" t="s">
        <v>300</v>
      </c>
      <c r="F462" s="4" t="s">
        <v>1545</v>
      </c>
      <c r="G462" t="s">
        <v>1546</v>
      </c>
      <c r="H462" t="s">
        <v>417</v>
      </c>
      <c r="I462" s="3">
        <f t="shared" si="7"/>
        <v>0</v>
      </c>
      <c r="J462" s="3">
        <f>D462/(VLOOKUP(B462,'2023 Team'!$B$2:$G$33,2,FALSE))</f>
        <v>1.8867924528301887E-3</v>
      </c>
      <c r="K462" t="s">
        <v>1519</v>
      </c>
      <c r="L462" t="s">
        <v>198</v>
      </c>
    </row>
    <row r="463" spans="1:12" x14ac:dyDescent="0.25">
      <c r="A463" t="s">
        <v>1760</v>
      </c>
      <c r="B463" t="s">
        <v>30</v>
      </c>
      <c r="C463" t="s">
        <v>159</v>
      </c>
      <c r="D463" s="4" t="s">
        <v>300</v>
      </c>
      <c r="E463" s="4" t="s">
        <v>300</v>
      </c>
      <c r="F463" s="4" t="s">
        <v>649</v>
      </c>
      <c r="G463" t="s">
        <v>768</v>
      </c>
      <c r="H463" t="s">
        <v>417</v>
      </c>
      <c r="I463" s="3">
        <f t="shared" si="7"/>
        <v>0</v>
      </c>
      <c r="J463" s="3">
        <f>D463/(VLOOKUP(B463,'2023 Team'!$B$2:$G$33,2,FALSE))</f>
        <v>1.7211703958691911E-3</v>
      </c>
      <c r="K463" t="s">
        <v>1519</v>
      </c>
      <c r="L463" t="s">
        <v>417</v>
      </c>
    </row>
    <row r="464" spans="1:12" x14ac:dyDescent="0.25">
      <c r="A464" t="s">
        <v>1840</v>
      </c>
      <c r="B464" t="s">
        <v>28</v>
      </c>
      <c r="C464" t="s">
        <v>186</v>
      </c>
      <c r="D464" s="4" t="s">
        <v>300</v>
      </c>
      <c r="E464" s="4" t="s">
        <v>300</v>
      </c>
      <c r="F464" s="4" t="s">
        <v>247</v>
      </c>
      <c r="G464" t="s">
        <v>389</v>
      </c>
      <c r="H464" t="s">
        <v>417</v>
      </c>
      <c r="I464" s="3">
        <f t="shared" si="7"/>
        <v>0</v>
      </c>
      <c r="J464" s="3">
        <f>D464/(VLOOKUP(B464,'2023 Team'!$B$2:$G$33,2,FALSE))</f>
        <v>1.6501650165016502E-3</v>
      </c>
      <c r="K464" t="s">
        <v>1519</v>
      </c>
      <c r="L464" t="s">
        <v>417</v>
      </c>
    </row>
    <row r="465" spans="1:12" x14ac:dyDescent="0.25">
      <c r="A465" t="s">
        <v>1039</v>
      </c>
      <c r="B465" t="s">
        <v>68</v>
      </c>
      <c r="C465" t="s">
        <v>1040</v>
      </c>
      <c r="D465" s="4" t="s">
        <v>300</v>
      </c>
      <c r="E465" s="4" t="s">
        <v>300</v>
      </c>
      <c r="F465" s="4" t="s">
        <v>289</v>
      </c>
      <c r="G465" t="s">
        <v>643</v>
      </c>
      <c r="H465" t="s">
        <v>300</v>
      </c>
      <c r="I465" s="3">
        <f t="shared" si="7"/>
        <v>1</v>
      </c>
      <c r="J465" s="3">
        <f>D465/(VLOOKUP(B465,'2023 Team'!$B$2:$G$33,2,FALSE))</f>
        <v>2.0242914979757085E-3</v>
      </c>
      <c r="K465" t="s">
        <v>1519</v>
      </c>
      <c r="L465" t="s">
        <v>417</v>
      </c>
    </row>
    <row r="466" spans="1:12" x14ac:dyDescent="0.25">
      <c r="A466" t="s">
        <v>1842</v>
      </c>
      <c r="B466" t="s">
        <v>28</v>
      </c>
      <c r="C466" t="s">
        <v>805</v>
      </c>
      <c r="D466" s="4" t="s">
        <v>300</v>
      </c>
      <c r="E466" s="4" t="s">
        <v>300</v>
      </c>
      <c r="F466" s="4" t="s">
        <v>229</v>
      </c>
      <c r="G466" t="s">
        <v>235</v>
      </c>
      <c r="H466" t="s">
        <v>417</v>
      </c>
      <c r="I466" s="3">
        <f t="shared" si="7"/>
        <v>0</v>
      </c>
      <c r="J466" s="3">
        <f>D466/(VLOOKUP(B466,'2023 Team'!$B$2:$G$33,2,FALSE))</f>
        <v>1.6501650165016502E-3</v>
      </c>
      <c r="K466" t="s">
        <v>1519</v>
      </c>
      <c r="L466" t="s">
        <v>417</v>
      </c>
    </row>
    <row r="467" spans="1:12" x14ac:dyDescent="0.25">
      <c r="A467" t="s">
        <v>1843</v>
      </c>
      <c r="B467" t="s">
        <v>38</v>
      </c>
      <c r="C467" t="s">
        <v>805</v>
      </c>
      <c r="D467" s="4" t="s">
        <v>300</v>
      </c>
      <c r="E467" s="4" t="s">
        <v>300</v>
      </c>
      <c r="F467" s="4" t="s">
        <v>417</v>
      </c>
      <c r="G467" t="s">
        <v>504</v>
      </c>
      <c r="H467" t="s">
        <v>417</v>
      </c>
      <c r="I467" s="3">
        <f t="shared" si="7"/>
        <v>0</v>
      </c>
      <c r="J467" s="3">
        <f>D467/(VLOOKUP(B467,'2023 Team'!$B$2:$G$33,2,FALSE))</f>
        <v>1.5748031496062992E-3</v>
      </c>
      <c r="K467" t="s">
        <v>1519</v>
      </c>
      <c r="L467" t="s">
        <v>417</v>
      </c>
    </row>
    <row r="468" spans="1:12" x14ac:dyDescent="0.25">
      <c r="A468" t="s">
        <v>99</v>
      </c>
      <c r="B468" t="s">
        <v>64</v>
      </c>
      <c r="C468" t="s">
        <v>82</v>
      </c>
      <c r="D468" s="4" t="s">
        <v>300</v>
      </c>
      <c r="E468" s="4" t="s">
        <v>300</v>
      </c>
      <c r="F468" s="4" t="s">
        <v>649</v>
      </c>
      <c r="G468" t="s">
        <v>768</v>
      </c>
      <c r="H468" t="s">
        <v>417</v>
      </c>
      <c r="I468" s="3">
        <f t="shared" si="7"/>
        <v>0</v>
      </c>
      <c r="J468" s="3">
        <f>D468/(VLOOKUP(B468,'2023 Team'!$B$2:$G$33,2,FALSE))</f>
        <v>1.7391304347826088E-3</v>
      </c>
      <c r="K468" t="s">
        <v>1519</v>
      </c>
      <c r="L468" t="s">
        <v>220</v>
      </c>
    </row>
    <row r="469" spans="1:12" x14ac:dyDescent="0.25">
      <c r="A469" t="s">
        <v>1848</v>
      </c>
      <c r="B469" t="s">
        <v>16</v>
      </c>
      <c r="C469" t="s">
        <v>163</v>
      </c>
      <c r="D469" s="4" t="s">
        <v>314</v>
      </c>
      <c r="E469" s="4" t="s">
        <v>300</v>
      </c>
      <c r="F469" s="4" t="s">
        <v>452</v>
      </c>
      <c r="G469" t="s">
        <v>2076</v>
      </c>
      <c r="H469" t="s">
        <v>417</v>
      </c>
      <c r="I469" s="3">
        <f t="shared" si="7"/>
        <v>0</v>
      </c>
      <c r="J469" s="3">
        <f>D469/(VLOOKUP(B469,'2023 Team'!$B$2:$G$33,2,FALSE))</f>
        <v>5.1194539249146756E-3</v>
      </c>
      <c r="K469" t="s">
        <v>1446</v>
      </c>
      <c r="L469" t="s">
        <v>417</v>
      </c>
    </row>
    <row r="470" spans="1:12" x14ac:dyDescent="0.25">
      <c r="A470" t="s">
        <v>101</v>
      </c>
      <c r="B470" t="s">
        <v>32</v>
      </c>
      <c r="C470" t="s">
        <v>82</v>
      </c>
      <c r="D470" s="4" t="s">
        <v>300</v>
      </c>
      <c r="E470" s="4" t="s">
        <v>300</v>
      </c>
      <c r="F470" s="4" t="s">
        <v>417</v>
      </c>
      <c r="G470" t="s">
        <v>504</v>
      </c>
      <c r="H470" t="s">
        <v>417</v>
      </c>
      <c r="I470" s="3">
        <f t="shared" si="7"/>
        <v>0</v>
      </c>
      <c r="J470" s="3">
        <f>D470/(VLOOKUP(B470,'2023 Team'!$B$2:$G$33,2,FALSE))</f>
        <v>1.6891891891891893E-3</v>
      </c>
      <c r="K470" t="s">
        <v>1519</v>
      </c>
      <c r="L470" t="s">
        <v>225</v>
      </c>
    </row>
    <row r="471" spans="1:12" x14ac:dyDescent="0.25">
      <c r="A471" t="s">
        <v>1854</v>
      </c>
      <c r="B471" t="s">
        <v>64</v>
      </c>
      <c r="C471" t="s">
        <v>163</v>
      </c>
      <c r="D471" s="4" t="s">
        <v>300</v>
      </c>
      <c r="E471" s="4" t="s">
        <v>300</v>
      </c>
      <c r="F471" s="4" t="s">
        <v>211</v>
      </c>
      <c r="G471" t="s">
        <v>662</v>
      </c>
      <c r="H471" t="s">
        <v>417</v>
      </c>
      <c r="I471" s="3">
        <f t="shared" si="7"/>
        <v>0</v>
      </c>
      <c r="J471" s="3">
        <f>D471/(VLOOKUP(B471,'2023 Team'!$B$2:$G$33,2,FALSE))</f>
        <v>1.7391304347826088E-3</v>
      </c>
      <c r="K471" t="s">
        <v>1519</v>
      </c>
      <c r="L471" t="s">
        <v>417</v>
      </c>
    </row>
    <row r="472" spans="1:12" x14ac:dyDescent="0.25">
      <c r="A472" t="s">
        <v>1855</v>
      </c>
      <c r="B472" t="s">
        <v>12</v>
      </c>
      <c r="C472" t="s">
        <v>163</v>
      </c>
      <c r="D472" s="4" t="s">
        <v>314</v>
      </c>
      <c r="E472" s="4" t="s">
        <v>300</v>
      </c>
      <c r="F472" s="4" t="s">
        <v>193</v>
      </c>
      <c r="G472" t="s">
        <v>1537</v>
      </c>
      <c r="H472" t="s">
        <v>417</v>
      </c>
      <c r="I472" s="3">
        <f t="shared" si="7"/>
        <v>0</v>
      </c>
      <c r="J472" s="3">
        <f>D472/(VLOOKUP(B472,'2023 Team'!$B$2:$G$33,2,FALSE))</f>
        <v>6.0728744939271256E-3</v>
      </c>
      <c r="K472" t="s">
        <v>1446</v>
      </c>
      <c r="L472" t="s">
        <v>417</v>
      </c>
    </row>
    <row r="473" spans="1:12" x14ac:dyDescent="0.25">
      <c r="A473" t="s">
        <v>1859</v>
      </c>
      <c r="B473" t="s">
        <v>42</v>
      </c>
      <c r="C473" t="s">
        <v>153</v>
      </c>
      <c r="D473" s="4" t="s">
        <v>300</v>
      </c>
      <c r="E473" s="4" t="s">
        <v>300</v>
      </c>
      <c r="F473" s="4" t="s">
        <v>314</v>
      </c>
      <c r="G473" t="s">
        <v>502</v>
      </c>
      <c r="H473" t="s">
        <v>417</v>
      </c>
      <c r="I473" s="3">
        <f t="shared" si="7"/>
        <v>0</v>
      </c>
      <c r="J473" s="3">
        <f>D473/(VLOOKUP(B473,'2023 Team'!$B$2:$G$33,2,FALSE))</f>
        <v>1.5822784810126582E-3</v>
      </c>
      <c r="K473" t="s">
        <v>1519</v>
      </c>
      <c r="L473" t="s">
        <v>417</v>
      </c>
    </row>
    <row r="474" spans="1:12" x14ac:dyDescent="0.25">
      <c r="A474" t="s">
        <v>818</v>
      </c>
      <c r="B474" t="s">
        <v>12</v>
      </c>
      <c r="C474" t="s">
        <v>163</v>
      </c>
      <c r="D474" s="4" t="s">
        <v>289</v>
      </c>
      <c r="E474" s="4" t="s">
        <v>300</v>
      </c>
      <c r="F474" s="4" t="s">
        <v>266</v>
      </c>
      <c r="G474" t="s">
        <v>779</v>
      </c>
      <c r="H474" t="s">
        <v>417</v>
      </c>
      <c r="I474" s="3">
        <f t="shared" si="7"/>
        <v>0</v>
      </c>
      <c r="J474" s="3">
        <f>D474/(VLOOKUP(B474,'2023 Team'!$B$2:$G$33,2,FALSE))</f>
        <v>4.048582995951417E-3</v>
      </c>
      <c r="K474" t="s">
        <v>1356</v>
      </c>
      <c r="L474" t="s">
        <v>417</v>
      </c>
    </row>
    <row r="475" spans="1:12" x14ac:dyDescent="0.25">
      <c r="A475" t="s">
        <v>1862</v>
      </c>
      <c r="B475" t="s">
        <v>68</v>
      </c>
      <c r="C475" t="s">
        <v>153</v>
      </c>
      <c r="D475" s="4" t="s">
        <v>314</v>
      </c>
      <c r="E475" s="4" t="s">
        <v>300</v>
      </c>
      <c r="F475" s="4" t="s">
        <v>528</v>
      </c>
      <c r="G475" t="s">
        <v>1479</v>
      </c>
      <c r="H475" t="s">
        <v>417</v>
      </c>
      <c r="I475" s="3">
        <f t="shared" si="7"/>
        <v>0</v>
      </c>
      <c r="J475" s="3">
        <f>D475/(VLOOKUP(B475,'2023 Team'!$B$2:$G$33,2,FALSE))</f>
        <v>6.0728744939271256E-3</v>
      </c>
      <c r="K475" t="s">
        <v>1446</v>
      </c>
      <c r="L475" t="s">
        <v>417</v>
      </c>
    </row>
    <row r="476" spans="1:12" x14ac:dyDescent="0.25">
      <c r="A476" t="s">
        <v>97</v>
      </c>
      <c r="B476" t="s">
        <v>14</v>
      </c>
      <c r="C476" t="s">
        <v>82</v>
      </c>
      <c r="D476" s="4" t="s">
        <v>417</v>
      </c>
      <c r="E476" s="4" t="s">
        <v>417</v>
      </c>
      <c r="F476" s="4" t="s">
        <v>417</v>
      </c>
      <c r="H476" t="s">
        <v>417</v>
      </c>
      <c r="I476" s="3" t="e">
        <f t="shared" si="7"/>
        <v>#DIV/0!</v>
      </c>
      <c r="J476" s="3">
        <f>D476/(VLOOKUP(B476,'2023 Team'!$B$2:$G$33,2,FALSE))</f>
        <v>0</v>
      </c>
      <c r="L476" t="s">
        <v>207</v>
      </c>
    </row>
    <row r="477" spans="1:12" x14ac:dyDescent="0.25">
      <c r="A477" t="s">
        <v>160</v>
      </c>
      <c r="B477" t="s">
        <v>14</v>
      </c>
      <c r="C477" t="s">
        <v>82</v>
      </c>
      <c r="D477" s="4" t="s">
        <v>417</v>
      </c>
      <c r="E477" s="4" t="s">
        <v>417</v>
      </c>
      <c r="F477" s="4" t="s">
        <v>417</v>
      </c>
      <c r="H477" t="s">
        <v>417</v>
      </c>
      <c r="I477" s="3" t="e">
        <f t="shared" si="7"/>
        <v>#DIV/0!</v>
      </c>
      <c r="J477" s="3">
        <f>D477/(VLOOKUP(B477,'2023 Team'!$B$2:$G$33,2,FALSE))</f>
        <v>0</v>
      </c>
      <c r="L477" t="s">
        <v>417</v>
      </c>
    </row>
    <row r="478" spans="1:12" x14ac:dyDescent="0.25">
      <c r="A478" t="s">
        <v>154</v>
      </c>
      <c r="B478" t="s">
        <v>18</v>
      </c>
      <c r="C478" t="s">
        <v>82</v>
      </c>
      <c r="D478" s="4" t="s">
        <v>417</v>
      </c>
      <c r="E478" s="4" t="s">
        <v>417</v>
      </c>
      <c r="F478" s="4" t="s">
        <v>417</v>
      </c>
      <c r="H478" t="s">
        <v>417</v>
      </c>
      <c r="I478" s="3" t="e">
        <f t="shared" si="7"/>
        <v>#DIV/0!</v>
      </c>
      <c r="J478" s="3">
        <f>D478/(VLOOKUP(B478,'2023 Team'!$B$2:$G$33,2,FALSE))</f>
        <v>0</v>
      </c>
      <c r="L478" t="s">
        <v>314</v>
      </c>
    </row>
    <row r="479" spans="1:12" x14ac:dyDescent="0.25">
      <c r="A479" t="s">
        <v>1727</v>
      </c>
      <c r="B479" t="s">
        <v>36</v>
      </c>
      <c r="C479" t="s">
        <v>82</v>
      </c>
      <c r="D479" s="4" t="s">
        <v>417</v>
      </c>
      <c r="E479" s="4" t="s">
        <v>417</v>
      </c>
      <c r="F479" s="4" t="s">
        <v>417</v>
      </c>
      <c r="H479" t="s">
        <v>417</v>
      </c>
      <c r="I479" s="3" t="e">
        <f t="shared" si="7"/>
        <v>#DIV/0!</v>
      </c>
      <c r="J479" s="3">
        <f>D479/(VLOOKUP(B479,'2023 Team'!$B$2:$G$33,2,FALSE))</f>
        <v>0</v>
      </c>
      <c r="L479" t="s">
        <v>417</v>
      </c>
    </row>
    <row r="480" spans="1:12" x14ac:dyDescent="0.25">
      <c r="A480" t="s">
        <v>1565</v>
      </c>
      <c r="B480" t="s">
        <v>36</v>
      </c>
      <c r="C480" t="s">
        <v>82</v>
      </c>
      <c r="D480" s="4" t="s">
        <v>417</v>
      </c>
      <c r="E480" s="4" t="s">
        <v>417</v>
      </c>
      <c r="F480" s="4" t="s">
        <v>417</v>
      </c>
      <c r="H480" t="s">
        <v>417</v>
      </c>
      <c r="I480" s="3" t="e">
        <f t="shared" si="7"/>
        <v>#DIV/0!</v>
      </c>
      <c r="J480" s="3">
        <f>D480/(VLOOKUP(B480,'2023 Team'!$B$2:$G$33,2,FALSE))</f>
        <v>0</v>
      </c>
      <c r="L480" t="s">
        <v>300</v>
      </c>
    </row>
    <row r="481" spans="1:12" x14ac:dyDescent="0.25">
      <c r="A481" t="s">
        <v>1723</v>
      </c>
      <c r="B481" t="s">
        <v>40</v>
      </c>
      <c r="C481" t="s">
        <v>159</v>
      </c>
      <c r="D481" s="4" t="s">
        <v>417</v>
      </c>
      <c r="E481" s="4" t="s">
        <v>417</v>
      </c>
      <c r="F481" s="4" t="s">
        <v>417</v>
      </c>
      <c r="H481" t="s">
        <v>417</v>
      </c>
      <c r="I481" s="3" t="e">
        <f t="shared" si="7"/>
        <v>#DIV/0!</v>
      </c>
      <c r="J481" s="3">
        <f>D481/(VLOOKUP(B481,'2023 Team'!$B$2:$G$33,2,FALSE))</f>
        <v>0</v>
      </c>
      <c r="L481" t="s">
        <v>417</v>
      </c>
    </row>
    <row r="482" spans="1:12" x14ac:dyDescent="0.25">
      <c r="A482" t="s">
        <v>1564</v>
      </c>
      <c r="B482" t="s">
        <v>56</v>
      </c>
      <c r="C482" t="s">
        <v>82</v>
      </c>
      <c r="D482" s="4" t="s">
        <v>417</v>
      </c>
      <c r="E482" s="4" t="s">
        <v>417</v>
      </c>
      <c r="F482" s="4" t="s">
        <v>417</v>
      </c>
      <c r="H482" t="s">
        <v>417</v>
      </c>
      <c r="I482" s="3" t="e">
        <f t="shared" si="7"/>
        <v>#DIV/0!</v>
      </c>
      <c r="J482" s="3">
        <f>D482/(VLOOKUP(B482,'2023 Team'!$B$2:$G$33,2,FALSE))</f>
        <v>0</v>
      </c>
      <c r="L482" t="s">
        <v>289</v>
      </c>
    </row>
    <row r="483" spans="1:12" x14ac:dyDescent="0.25">
      <c r="A483" t="s">
        <v>147</v>
      </c>
      <c r="B483" t="s">
        <v>28</v>
      </c>
      <c r="C483" t="s">
        <v>82</v>
      </c>
      <c r="D483" s="4" t="s">
        <v>417</v>
      </c>
      <c r="E483" s="4" t="s">
        <v>417</v>
      </c>
      <c r="F483" s="4" t="s">
        <v>417</v>
      </c>
      <c r="H483" t="s">
        <v>417</v>
      </c>
      <c r="I483" s="3" t="e">
        <f t="shared" si="7"/>
        <v>#DIV/0!</v>
      </c>
      <c r="J483" s="3">
        <f>D483/(VLOOKUP(B483,'2023 Team'!$B$2:$G$33,2,FALSE))</f>
        <v>0</v>
      </c>
      <c r="L483" t="s">
        <v>417</v>
      </c>
    </row>
    <row r="484" spans="1:12" x14ac:dyDescent="0.25">
      <c r="A484" t="s">
        <v>94</v>
      </c>
      <c r="B484" t="s">
        <v>70</v>
      </c>
      <c r="C484" t="s">
        <v>82</v>
      </c>
      <c r="D484" s="4" t="s">
        <v>417</v>
      </c>
      <c r="E484" s="4" t="s">
        <v>417</v>
      </c>
      <c r="F484" s="4" t="s">
        <v>417</v>
      </c>
      <c r="H484" t="s">
        <v>417</v>
      </c>
      <c r="I484" s="3" t="e">
        <f t="shared" si="7"/>
        <v>#DIV/0!</v>
      </c>
      <c r="J484" s="3">
        <f>D484/(VLOOKUP(B484,'2023 Team'!$B$2:$G$33,2,FALSE))</f>
        <v>0</v>
      </c>
      <c r="L484" t="s">
        <v>417</v>
      </c>
    </row>
    <row r="485" spans="1:12" x14ac:dyDescent="0.25">
      <c r="A485" t="s">
        <v>489</v>
      </c>
      <c r="B485" t="s">
        <v>46</v>
      </c>
      <c r="C485" t="s">
        <v>159</v>
      </c>
      <c r="D485" s="4" t="s">
        <v>417</v>
      </c>
      <c r="E485" s="4" t="s">
        <v>417</v>
      </c>
      <c r="F485" s="4" t="s">
        <v>417</v>
      </c>
      <c r="H485" t="s">
        <v>417</v>
      </c>
      <c r="I485" s="3" t="e">
        <f t="shared" si="7"/>
        <v>#DIV/0!</v>
      </c>
      <c r="J485" s="3">
        <f>D485/(VLOOKUP(B485,'2023 Team'!$B$2:$G$33,2,FALSE))</f>
        <v>0</v>
      </c>
      <c r="L485" t="s">
        <v>417</v>
      </c>
    </row>
    <row r="486" spans="1:12" x14ac:dyDescent="0.25">
      <c r="A486" t="s">
        <v>111</v>
      </c>
      <c r="B486" t="s">
        <v>20</v>
      </c>
      <c r="C486" t="s">
        <v>82</v>
      </c>
      <c r="D486" s="4" t="s">
        <v>417</v>
      </c>
      <c r="E486" s="4" t="s">
        <v>417</v>
      </c>
      <c r="F486" s="4" t="s">
        <v>417</v>
      </c>
      <c r="H486" t="s">
        <v>417</v>
      </c>
      <c r="I486" s="3" t="e">
        <f t="shared" si="7"/>
        <v>#DIV/0!</v>
      </c>
      <c r="J486" s="3">
        <f>D486/(VLOOKUP(B486,'2023 Team'!$B$2:$G$33,2,FALSE))</f>
        <v>0</v>
      </c>
      <c r="L486" t="s">
        <v>289</v>
      </c>
    </row>
    <row r="487" spans="1:12" x14ac:dyDescent="0.25">
      <c r="A487" t="s">
        <v>1779</v>
      </c>
      <c r="B487" t="s">
        <v>10</v>
      </c>
      <c r="C487" t="s">
        <v>163</v>
      </c>
      <c r="D487" s="4" t="s">
        <v>289</v>
      </c>
      <c r="E487" s="4" t="s">
        <v>417</v>
      </c>
      <c r="F487" s="4" t="s">
        <v>417</v>
      </c>
      <c r="H487" t="s">
        <v>417</v>
      </c>
      <c r="I487" s="3" t="e">
        <f t="shared" si="7"/>
        <v>#DIV/0!</v>
      </c>
      <c r="J487" s="3">
        <f>D487/(VLOOKUP(B487,'2023 Team'!$B$2:$G$33,2,FALSE))</f>
        <v>3.7735849056603774E-3</v>
      </c>
      <c r="K487" t="s">
        <v>504</v>
      </c>
      <c r="L487" t="s">
        <v>417</v>
      </c>
    </row>
    <row r="488" spans="1:12" x14ac:dyDescent="0.25">
      <c r="A488" t="s">
        <v>1743</v>
      </c>
      <c r="B488" t="s">
        <v>28</v>
      </c>
      <c r="C488" t="s">
        <v>613</v>
      </c>
      <c r="D488" s="4" t="s">
        <v>417</v>
      </c>
      <c r="E488" s="4" t="s">
        <v>417</v>
      </c>
      <c r="F488" s="4" t="s">
        <v>417</v>
      </c>
      <c r="H488" t="s">
        <v>417</v>
      </c>
      <c r="I488" s="3" t="e">
        <f t="shared" si="7"/>
        <v>#DIV/0!</v>
      </c>
      <c r="J488" s="3">
        <f>D488/(VLOOKUP(B488,'2023 Team'!$B$2:$G$33,2,FALSE))</f>
        <v>0</v>
      </c>
      <c r="L488" t="s">
        <v>417</v>
      </c>
    </row>
    <row r="489" spans="1:12" x14ac:dyDescent="0.25">
      <c r="A489" t="s">
        <v>1552</v>
      </c>
      <c r="B489" t="s">
        <v>52</v>
      </c>
      <c r="C489" t="s">
        <v>82</v>
      </c>
      <c r="D489" s="4" t="s">
        <v>417</v>
      </c>
      <c r="E489" s="4" t="s">
        <v>417</v>
      </c>
      <c r="F489" s="4" t="s">
        <v>417</v>
      </c>
      <c r="H489" t="s">
        <v>417</v>
      </c>
      <c r="I489" s="3" t="e">
        <f t="shared" si="7"/>
        <v>#DIV/0!</v>
      </c>
      <c r="J489" s="3">
        <f>D489/(VLOOKUP(B489,'2023 Team'!$B$2:$G$33,2,FALSE))</f>
        <v>0</v>
      </c>
      <c r="L489" t="s">
        <v>207</v>
      </c>
    </row>
    <row r="490" spans="1:12" x14ac:dyDescent="0.25">
      <c r="A490" t="s">
        <v>1782</v>
      </c>
      <c r="B490" t="s">
        <v>56</v>
      </c>
      <c r="C490" t="s">
        <v>163</v>
      </c>
      <c r="D490" s="4" t="s">
        <v>300</v>
      </c>
      <c r="E490" s="4" t="s">
        <v>417</v>
      </c>
      <c r="F490" s="4" t="s">
        <v>417</v>
      </c>
      <c r="H490" t="s">
        <v>417</v>
      </c>
      <c r="I490" s="3" t="e">
        <f t="shared" si="7"/>
        <v>#DIV/0!</v>
      </c>
      <c r="J490" s="3">
        <f>D490/(VLOOKUP(B490,'2023 Team'!$B$2:$G$33,2,FALSE))</f>
        <v>1.6638935108153079E-3</v>
      </c>
      <c r="K490" t="s">
        <v>504</v>
      </c>
      <c r="L490" t="s">
        <v>417</v>
      </c>
    </row>
    <row r="491" spans="1:12" x14ac:dyDescent="0.25">
      <c r="A491" t="s">
        <v>1573</v>
      </c>
      <c r="B491" t="s">
        <v>30</v>
      </c>
      <c r="C491" t="s">
        <v>82</v>
      </c>
      <c r="D491" s="4" t="s">
        <v>417</v>
      </c>
      <c r="E491" s="4" t="s">
        <v>417</v>
      </c>
      <c r="F491" s="4" t="s">
        <v>417</v>
      </c>
      <c r="H491" t="s">
        <v>417</v>
      </c>
      <c r="I491" s="3" t="e">
        <f t="shared" si="7"/>
        <v>#DIV/0!</v>
      </c>
      <c r="J491" s="3">
        <f>D491/(VLOOKUP(B491,'2023 Team'!$B$2:$G$33,2,FALSE))</f>
        <v>0</v>
      </c>
      <c r="L491" t="s">
        <v>300</v>
      </c>
    </row>
    <row r="492" spans="1:12" x14ac:dyDescent="0.25">
      <c r="A492" t="s">
        <v>110</v>
      </c>
      <c r="B492" t="s">
        <v>48</v>
      </c>
      <c r="C492" t="s">
        <v>82</v>
      </c>
      <c r="D492" s="4" t="s">
        <v>417</v>
      </c>
      <c r="E492" s="4" t="s">
        <v>417</v>
      </c>
      <c r="F492" s="4" t="s">
        <v>417</v>
      </c>
      <c r="H492" t="s">
        <v>417</v>
      </c>
      <c r="I492" s="3" t="e">
        <f t="shared" si="7"/>
        <v>#DIV/0!</v>
      </c>
      <c r="J492" s="3">
        <f>D492/(VLOOKUP(B492,'2023 Team'!$B$2:$G$33,2,FALSE))</f>
        <v>0</v>
      </c>
      <c r="L492" t="s">
        <v>207</v>
      </c>
    </row>
    <row r="493" spans="1:12" x14ac:dyDescent="0.25">
      <c r="A493" t="s">
        <v>140</v>
      </c>
      <c r="B493" t="s">
        <v>16</v>
      </c>
      <c r="C493" t="s">
        <v>82</v>
      </c>
      <c r="D493" s="4" t="s">
        <v>417</v>
      </c>
      <c r="E493" s="4" t="s">
        <v>417</v>
      </c>
      <c r="F493" s="4" t="s">
        <v>417</v>
      </c>
      <c r="H493" t="s">
        <v>417</v>
      </c>
      <c r="I493" s="3" t="e">
        <f t="shared" si="7"/>
        <v>#DIV/0!</v>
      </c>
      <c r="J493" s="3">
        <f>D493/(VLOOKUP(B493,'2023 Team'!$B$2:$G$33,2,FALSE))</f>
        <v>0</v>
      </c>
      <c r="L493" t="s">
        <v>417</v>
      </c>
    </row>
    <row r="494" spans="1:12" x14ac:dyDescent="0.25">
      <c r="A494" t="s">
        <v>96</v>
      </c>
      <c r="B494" t="s">
        <v>62</v>
      </c>
      <c r="C494" t="s">
        <v>82</v>
      </c>
      <c r="D494" s="4" t="s">
        <v>417</v>
      </c>
      <c r="E494" s="4" t="s">
        <v>417</v>
      </c>
      <c r="F494" s="4" t="s">
        <v>417</v>
      </c>
      <c r="H494" t="s">
        <v>417</v>
      </c>
      <c r="I494" s="3" t="e">
        <f t="shared" si="7"/>
        <v>#DIV/0!</v>
      </c>
      <c r="J494" s="3">
        <f>D494/(VLOOKUP(B494,'2023 Team'!$B$2:$G$33,2,FALSE))</f>
        <v>0</v>
      </c>
      <c r="L494" t="s">
        <v>314</v>
      </c>
    </row>
    <row r="495" spans="1:12" x14ac:dyDescent="0.25">
      <c r="A495" t="s">
        <v>1737</v>
      </c>
      <c r="B495" t="s">
        <v>56</v>
      </c>
      <c r="C495" t="s">
        <v>755</v>
      </c>
      <c r="D495" s="4" t="s">
        <v>417</v>
      </c>
      <c r="E495" s="4" t="s">
        <v>417</v>
      </c>
      <c r="F495" s="4" t="s">
        <v>417</v>
      </c>
      <c r="H495" t="s">
        <v>417</v>
      </c>
      <c r="I495" s="3" t="e">
        <f t="shared" si="7"/>
        <v>#DIV/0!</v>
      </c>
      <c r="J495" s="3">
        <f>D495/(VLOOKUP(B495,'2023 Team'!$B$2:$G$33,2,FALSE))</f>
        <v>0</v>
      </c>
      <c r="L495" t="s">
        <v>300</v>
      </c>
    </row>
    <row r="496" spans="1:12" x14ac:dyDescent="0.25">
      <c r="A496" t="s">
        <v>1716</v>
      </c>
      <c r="B496" t="s">
        <v>62</v>
      </c>
      <c r="C496" t="s">
        <v>159</v>
      </c>
      <c r="D496" s="4" t="s">
        <v>417</v>
      </c>
      <c r="E496" s="4" t="s">
        <v>417</v>
      </c>
      <c r="F496" s="4" t="s">
        <v>417</v>
      </c>
      <c r="H496" t="s">
        <v>417</v>
      </c>
      <c r="I496" s="3" t="e">
        <f t="shared" si="7"/>
        <v>#DIV/0!</v>
      </c>
      <c r="J496" s="3">
        <f>D496/(VLOOKUP(B496,'2023 Team'!$B$2:$G$33,2,FALSE))</f>
        <v>0</v>
      </c>
      <c r="L496" t="s">
        <v>417</v>
      </c>
    </row>
    <row r="497" spans="1:12" x14ac:dyDescent="0.25">
      <c r="A497" t="s">
        <v>1559</v>
      </c>
      <c r="B497" t="s">
        <v>54</v>
      </c>
      <c r="C497" t="s">
        <v>82</v>
      </c>
      <c r="D497" s="4" t="s">
        <v>417</v>
      </c>
      <c r="E497" s="4" t="s">
        <v>417</v>
      </c>
      <c r="F497" s="4" t="s">
        <v>417</v>
      </c>
      <c r="H497" t="s">
        <v>417</v>
      </c>
      <c r="I497" s="3" t="e">
        <f t="shared" si="7"/>
        <v>#DIV/0!</v>
      </c>
      <c r="J497" s="3">
        <f>D497/(VLOOKUP(B497,'2023 Team'!$B$2:$G$33,2,FALSE))</f>
        <v>0</v>
      </c>
      <c r="L497" t="s">
        <v>289</v>
      </c>
    </row>
    <row r="498" spans="1:12" x14ac:dyDescent="0.25">
      <c r="A498" t="s">
        <v>151</v>
      </c>
      <c r="B498" t="s">
        <v>8</v>
      </c>
      <c r="C498" t="s">
        <v>82</v>
      </c>
      <c r="D498" s="4" t="s">
        <v>417</v>
      </c>
      <c r="E498" s="4" t="s">
        <v>417</v>
      </c>
      <c r="F498" s="4" t="s">
        <v>417</v>
      </c>
      <c r="H498" t="s">
        <v>417</v>
      </c>
      <c r="I498" s="3" t="e">
        <f t="shared" si="7"/>
        <v>#DIV/0!</v>
      </c>
      <c r="J498" s="3">
        <f>D498/(VLOOKUP(B498,'2023 Team'!$B$2:$G$33,2,FALSE))</f>
        <v>0</v>
      </c>
      <c r="L498" t="s">
        <v>225</v>
      </c>
    </row>
    <row r="499" spans="1:12" x14ac:dyDescent="0.25">
      <c r="A499" t="s">
        <v>151</v>
      </c>
      <c r="B499" t="s">
        <v>48</v>
      </c>
      <c r="C499" t="s">
        <v>82</v>
      </c>
      <c r="D499" s="4" t="s">
        <v>417</v>
      </c>
      <c r="E499" s="4" t="s">
        <v>417</v>
      </c>
      <c r="F499" s="4" t="s">
        <v>417</v>
      </c>
      <c r="H499" t="s">
        <v>417</v>
      </c>
      <c r="I499" s="3" t="e">
        <f t="shared" si="7"/>
        <v>#DIV/0!</v>
      </c>
      <c r="J499" s="3">
        <f>D499/(VLOOKUP(B499,'2023 Team'!$B$2:$G$33,2,FALSE))</f>
        <v>0</v>
      </c>
      <c r="L499" t="s">
        <v>247</v>
      </c>
    </row>
    <row r="500" spans="1:12" x14ac:dyDescent="0.25">
      <c r="A500" t="s">
        <v>1790</v>
      </c>
      <c r="B500" t="s">
        <v>26</v>
      </c>
      <c r="C500" t="s">
        <v>163</v>
      </c>
      <c r="D500" s="4" t="s">
        <v>314</v>
      </c>
      <c r="E500" s="4" t="s">
        <v>417</v>
      </c>
      <c r="F500" s="4" t="s">
        <v>417</v>
      </c>
      <c r="H500" t="s">
        <v>417</v>
      </c>
      <c r="I500" s="3" t="e">
        <f t="shared" si="7"/>
        <v>#DIV/0!</v>
      </c>
      <c r="J500" s="3">
        <f>D500/(VLOOKUP(B500,'2023 Team'!$B$2:$G$33,2,FALSE))</f>
        <v>5.8479532163742687E-3</v>
      </c>
      <c r="K500" t="s">
        <v>504</v>
      </c>
      <c r="L500" t="s">
        <v>417</v>
      </c>
    </row>
    <row r="501" spans="1:12" x14ac:dyDescent="0.25">
      <c r="A501" t="s">
        <v>1570</v>
      </c>
      <c r="B501" t="s">
        <v>22</v>
      </c>
      <c r="C501" t="s">
        <v>82</v>
      </c>
      <c r="D501" s="4" t="s">
        <v>417</v>
      </c>
      <c r="E501" s="4" t="s">
        <v>417</v>
      </c>
      <c r="F501" s="4" t="s">
        <v>417</v>
      </c>
      <c r="H501" t="s">
        <v>417</v>
      </c>
      <c r="I501" s="3" t="e">
        <f t="shared" si="7"/>
        <v>#DIV/0!</v>
      </c>
      <c r="J501" s="3">
        <f>D501/(VLOOKUP(B501,'2023 Team'!$B$2:$G$33,2,FALSE))</f>
        <v>0</v>
      </c>
      <c r="L501" t="s">
        <v>417</v>
      </c>
    </row>
    <row r="502" spans="1:12" x14ac:dyDescent="0.25">
      <c r="A502" t="s">
        <v>942</v>
      </c>
      <c r="B502" t="s">
        <v>64</v>
      </c>
      <c r="C502" t="s">
        <v>163</v>
      </c>
      <c r="D502" s="4" t="s">
        <v>300</v>
      </c>
      <c r="E502" s="4" t="s">
        <v>417</v>
      </c>
      <c r="F502" s="4" t="s">
        <v>417</v>
      </c>
      <c r="H502" t="s">
        <v>417</v>
      </c>
      <c r="I502" s="3" t="e">
        <f t="shared" si="7"/>
        <v>#DIV/0!</v>
      </c>
      <c r="J502" s="3">
        <f>D502/(VLOOKUP(B502,'2023 Team'!$B$2:$G$33,2,FALSE))</f>
        <v>1.7391304347826088E-3</v>
      </c>
      <c r="K502" t="s">
        <v>504</v>
      </c>
      <c r="L502" t="s">
        <v>417</v>
      </c>
    </row>
    <row r="503" spans="1:12" x14ac:dyDescent="0.25">
      <c r="A503" t="s">
        <v>1709</v>
      </c>
      <c r="B503" t="s">
        <v>44</v>
      </c>
      <c r="C503" t="s">
        <v>159</v>
      </c>
      <c r="D503" s="4" t="s">
        <v>417</v>
      </c>
      <c r="E503" s="4" t="s">
        <v>417</v>
      </c>
      <c r="F503" s="4" t="s">
        <v>417</v>
      </c>
      <c r="H503" t="s">
        <v>417</v>
      </c>
      <c r="I503" s="3" t="e">
        <f t="shared" ref="I503:I566" si="8">H503/E503</f>
        <v>#DIV/0!</v>
      </c>
      <c r="J503" s="3">
        <f>D503/(VLOOKUP(B503,'2023 Team'!$B$2:$G$33,2,FALSE))</f>
        <v>0</v>
      </c>
      <c r="L503" t="s">
        <v>417</v>
      </c>
    </row>
    <row r="504" spans="1:12" x14ac:dyDescent="0.25">
      <c r="A504" t="s">
        <v>1719</v>
      </c>
      <c r="B504" t="s">
        <v>46</v>
      </c>
      <c r="C504" t="s">
        <v>163</v>
      </c>
      <c r="D504" s="4" t="s">
        <v>300</v>
      </c>
      <c r="E504" s="4" t="s">
        <v>417</v>
      </c>
      <c r="F504" s="4" t="s">
        <v>417</v>
      </c>
      <c r="H504" t="s">
        <v>417</v>
      </c>
      <c r="I504" s="3" t="e">
        <f t="shared" si="8"/>
        <v>#DIV/0!</v>
      </c>
      <c r="J504" s="3">
        <f>D504/(VLOOKUP(B504,'2023 Team'!$B$2:$G$33,2,FALSE))</f>
        <v>1.7667844522968198E-3</v>
      </c>
      <c r="K504" t="s">
        <v>504</v>
      </c>
      <c r="L504" t="s">
        <v>417</v>
      </c>
    </row>
    <row r="505" spans="1:12" x14ac:dyDescent="0.25">
      <c r="A505" t="s">
        <v>117</v>
      </c>
      <c r="B505" t="s">
        <v>18</v>
      </c>
      <c r="C505" t="s">
        <v>82</v>
      </c>
      <c r="D505" s="4" t="s">
        <v>417</v>
      </c>
      <c r="E505" s="4" t="s">
        <v>417</v>
      </c>
      <c r="F505" s="4" t="s">
        <v>417</v>
      </c>
      <c r="H505" t="s">
        <v>417</v>
      </c>
      <c r="I505" s="3" t="e">
        <f t="shared" si="8"/>
        <v>#DIV/0!</v>
      </c>
      <c r="J505" s="3">
        <f>D505/(VLOOKUP(B505,'2023 Team'!$B$2:$G$33,2,FALSE))</f>
        <v>0</v>
      </c>
      <c r="L505" t="s">
        <v>211</v>
      </c>
    </row>
    <row r="506" spans="1:12" x14ac:dyDescent="0.25">
      <c r="A506" t="s">
        <v>113</v>
      </c>
      <c r="B506" t="s">
        <v>22</v>
      </c>
      <c r="C506" t="s">
        <v>82</v>
      </c>
      <c r="D506" s="4" t="s">
        <v>417</v>
      </c>
      <c r="E506" s="4" t="s">
        <v>417</v>
      </c>
      <c r="F506" s="4" t="s">
        <v>417</v>
      </c>
      <c r="H506" t="s">
        <v>417</v>
      </c>
      <c r="I506" s="3" t="e">
        <f t="shared" si="8"/>
        <v>#DIV/0!</v>
      </c>
      <c r="J506" s="3">
        <f>D506/(VLOOKUP(B506,'2023 Team'!$B$2:$G$33,2,FALSE))</f>
        <v>0</v>
      </c>
      <c r="L506" t="s">
        <v>229</v>
      </c>
    </row>
    <row r="507" spans="1:12" x14ac:dyDescent="0.25">
      <c r="A507" t="s">
        <v>1704</v>
      </c>
      <c r="B507" t="s">
        <v>14</v>
      </c>
      <c r="C507" t="s">
        <v>159</v>
      </c>
      <c r="D507" s="4" t="s">
        <v>417</v>
      </c>
      <c r="E507" s="4" t="s">
        <v>417</v>
      </c>
      <c r="F507" s="4" t="s">
        <v>417</v>
      </c>
      <c r="H507" t="s">
        <v>417</v>
      </c>
      <c r="I507" s="3" t="e">
        <f t="shared" si="8"/>
        <v>#DIV/0!</v>
      </c>
      <c r="J507" s="3">
        <f>D507/(VLOOKUP(B507,'2023 Team'!$B$2:$G$33,2,FALSE))</f>
        <v>0</v>
      </c>
      <c r="L507" t="s">
        <v>417</v>
      </c>
    </row>
    <row r="508" spans="1:12" x14ac:dyDescent="0.25">
      <c r="A508" t="s">
        <v>1568</v>
      </c>
      <c r="B508" t="s">
        <v>38</v>
      </c>
      <c r="C508" t="s">
        <v>82</v>
      </c>
      <c r="D508" s="4" t="s">
        <v>417</v>
      </c>
      <c r="E508" s="4" t="s">
        <v>417</v>
      </c>
      <c r="F508" s="4" t="s">
        <v>417</v>
      </c>
      <c r="H508" t="s">
        <v>417</v>
      </c>
      <c r="I508" s="3" t="e">
        <f t="shared" si="8"/>
        <v>#DIV/0!</v>
      </c>
      <c r="J508" s="3">
        <f>D508/(VLOOKUP(B508,'2023 Team'!$B$2:$G$33,2,FALSE))</f>
        <v>0</v>
      </c>
      <c r="L508" t="s">
        <v>417</v>
      </c>
    </row>
    <row r="509" spans="1:12" x14ac:dyDescent="0.25">
      <c r="A509" t="s">
        <v>617</v>
      </c>
      <c r="B509" t="s">
        <v>40</v>
      </c>
      <c r="C509" t="s">
        <v>82</v>
      </c>
      <c r="D509" s="4" t="s">
        <v>417</v>
      </c>
      <c r="E509" s="4" t="s">
        <v>417</v>
      </c>
      <c r="F509" s="4" t="s">
        <v>417</v>
      </c>
      <c r="H509" t="s">
        <v>417</v>
      </c>
      <c r="I509" s="3" t="e">
        <f t="shared" si="8"/>
        <v>#DIV/0!</v>
      </c>
      <c r="J509" s="3">
        <f>D509/(VLOOKUP(B509,'2023 Team'!$B$2:$G$33,2,FALSE))</f>
        <v>0</v>
      </c>
      <c r="L509" t="s">
        <v>300</v>
      </c>
    </row>
    <row r="510" spans="1:12" x14ac:dyDescent="0.25">
      <c r="A510" t="s">
        <v>1745</v>
      </c>
      <c r="B510" t="s">
        <v>8</v>
      </c>
      <c r="C510" t="s">
        <v>165</v>
      </c>
      <c r="D510" s="4" t="s">
        <v>417</v>
      </c>
      <c r="E510" s="4" t="s">
        <v>417</v>
      </c>
      <c r="F510" s="4" t="s">
        <v>417</v>
      </c>
      <c r="H510" t="s">
        <v>417</v>
      </c>
      <c r="I510" s="3" t="e">
        <f t="shared" si="8"/>
        <v>#DIV/0!</v>
      </c>
      <c r="J510" s="3">
        <f>D510/(VLOOKUP(B510,'2023 Team'!$B$2:$G$33,2,FALSE))</f>
        <v>0</v>
      </c>
      <c r="L510" t="s">
        <v>417</v>
      </c>
    </row>
    <row r="511" spans="1:12" x14ac:dyDescent="0.25">
      <c r="A511" t="s">
        <v>85</v>
      </c>
      <c r="B511" t="s">
        <v>28</v>
      </c>
      <c r="C511" t="s">
        <v>82</v>
      </c>
      <c r="D511" s="4" t="s">
        <v>417</v>
      </c>
      <c r="E511" s="4" t="s">
        <v>417</v>
      </c>
      <c r="F511" s="4" t="s">
        <v>417</v>
      </c>
      <c r="H511" t="s">
        <v>417</v>
      </c>
      <c r="I511" s="3" t="e">
        <f t="shared" si="8"/>
        <v>#DIV/0!</v>
      </c>
      <c r="J511" s="3">
        <f>D511/(VLOOKUP(B511,'2023 Team'!$B$2:$G$33,2,FALSE))</f>
        <v>0</v>
      </c>
      <c r="L511" t="s">
        <v>247</v>
      </c>
    </row>
    <row r="512" spans="1:12" x14ac:dyDescent="0.25">
      <c r="A512" t="s">
        <v>1730</v>
      </c>
      <c r="B512" t="s">
        <v>70</v>
      </c>
      <c r="C512" t="s">
        <v>159</v>
      </c>
      <c r="D512" s="4" t="s">
        <v>417</v>
      </c>
      <c r="E512" s="4" t="s">
        <v>417</v>
      </c>
      <c r="F512" s="4" t="s">
        <v>417</v>
      </c>
      <c r="H512" t="s">
        <v>417</v>
      </c>
      <c r="I512" s="3" t="e">
        <f t="shared" si="8"/>
        <v>#DIV/0!</v>
      </c>
      <c r="J512" s="3">
        <f>D512/(VLOOKUP(B512,'2023 Team'!$B$2:$G$33,2,FALSE))</f>
        <v>0</v>
      </c>
      <c r="L512" t="s">
        <v>417</v>
      </c>
    </row>
    <row r="513" spans="1:12" x14ac:dyDescent="0.25">
      <c r="A513" t="s">
        <v>1802</v>
      </c>
      <c r="B513" t="s">
        <v>66</v>
      </c>
      <c r="C513" t="s">
        <v>857</v>
      </c>
      <c r="D513" s="4" t="s">
        <v>417</v>
      </c>
      <c r="E513" s="4" t="s">
        <v>417</v>
      </c>
      <c r="F513" s="4" t="s">
        <v>687</v>
      </c>
      <c r="H513" t="s">
        <v>417</v>
      </c>
      <c r="I513" s="3" t="e">
        <f t="shared" si="8"/>
        <v>#DIV/0!</v>
      </c>
      <c r="J513" s="3">
        <f>D513/(VLOOKUP(B513,'2023 Team'!$B$2:$G$33,2,FALSE))</f>
        <v>0</v>
      </c>
      <c r="L513" t="s">
        <v>300</v>
      </c>
    </row>
    <row r="514" spans="1:12" x14ac:dyDescent="0.25">
      <c r="A514" t="s">
        <v>1569</v>
      </c>
      <c r="B514" t="s">
        <v>48</v>
      </c>
      <c r="C514" t="s">
        <v>82</v>
      </c>
      <c r="D514" s="4" t="s">
        <v>417</v>
      </c>
      <c r="E514" s="4" t="s">
        <v>417</v>
      </c>
      <c r="F514" s="4" t="s">
        <v>417</v>
      </c>
      <c r="H514" t="s">
        <v>417</v>
      </c>
      <c r="I514" s="3" t="e">
        <f t="shared" si="8"/>
        <v>#DIV/0!</v>
      </c>
      <c r="J514" s="3">
        <f>D514/(VLOOKUP(B514,'2023 Team'!$B$2:$G$33,2,FALSE))</f>
        <v>0</v>
      </c>
      <c r="L514" t="s">
        <v>289</v>
      </c>
    </row>
    <row r="515" spans="1:12" x14ac:dyDescent="0.25">
      <c r="A515" t="s">
        <v>1803</v>
      </c>
      <c r="B515" t="s">
        <v>36</v>
      </c>
      <c r="C515" t="s">
        <v>159</v>
      </c>
      <c r="D515" s="4" t="s">
        <v>289</v>
      </c>
      <c r="E515" s="4" t="s">
        <v>417</v>
      </c>
      <c r="F515" s="4" t="s">
        <v>417</v>
      </c>
      <c r="H515" t="s">
        <v>417</v>
      </c>
      <c r="I515" s="3" t="e">
        <f t="shared" si="8"/>
        <v>#DIV/0!</v>
      </c>
      <c r="J515" s="3">
        <f>D515/(VLOOKUP(B515,'2023 Team'!$B$2:$G$33,2,FALSE))</f>
        <v>3.2258064516129032E-3</v>
      </c>
      <c r="K515" t="s">
        <v>504</v>
      </c>
      <c r="L515" t="s">
        <v>417</v>
      </c>
    </row>
    <row r="516" spans="1:12" x14ac:dyDescent="0.25">
      <c r="A516" t="s">
        <v>1560</v>
      </c>
      <c r="B516" t="s">
        <v>10</v>
      </c>
      <c r="C516" t="s">
        <v>82</v>
      </c>
      <c r="D516" s="4" t="s">
        <v>417</v>
      </c>
      <c r="E516" s="4" t="s">
        <v>417</v>
      </c>
      <c r="F516" s="4" t="s">
        <v>417</v>
      </c>
      <c r="H516" t="s">
        <v>417</v>
      </c>
      <c r="I516" s="3" t="e">
        <f t="shared" si="8"/>
        <v>#DIV/0!</v>
      </c>
      <c r="J516" s="3">
        <f>D516/(VLOOKUP(B516,'2023 Team'!$B$2:$G$33,2,FALSE))</f>
        <v>0</v>
      </c>
      <c r="L516" t="s">
        <v>300</v>
      </c>
    </row>
    <row r="517" spans="1:12" x14ac:dyDescent="0.25">
      <c r="A517" t="s">
        <v>1580</v>
      </c>
      <c r="B517" t="s">
        <v>16</v>
      </c>
      <c r="C517" t="s">
        <v>165</v>
      </c>
      <c r="D517" s="4" t="s">
        <v>417</v>
      </c>
      <c r="E517" s="4" t="s">
        <v>417</v>
      </c>
      <c r="F517" s="4" t="s">
        <v>417</v>
      </c>
      <c r="H517" t="s">
        <v>417</v>
      </c>
      <c r="I517" s="3" t="e">
        <f t="shared" si="8"/>
        <v>#DIV/0!</v>
      </c>
      <c r="J517" s="3">
        <f>D517/(VLOOKUP(B517,'2023 Team'!$B$2:$G$33,2,FALSE))</f>
        <v>0</v>
      </c>
      <c r="L517" t="s">
        <v>300</v>
      </c>
    </row>
    <row r="518" spans="1:12" x14ac:dyDescent="0.25">
      <c r="A518" t="s">
        <v>767</v>
      </c>
      <c r="B518" t="s">
        <v>18</v>
      </c>
      <c r="C518" t="s">
        <v>159</v>
      </c>
      <c r="D518" s="4" t="s">
        <v>300</v>
      </c>
      <c r="E518" s="4" t="s">
        <v>417</v>
      </c>
      <c r="F518" s="4" t="s">
        <v>417</v>
      </c>
      <c r="H518" t="s">
        <v>417</v>
      </c>
      <c r="I518" s="3" t="e">
        <f t="shared" si="8"/>
        <v>#DIV/0!</v>
      </c>
      <c r="J518" s="3">
        <f>D518/(VLOOKUP(B518,'2023 Team'!$B$2:$G$33,2,FALSE))</f>
        <v>1.9493177387914229E-3</v>
      </c>
      <c r="K518" t="s">
        <v>504</v>
      </c>
      <c r="L518" t="s">
        <v>417</v>
      </c>
    </row>
    <row r="519" spans="1:12" x14ac:dyDescent="0.25">
      <c r="A519" t="s">
        <v>1749</v>
      </c>
      <c r="B519" t="s">
        <v>68</v>
      </c>
      <c r="C519" t="s">
        <v>980</v>
      </c>
      <c r="D519" s="4" t="s">
        <v>417</v>
      </c>
      <c r="E519" s="4" t="s">
        <v>417</v>
      </c>
      <c r="F519" s="4" t="s">
        <v>417</v>
      </c>
      <c r="H519" t="s">
        <v>417</v>
      </c>
      <c r="I519" s="3" t="e">
        <f t="shared" si="8"/>
        <v>#DIV/0!</v>
      </c>
      <c r="J519" s="3">
        <f>D519/(VLOOKUP(B519,'2023 Team'!$B$2:$G$33,2,FALSE))</f>
        <v>0</v>
      </c>
      <c r="L519" t="s">
        <v>417</v>
      </c>
    </row>
    <row r="520" spans="1:12" x14ac:dyDescent="0.25">
      <c r="A520" t="s">
        <v>1567</v>
      </c>
      <c r="B520" t="s">
        <v>40</v>
      </c>
      <c r="C520" t="s">
        <v>82</v>
      </c>
      <c r="D520" s="4" t="s">
        <v>417</v>
      </c>
      <c r="E520" s="4" t="s">
        <v>417</v>
      </c>
      <c r="F520" s="4" t="s">
        <v>417</v>
      </c>
      <c r="H520" t="s">
        <v>417</v>
      </c>
      <c r="I520" s="3" t="e">
        <f t="shared" si="8"/>
        <v>#DIV/0!</v>
      </c>
      <c r="J520" s="3">
        <f>D520/(VLOOKUP(B520,'2023 Team'!$B$2:$G$33,2,FALSE))</f>
        <v>0</v>
      </c>
      <c r="L520" t="s">
        <v>417</v>
      </c>
    </row>
    <row r="521" spans="1:12" x14ac:dyDescent="0.25">
      <c r="A521" t="s">
        <v>130</v>
      </c>
      <c r="B521" t="s">
        <v>12</v>
      </c>
      <c r="C521" t="s">
        <v>82</v>
      </c>
      <c r="D521" s="4" t="s">
        <v>417</v>
      </c>
      <c r="E521" s="4" t="s">
        <v>417</v>
      </c>
      <c r="F521" s="4" t="s">
        <v>417</v>
      </c>
      <c r="H521" t="s">
        <v>417</v>
      </c>
      <c r="I521" s="3" t="e">
        <f t="shared" si="8"/>
        <v>#DIV/0!</v>
      </c>
      <c r="J521" s="3">
        <f>D521/(VLOOKUP(B521,'2023 Team'!$B$2:$G$33,2,FALSE))</f>
        <v>0</v>
      </c>
      <c r="L521" t="s">
        <v>417</v>
      </c>
    </row>
    <row r="522" spans="1:12" x14ac:dyDescent="0.25">
      <c r="A522" t="s">
        <v>98</v>
      </c>
      <c r="B522" t="s">
        <v>58</v>
      </c>
      <c r="C522" t="s">
        <v>82</v>
      </c>
      <c r="D522" s="4" t="s">
        <v>417</v>
      </c>
      <c r="E522" s="4" t="s">
        <v>417</v>
      </c>
      <c r="F522" s="4" t="s">
        <v>417</v>
      </c>
      <c r="H522" t="s">
        <v>417</v>
      </c>
      <c r="I522" s="3" t="e">
        <f t="shared" si="8"/>
        <v>#DIV/0!</v>
      </c>
      <c r="J522" s="3">
        <f>D522/(VLOOKUP(B522,'2023 Team'!$B$2:$G$33,2,FALSE))</f>
        <v>0</v>
      </c>
      <c r="L522" t="s">
        <v>270</v>
      </c>
    </row>
    <row r="523" spans="1:12" x14ac:dyDescent="0.25">
      <c r="A523" t="s">
        <v>106</v>
      </c>
      <c r="B523" t="s">
        <v>12</v>
      </c>
      <c r="C523" t="s">
        <v>82</v>
      </c>
      <c r="D523" s="4" t="s">
        <v>417</v>
      </c>
      <c r="E523" s="4" t="s">
        <v>417</v>
      </c>
      <c r="F523" s="4" t="s">
        <v>417</v>
      </c>
      <c r="H523" t="s">
        <v>417</v>
      </c>
      <c r="I523" s="3" t="e">
        <f t="shared" si="8"/>
        <v>#DIV/0!</v>
      </c>
      <c r="J523" s="3">
        <f>D523/(VLOOKUP(B523,'2023 Team'!$B$2:$G$33,2,FALSE))</f>
        <v>0</v>
      </c>
      <c r="L523" t="s">
        <v>266</v>
      </c>
    </row>
    <row r="524" spans="1:12" x14ac:dyDescent="0.25">
      <c r="A524" t="s">
        <v>753</v>
      </c>
      <c r="B524" t="s">
        <v>20</v>
      </c>
      <c r="C524" t="s">
        <v>163</v>
      </c>
      <c r="D524" s="4" t="s">
        <v>300</v>
      </c>
      <c r="E524" s="4" t="s">
        <v>417</v>
      </c>
      <c r="F524" s="4" t="s">
        <v>417</v>
      </c>
      <c r="H524" t="s">
        <v>417</v>
      </c>
      <c r="I524" s="3" t="e">
        <f t="shared" si="8"/>
        <v>#DIV/0!</v>
      </c>
      <c r="J524" s="3">
        <f>D524/(VLOOKUP(B524,'2023 Team'!$B$2:$G$33,2,FALSE))</f>
        <v>1.6260162601626016E-3</v>
      </c>
      <c r="K524" t="s">
        <v>504</v>
      </c>
      <c r="L524" t="s">
        <v>417</v>
      </c>
    </row>
    <row r="525" spans="1:12" x14ac:dyDescent="0.25">
      <c r="A525" t="s">
        <v>1753</v>
      </c>
      <c r="B525" t="s">
        <v>32</v>
      </c>
      <c r="C525" t="s">
        <v>165</v>
      </c>
      <c r="D525" s="4" t="s">
        <v>417</v>
      </c>
      <c r="E525" s="4" t="s">
        <v>417</v>
      </c>
      <c r="F525" s="4" t="s">
        <v>417</v>
      </c>
      <c r="H525" t="s">
        <v>417</v>
      </c>
      <c r="I525" s="3" t="e">
        <f t="shared" si="8"/>
        <v>#DIV/0!</v>
      </c>
      <c r="J525" s="3">
        <f>D525/(VLOOKUP(B525,'2023 Team'!$B$2:$G$33,2,FALSE))</f>
        <v>0</v>
      </c>
      <c r="L525" t="s">
        <v>417</v>
      </c>
    </row>
    <row r="526" spans="1:12" x14ac:dyDescent="0.25">
      <c r="A526" t="s">
        <v>102</v>
      </c>
      <c r="B526" t="s">
        <v>54</v>
      </c>
      <c r="C526" t="s">
        <v>82</v>
      </c>
      <c r="D526" s="4" t="s">
        <v>417</v>
      </c>
      <c r="E526" s="4" t="s">
        <v>417</v>
      </c>
      <c r="F526" s="4" t="s">
        <v>417</v>
      </c>
      <c r="H526" t="s">
        <v>417</v>
      </c>
      <c r="I526" s="3" t="e">
        <f t="shared" si="8"/>
        <v>#DIV/0!</v>
      </c>
      <c r="J526" s="3">
        <f>D526/(VLOOKUP(B526,'2023 Team'!$B$2:$G$33,2,FALSE))</f>
        <v>0</v>
      </c>
      <c r="L526" t="s">
        <v>229</v>
      </c>
    </row>
    <row r="527" spans="1:12" x14ac:dyDescent="0.25">
      <c r="A527" t="s">
        <v>107</v>
      </c>
      <c r="B527" t="s">
        <v>50</v>
      </c>
      <c r="C527" t="s">
        <v>82</v>
      </c>
      <c r="D527" s="4" t="s">
        <v>417</v>
      </c>
      <c r="E527" s="4" t="s">
        <v>417</v>
      </c>
      <c r="F527" s="4" t="s">
        <v>417</v>
      </c>
      <c r="H527" t="s">
        <v>417</v>
      </c>
      <c r="I527" s="3" t="e">
        <f t="shared" si="8"/>
        <v>#DIV/0!</v>
      </c>
      <c r="J527" s="3">
        <f>D527/(VLOOKUP(B527,'2023 Team'!$B$2:$G$33,2,FALSE))</f>
        <v>0</v>
      </c>
      <c r="L527" t="s">
        <v>314</v>
      </c>
    </row>
    <row r="528" spans="1:12" x14ac:dyDescent="0.25">
      <c r="A528" t="s">
        <v>1566</v>
      </c>
      <c r="B528" t="s">
        <v>32</v>
      </c>
      <c r="C528" t="s">
        <v>82</v>
      </c>
      <c r="D528" s="4" t="s">
        <v>417</v>
      </c>
      <c r="E528" s="4" t="s">
        <v>417</v>
      </c>
      <c r="F528" s="4" t="s">
        <v>417</v>
      </c>
      <c r="H528" t="s">
        <v>417</v>
      </c>
      <c r="I528" s="3" t="e">
        <f t="shared" si="8"/>
        <v>#DIV/0!</v>
      </c>
      <c r="J528" s="3">
        <f>D528/(VLOOKUP(B528,'2023 Team'!$B$2:$G$33,2,FALSE))</f>
        <v>0</v>
      </c>
      <c r="L528" t="s">
        <v>300</v>
      </c>
    </row>
    <row r="529" spans="1:12" x14ac:dyDescent="0.25">
      <c r="A529" t="s">
        <v>87</v>
      </c>
      <c r="B529" t="s">
        <v>36</v>
      </c>
      <c r="C529" t="s">
        <v>82</v>
      </c>
      <c r="D529" s="4" t="s">
        <v>417</v>
      </c>
      <c r="E529" s="4" t="s">
        <v>417</v>
      </c>
      <c r="F529" s="4" t="s">
        <v>417</v>
      </c>
      <c r="H529" t="s">
        <v>417</v>
      </c>
      <c r="I529" s="3" t="e">
        <f t="shared" si="8"/>
        <v>#DIV/0!</v>
      </c>
      <c r="J529" s="3">
        <f>D529/(VLOOKUP(B529,'2023 Team'!$B$2:$G$33,2,FALSE))</f>
        <v>0</v>
      </c>
      <c r="L529" t="s">
        <v>198</v>
      </c>
    </row>
    <row r="530" spans="1:12" x14ac:dyDescent="0.25">
      <c r="A530" t="s">
        <v>1554</v>
      </c>
      <c r="B530" t="s">
        <v>68</v>
      </c>
      <c r="C530" t="s">
        <v>82</v>
      </c>
      <c r="D530" s="4" t="s">
        <v>417</v>
      </c>
      <c r="E530" s="4" t="s">
        <v>417</v>
      </c>
      <c r="F530" s="4" t="s">
        <v>417</v>
      </c>
      <c r="H530" t="s">
        <v>417</v>
      </c>
      <c r="I530" s="3" t="e">
        <f t="shared" si="8"/>
        <v>#DIV/0!</v>
      </c>
      <c r="J530" s="3">
        <f>D530/(VLOOKUP(B530,'2023 Team'!$B$2:$G$33,2,FALSE))</f>
        <v>0</v>
      </c>
      <c r="L530" t="s">
        <v>207</v>
      </c>
    </row>
    <row r="531" spans="1:12" x14ac:dyDescent="0.25">
      <c r="A531" t="s">
        <v>156</v>
      </c>
      <c r="B531" t="s">
        <v>64</v>
      </c>
      <c r="C531" t="s">
        <v>82</v>
      </c>
      <c r="D531" s="4" t="s">
        <v>417</v>
      </c>
      <c r="E531" s="4" t="s">
        <v>417</v>
      </c>
      <c r="F531" s="4" t="s">
        <v>417</v>
      </c>
      <c r="H531" t="s">
        <v>417</v>
      </c>
      <c r="I531" s="3" t="e">
        <f t="shared" si="8"/>
        <v>#DIV/0!</v>
      </c>
      <c r="J531" s="3">
        <f>D531/(VLOOKUP(B531,'2023 Team'!$B$2:$G$33,2,FALSE))</f>
        <v>0</v>
      </c>
      <c r="L531" t="s">
        <v>417</v>
      </c>
    </row>
    <row r="532" spans="1:12" x14ac:dyDescent="0.25">
      <c r="A532" t="s">
        <v>100</v>
      </c>
      <c r="B532" t="s">
        <v>30</v>
      </c>
      <c r="C532" t="s">
        <v>82</v>
      </c>
      <c r="D532" s="4" t="s">
        <v>417</v>
      </c>
      <c r="E532" s="4" t="s">
        <v>417</v>
      </c>
      <c r="F532" s="4" t="s">
        <v>417</v>
      </c>
      <c r="H532" t="s">
        <v>417</v>
      </c>
      <c r="I532" s="3" t="e">
        <f t="shared" si="8"/>
        <v>#DIV/0!</v>
      </c>
      <c r="J532" s="3">
        <f>D532/(VLOOKUP(B532,'2023 Team'!$B$2:$G$33,2,FALSE))</f>
        <v>0</v>
      </c>
      <c r="L532" t="s">
        <v>270</v>
      </c>
    </row>
    <row r="533" spans="1:12" x14ac:dyDescent="0.25">
      <c r="A533" t="s">
        <v>91</v>
      </c>
      <c r="B533" t="s">
        <v>38</v>
      </c>
      <c r="C533" t="s">
        <v>82</v>
      </c>
      <c r="D533" s="4" t="s">
        <v>417</v>
      </c>
      <c r="E533" s="4" t="s">
        <v>417</v>
      </c>
      <c r="F533" s="4" t="s">
        <v>417</v>
      </c>
      <c r="H533" t="s">
        <v>417</v>
      </c>
      <c r="I533" s="3" t="e">
        <f t="shared" si="8"/>
        <v>#DIV/0!</v>
      </c>
      <c r="J533" s="3">
        <f>D533/(VLOOKUP(B533,'2023 Team'!$B$2:$G$33,2,FALSE))</f>
        <v>0</v>
      </c>
      <c r="L533" t="s">
        <v>220</v>
      </c>
    </row>
    <row r="534" spans="1:12" x14ac:dyDescent="0.25">
      <c r="A534" t="s">
        <v>115</v>
      </c>
      <c r="B534" t="s">
        <v>58</v>
      </c>
      <c r="C534" t="s">
        <v>82</v>
      </c>
      <c r="D534" s="4" t="s">
        <v>417</v>
      </c>
      <c r="E534" s="4" t="s">
        <v>417</v>
      </c>
      <c r="F534" s="4" t="s">
        <v>417</v>
      </c>
      <c r="H534" t="s">
        <v>417</v>
      </c>
      <c r="I534" s="3" t="e">
        <f t="shared" si="8"/>
        <v>#DIV/0!</v>
      </c>
      <c r="J534" s="3">
        <f>D534/(VLOOKUP(B534,'2023 Team'!$B$2:$G$33,2,FALSE))</f>
        <v>0</v>
      </c>
      <c r="L534" t="s">
        <v>300</v>
      </c>
    </row>
    <row r="535" spans="1:12" x14ac:dyDescent="0.25">
      <c r="A535" t="s">
        <v>88</v>
      </c>
      <c r="B535" t="s">
        <v>66</v>
      </c>
      <c r="C535" t="s">
        <v>82</v>
      </c>
      <c r="D535" s="4" t="s">
        <v>417</v>
      </c>
      <c r="E535" s="4" t="s">
        <v>417</v>
      </c>
      <c r="F535" s="4" t="s">
        <v>417</v>
      </c>
      <c r="H535" t="s">
        <v>417</v>
      </c>
      <c r="I535" s="3" t="e">
        <f t="shared" si="8"/>
        <v>#DIV/0!</v>
      </c>
      <c r="J535" s="3">
        <f>D535/(VLOOKUP(B535,'2023 Team'!$B$2:$G$33,2,FALSE))</f>
        <v>0</v>
      </c>
      <c r="L535" t="s">
        <v>225</v>
      </c>
    </row>
    <row r="536" spans="1:12" x14ac:dyDescent="0.25">
      <c r="A536" t="s">
        <v>1823</v>
      </c>
      <c r="B536" t="s">
        <v>24</v>
      </c>
      <c r="C536" t="s">
        <v>153</v>
      </c>
      <c r="D536" s="4" t="s">
        <v>289</v>
      </c>
      <c r="E536" s="4" t="s">
        <v>417</v>
      </c>
      <c r="F536" s="4" t="s">
        <v>417</v>
      </c>
      <c r="H536" t="s">
        <v>417</v>
      </c>
      <c r="I536" s="3" t="e">
        <f t="shared" si="8"/>
        <v>#DIV/0!</v>
      </c>
      <c r="J536" s="3">
        <f>D536/(VLOOKUP(B536,'2023 Team'!$B$2:$G$33,2,FALSE))</f>
        <v>3.2573289902280132E-3</v>
      </c>
      <c r="K536" t="s">
        <v>504</v>
      </c>
      <c r="L536" t="s">
        <v>417</v>
      </c>
    </row>
    <row r="537" spans="1:12" x14ac:dyDescent="0.25">
      <c r="A537" t="s">
        <v>122</v>
      </c>
      <c r="B537" t="s">
        <v>32</v>
      </c>
      <c r="C537" t="s">
        <v>82</v>
      </c>
      <c r="D537" s="4" t="s">
        <v>417</v>
      </c>
      <c r="E537" s="4" t="s">
        <v>417</v>
      </c>
      <c r="F537" s="4" t="s">
        <v>417</v>
      </c>
      <c r="H537" t="s">
        <v>417</v>
      </c>
      <c r="I537" s="3" t="e">
        <f t="shared" si="8"/>
        <v>#DIV/0!</v>
      </c>
      <c r="J537" s="3">
        <f>D537/(VLOOKUP(B537,'2023 Team'!$B$2:$G$33,2,FALSE))</f>
        <v>0</v>
      </c>
      <c r="L537" t="s">
        <v>417</v>
      </c>
    </row>
    <row r="538" spans="1:12" x14ac:dyDescent="0.25">
      <c r="A538" t="s">
        <v>1824</v>
      </c>
      <c r="B538" t="s">
        <v>52</v>
      </c>
      <c r="C538" t="s">
        <v>159</v>
      </c>
      <c r="D538" s="4" t="s">
        <v>289</v>
      </c>
      <c r="E538" s="4" t="s">
        <v>417</v>
      </c>
      <c r="F538" s="4" t="s">
        <v>417</v>
      </c>
      <c r="H538" t="s">
        <v>417</v>
      </c>
      <c r="I538" s="3" t="e">
        <f t="shared" si="8"/>
        <v>#DIV/0!</v>
      </c>
      <c r="J538" s="3">
        <f>D538/(VLOOKUP(B538,'2023 Team'!$B$2:$G$33,2,FALSE))</f>
        <v>3.3003300330033004E-3</v>
      </c>
      <c r="K538" t="s">
        <v>504</v>
      </c>
      <c r="L538" t="s">
        <v>417</v>
      </c>
    </row>
    <row r="539" spans="1:12" x14ac:dyDescent="0.25">
      <c r="A539" t="s">
        <v>149</v>
      </c>
      <c r="B539" t="s">
        <v>34</v>
      </c>
      <c r="C539" t="s">
        <v>82</v>
      </c>
      <c r="D539" s="4" t="s">
        <v>417</v>
      </c>
      <c r="E539" s="4" t="s">
        <v>417</v>
      </c>
      <c r="F539" s="4" t="s">
        <v>417</v>
      </c>
      <c r="H539" t="s">
        <v>417</v>
      </c>
      <c r="I539" s="3" t="e">
        <f t="shared" si="8"/>
        <v>#DIV/0!</v>
      </c>
      <c r="J539" s="3">
        <f>D539/(VLOOKUP(B539,'2023 Team'!$B$2:$G$33,2,FALSE))</f>
        <v>0</v>
      </c>
      <c r="L539" t="s">
        <v>225</v>
      </c>
    </row>
    <row r="540" spans="1:12" x14ac:dyDescent="0.25">
      <c r="A540" t="s">
        <v>155</v>
      </c>
      <c r="B540" t="s">
        <v>48</v>
      </c>
      <c r="C540" t="s">
        <v>82</v>
      </c>
      <c r="D540" s="4" t="s">
        <v>417</v>
      </c>
      <c r="E540" s="4" t="s">
        <v>417</v>
      </c>
      <c r="F540" s="4" t="s">
        <v>417</v>
      </c>
      <c r="H540" t="s">
        <v>417</v>
      </c>
      <c r="I540" s="3" t="e">
        <f t="shared" si="8"/>
        <v>#DIV/0!</v>
      </c>
      <c r="J540" s="3">
        <f>D540/(VLOOKUP(B540,'2023 Team'!$B$2:$G$33,2,FALSE))</f>
        <v>0</v>
      </c>
      <c r="L540" t="s">
        <v>289</v>
      </c>
    </row>
    <row r="541" spans="1:12" x14ac:dyDescent="0.25">
      <c r="A541" t="s">
        <v>121</v>
      </c>
      <c r="B541" t="s">
        <v>8</v>
      </c>
      <c r="C541" t="s">
        <v>82</v>
      </c>
      <c r="D541" s="4" t="s">
        <v>417</v>
      </c>
      <c r="E541" s="4" t="s">
        <v>417</v>
      </c>
      <c r="F541" s="4" t="s">
        <v>417</v>
      </c>
      <c r="H541" t="s">
        <v>417</v>
      </c>
      <c r="I541" s="3" t="e">
        <f t="shared" si="8"/>
        <v>#DIV/0!</v>
      </c>
      <c r="J541" s="3">
        <f>D541/(VLOOKUP(B541,'2023 Team'!$B$2:$G$33,2,FALSE))</f>
        <v>0</v>
      </c>
      <c r="L541" t="s">
        <v>207</v>
      </c>
    </row>
    <row r="542" spans="1:12" x14ac:dyDescent="0.25">
      <c r="A542" t="s">
        <v>1756</v>
      </c>
      <c r="B542" t="s">
        <v>42</v>
      </c>
      <c r="C542" t="s">
        <v>186</v>
      </c>
      <c r="D542" s="4" t="s">
        <v>417</v>
      </c>
      <c r="E542" s="4" t="s">
        <v>417</v>
      </c>
      <c r="F542" s="4" t="s">
        <v>417</v>
      </c>
      <c r="H542" t="s">
        <v>417</v>
      </c>
      <c r="I542" s="3" t="e">
        <f t="shared" si="8"/>
        <v>#DIV/0!</v>
      </c>
      <c r="J542" s="3">
        <f>D542/(VLOOKUP(B542,'2023 Team'!$B$2:$G$33,2,FALSE))</f>
        <v>0</v>
      </c>
      <c r="L542" t="s">
        <v>300</v>
      </c>
    </row>
    <row r="543" spans="1:12" x14ac:dyDescent="0.25">
      <c r="A543" t="s">
        <v>1757</v>
      </c>
      <c r="B543" t="s">
        <v>30</v>
      </c>
      <c r="C543" t="s">
        <v>647</v>
      </c>
      <c r="D543" s="4" t="s">
        <v>417</v>
      </c>
      <c r="E543" s="4" t="s">
        <v>417</v>
      </c>
      <c r="F543" s="4" t="s">
        <v>417</v>
      </c>
      <c r="H543" t="s">
        <v>417</v>
      </c>
      <c r="I543" s="3" t="e">
        <f t="shared" si="8"/>
        <v>#DIV/0!</v>
      </c>
      <c r="J543" s="3">
        <f>D543/(VLOOKUP(B543,'2023 Team'!$B$2:$G$33,2,FALSE))</f>
        <v>0</v>
      </c>
      <c r="L543" t="s">
        <v>314</v>
      </c>
    </row>
    <row r="544" spans="1:12" x14ac:dyDescent="0.25">
      <c r="A544" t="s">
        <v>561</v>
      </c>
      <c r="B544" t="s">
        <v>48</v>
      </c>
      <c r="C544" t="s">
        <v>159</v>
      </c>
      <c r="D544" s="4" t="s">
        <v>417</v>
      </c>
      <c r="E544" s="4" t="s">
        <v>417</v>
      </c>
      <c r="F544" s="4" t="s">
        <v>417</v>
      </c>
      <c r="H544" t="s">
        <v>417</v>
      </c>
      <c r="I544" s="3" t="e">
        <f t="shared" si="8"/>
        <v>#DIV/0!</v>
      </c>
      <c r="J544" s="3">
        <f>D544/(VLOOKUP(B544,'2023 Team'!$B$2:$G$33,2,FALSE))</f>
        <v>0</v>
      </c>
      <c r="L544" t="s">
        <v>417</v>
      </c>
    </row>
    <row r="545" spans="1:12" x14ac:dyDescent="0.25">
      <c r="A545" t="s">
        <v>145</v>
      </c>
      <c r="B545" t="s">
        <v>40</v>
      </c>
      <c r="C545" t="s">
        <v>82</v>
      </c>
      <c r="D545" s="4" t="s">
        <v>417</v>
      </c>
      <c r="E545" s="4" t="s">
        <v>417</v>
      </c>
      <c r="F545" s="4" t="s">
        <v>417</v>
      </c>
      <c r="H545" t="s">
        <v>417</v>
      </c>
      <c r="I545" s="3" t="e">
        <f t="shared" si="8"/>
        <v>#DIV/0!</v>
      </c>
      <c r="J545" s="3">
        <f>D545/(VLOOKUP(B545,'2023 Team'!$B$2:$G$33,2,FALSE))</f>
        <v>0</v>
      </c>
      <c r="L545" t="s">
        <v>229</v>
      </c>
    </row>
    <row r="546" spans="1:12" x14ac:dyDescent="0.25">
      <c r="A546" t="s">
        <v>937</v>
      </c>
      <c r="B546" t="s">
        <v>58</v>
      </c>
      <c r="C546" t="s">
        <v>153</v>
      </c>
      <c r="D546" s="4" t="s">
        <v>300</v>
      </c>
      <c r="E546" s="4" t="s">
        <v>417</v>
      </c>
      <c r="F546" s="4" t="s">
        <v>417</v>
      </c>
      <c r="H546" t="s">
        <v>417</v>
      </c>
      <c r="I546" s="3" t="e">
        <f t="shared" si="8"/>
        <v>#DIV/0!</v>
      </c>
      <c r="J546" s="3">
        <f>D546/(VLOOKUP(B546,'2023 Team'!$B$2:$G$33,2,FALSE))</f>
        <v>1.7761989342806395E-3</v>
      </c>
      <c r="K546" t="s">
        <v>504</v>
      </c>
      <c r="L546" t="s">
        <v>417</v>
      </c>
    </row>
    <row r="547" spans="1:12" x14ac:dyDescent="0.25">
      <c r="A547" t="s">
        <v>1585</v>
      </c>
      <c r="B547" t="s">
        <v>18</v>
      </c>
      <c r="C547" t="s">
        <v>82</v>
      </c>
      <c r="D547" s="4" t="s">
        <v>417</v>
      </c>
      <c r="E547" s="4" t="s">
        <v>417</v>
      </c>
      <c r="F547" s="4" t="s">
        <v>417</v>
      </c>
      <c r="H547" t="s">
        <v>417</v>
      </c>
      <c r="I547" s="3" t="e">
        <f t="shared" si="8"/>
        <v>#DIV/0!</v>
      </c>
      <c r="J547" s="3">
        <f>D547/(VLOOKUP(B547,'2023 Team'!$B$2:$G$33,2,FALSE))</f>
        <v>0</v>
      </c>
      <c r="L547" t="s">
        <v>300</v>
      </c>
    </row>
    <row r="548" spans="1:12" x14ac:dyDescent="0.25">
      <c r="A548" t="s">
        <v>138</v>
      </c>
      <c r="B548" t="s">
        <v>60</v>
      </c>
      <c r="C548" t="s">
        <v>82</v>
      </c>
      <c r="D548" s="4" t="s">
        <v>417</v>
      </c>
      <c r="E548" s="4" t="s">
        <v>417</v>
      </c>
      <c r="F548" s="4" t="s">
        <v>417</v>
      </c>
      <c r="H548" t="s">
        <v>417</v>
      </c>
      <c r="I548" s="3" t="e">
        <f t="shared" si="8"/>
        <v>#DIV/0!</v>
      </c>
      <c r="J548" s="3">
        <f>D548/(VLOOKUP(B548,'2023 Team'!$B$2:$G$33,2,FALSE))</f>
        <v>0</v>
      </c>
      <c r="L548" t="s">
        <v>289</v>
      </c>
    </row>
    <row r="549" spans="1:12" x14ac:dyDescent="0.25">
      <c r="A549" t="s">
        <v>83</v>
      </c>
      <c r="B549" t="s">
        <v>24</v>
      </c>
      <c r="C549" t="s">
        <v>82</v>
      </c>
      <c r="D549" s="4" t="s">
        <v>417</v>
      </c>
      <c r="E549" s="4" t="s">
        <v>417</v>
      </c>
      <c r="F549" s="4" t="s">
        <v>417</v>
      </c>
      <c r="H549" t="s">
        <v>417</v>
      </c>
      <c r="I549" s="3" t="e">
        <f t="shared" si="8"/>
        <v>#DIV/0!</v>
      </c>
      <c r="J549" s="3">
        <f>D549/(VLOOKUP(B549,'2023 Team'!$B$2:$G$33,2,FALSE))</f>
        <v>0</v>
      </c>
      <c r="L549" t="s">
        <v>229</v>
      </c>
    </row>
    <row r="550" spans="1:12" x14ac:dyDescent="0.25">
      <c r="A550" t="s">
        <v>1036</v>
      </c>
      <c r="B550" t="s">
        <v>22</v>
      </c>
      <c r="C550" t="s">
        <v>163</v>
      </c>
      <c r="D550" s="4" t="s">
        <v>220</v>
      </c>
      <c r="E550" s="4" t="s">
        <v>417</v>
      </c>
      <c r="F550" s="4" t="s">
        <v>417</v>
      </c>
      <c r="H550" t="s">
        <v>417</v>
      </c>
      <c r="I550" s="3" t="e">
        <f t="shared" si="8"/>
        <v>#DIV/0!</v>
      </c>
      <c r="J550" s="3">
        <f>D550/(VLOOKUP(B550,'2023 Team'!$B$2:$G$33,2,FALSE))</f>
        <v>8.0128205128205121E-3</v>
      </c>
      <c r="K550" t="s">
        <v>504</v>
      </c>
      <c r="L550" t="s">
        <v>300</v>
      </c>
    </row>
    <row r="551" spans="1:12" x14ac:dyDescent="0.25">
      <c r="A551" t="s">
        <v>108</v>
      </c>
      <c r="B551" t="s">
        <v>62</v>
      </c>
      <c r="C551" t="s">
        <v>82</v>
      </c>
      <c r="D551" s="4" t="s">
        <v>417</v>
      </c>
      <c r="E551" s="4" t="s">
        <v>417</v>
      </c>
      <c r="F551" s="4" t="s">
        <v>417</v>
      </c>
      <c r="H551" t="s">
        <v>417</v>
      </c>
      <c r="I551" s="3" t="e">
        <f t="shared" si="8"/>
        <v>#DIV/0!</v>
      </c>
      <c r="J551" s="3">
        <f>D551/(VLOOKUP(B551,'2023 Team'!$B$2:$G$33,2,FALSE))</f>
        <v>0</v>
      </c>
      <c r="L551" t="s">
        <v>247</v>
      </c>
    </row>
    <row r="552" spans="1:12" x14ac:dyDescent="0.25">
      <c r="A552" t="s">
        <v>1574</v>
      </c>
      <c r="B552" t="s">
        <v>28</v>
      </c>
      <c r="C552" t="s">
        <v>186</v>
      </c>
      <c r="D552" s="4" t="s">
        <v>417</v>
      </c>
      <c r="E552" s="4" t="s">
        <v>417</v>
      </c>
      <c r="F552" s="4" t="s">
        <v>417</v>
      </c>
      <c r="H552" t="s">
        <v>417</v>
      </c>
      <c r="I552" s="3" t="e">
        <f t="shared" si="8"/>
        <v>#DIV/0!</v>
      </c>
      <c r="J552" s="3">
        <f>D552/(VLOOKUP(B552,'2023 Team'!$B$2:$G$33,2,FALSE))</f>
        <v>0</v>
      </c>
      <c r="L552" t="s">
        <v>417</v>
      </c>
    </row>
    <row r="553" spans="1:12" x14ac:dyDescent="0.25">
      <c r="A553" t="s">
        <v>161</v>
      </c>
      <c r="B553" t="s">
        <v>34</v>
      </c>
      <c r="C553" t="s">
        <v>82</v>
      </c>
      <c r="D553" s="4" t="s">
        <v>417</v>
      </c>
      <c r="E553" s="4" t="s">
        <v>417</v>
      </c>
      <c r="F553" s="4" t="s">
        <v>417</v>
      </c>
      <c r="H553" t="s">
        <v>417</v>
      </c>
      <c r="I553" s="3" t="e">
        <f t="shared" si="8"/>
        <v>#DIV/0!</v>
      </c>
      <c r="J553" s="3">
        <f>D553/(VLOOKUP(B553,'2023 Team'!$B$2:$G$33,2,FALSE))</f>
        <v>0</v>
      </c>
      <c r="L553" t="s">
        <v>314</v>
      </c>
    </row>
    <row r="554" spans="1:12" x14ac:dyDescent="0.25">
      <c r="A554" t="s">
        <v>1839</v>
      </c>
      <c r="B554" t="s">
        <v>34</v>
      </c>
      <c r="C554" t="s">
        <v>163</v>
      </c>
      <c r="D554" s="4" t="s">
        <v>289</v>
      </c>
      <c r="E554" s="4" t="s">
        <v>417</v>
      </c>
      <c r="F554" s="4" t="s">
        <v>417</v>
      </c>
      <c r="H554" t="s">
        <v>417</v>
      </c>
      <c r="I554" s="3" t="e">
        <f t="shared" si="8"/>
        <v>#DIV/0!</v>
      </c>
      <c r="J554" s="3">
        <f>D554/(VLOOKUP(B554,'2023 Team'!$B$2:$G$33,2,FALSE))</f>
        <v>3.4843205574912892E-3</v>
      </c>
      <c r="K554" t="s">
        <v>504</v>
      </c>
      <c r="L554" t="s">
        <v>417</v>
      </c>
    </row>
    <row r="555" spans="1:12" x14ac:dyDescent="0.25">
      <c r="A555" t="s">
        <v>137</v>
      </c>
      <c r="B555" t="s">
        <v>60</v>
      </c>
      <c r="C555" t="s">
        <v>82</v>
      </c>
      <c r="D555" s="4" t="s">
        <v>417</v>
      </c>
      <c r="E555" s="4" t="s">
        <v>417</v>
      </c>
      <c r="F555" s="4" t="s">
        <v>417</v>
      </c>
      <c r="H555" t="s">
        <v>417</v>
      </c>
      <c r="I555" s="3" t="e">
        <f t="shared" si="8"/>
        <v>#DIV/0!</v>
      </c>
      <c r="J555" s="3">
        <f>D555/(VLOOKUP(B555,'2023 Team'!$B$2:$G$33,2,FALSE))</f>
        <v>0</v>
      </c>
      <c r="L555" t="s">
        <v>314</v>
      </c>
    </row>
    <row r="556" spans="1:12" x14ac:dyDescent="0.25">
      <c r="A556" t="s">
        <v>136</v>
      </c>
      <c r="B556" t="s">
        <v>24</v>
      </c>
      <c r="C556" t="s">
        <v>82</v>
      </c>
      <c r="D556" s="4" t="s">
        <v>417</v>
      </c>
      <c r="E556" s="4" t="s">
        <v>417</v>
      </c>
      <c r="F556" s="4" t="s">
        <v>417</v>
      </c>
      <c r="H556" t="s">
        <v>417</v>
      </c>
      <c r="I556" s="3" t="e">
        <f t="shared" si="8"/>
        <v>#DIV/0!</v>
      </c>
      <c r="J556" s="3">
        <f>D556/(VLOOKUP(B556,'2023 Team'!$B$2:$G$33,2,FALSE))</f>
        <v>0</v>
      </c>
      <c r="L556" t="s">
        <v>417</v>
      </c>
    </row>
    <row r="557" spans="1:12" x14ac:dyDescent="0.25">
      <c r="A557" t="s">
        <v>183</v>
      </c>
      <c r="B557" t="s">
        <v>44</v>
      </c>
      <c r="C557" t="s">
        <v>82</v>
      </c>
      <c r="D557" s="4" t="s">
        <v>417</v>
      </c>
      <c r="E557" s="4" t="s">
        <v>417</v>
      </c>
      <c r="F557" s="4" t="s">
        <v>417</v>
      </c>
      <c r="H557" t="s">
        <v>417</v>
      </c>
      <c r="I557" s="3" t="e">
        <f t="shared" si="8"/>
        <v>#DIV/0!</v>
      </c>
      <c r="J557" s="3">
        <f>D557/(VLOOKUP(B557,'2023 Team'!$B$2:$G$33,2,FALSE))</f>
        <v>0</v>
      </c>
      <c r="L557" t="s">
        <v>289</v>
      </c>
    </row>
    <row r="558" spans="1:12" x14ac:dyDescent="0.25">
      <c r="A558" t="s">
        <v>1561</v>
      </c>
      <c r="B558" t="s">
        <v>56</v>
      </c>
      <c r="C558" t="s">
        <v>82</v>
      </c>
      <c r="D558" s="4" t="s">
        <v>417</v>
      </c>
      <c r="E558" s="4" t="s">
        <v>417</v>
      </c>
      <c r="F558" s="4" t="s">
        <v>417</v>
      </c>
      <c r="H558" t="s">
        <v>417</v>
      </c>
      <c r="I558" s="3" t="e">
        <f t="shared" si="8"/>
        <v>#DIV/0!</v>
      </c>
      <c r="J558" s="3">
        <f>D558/(VLOOKUP(B558,'2023 Team'!$B$2:$G$33,2,FALSE))</f>
        <v>0</v>
      </c>
      <c r="L558" t="s">
        <v>220</v>
      </c>
    </row>
    <row r="559" spans="1:12" x14ac:dyDescent="0.25">
      <c r="A559" t="s">
        <v>84</v>
      </c>
      <c r="B559" t="s">
        <v>44</v>
      </c>
      <c r="C559" t="s">
        <v>82</v>
      </c>
      <c r="D559" s="4" t="s">
        <v>417</v>
      </c>
      <c r="E559" s="4" t="s">
        <v>417</v>
      </c>
      <c r="F559" s="4" t="s">
        <v>417</v>
      </c>
      <c r="H559" t="s">
        <v>417</v>
      </c>
      <c r="I559" s="3" t="e">
        <f t="shared" si="8"/>
        <v>#DIV/0!</v>
      </c>
      <c r="J559" s="3">
        <f>D559/(VLOOKUP(B559,'2023 Team'!$B$2:$G$33,2,FALSE))</f>
        <v>0</v>
      </c>
      <c r="L559" t="s">
        <v>417</v>
      </c>
    </row>
    <row r="560" spans="1:12" x14ac:dyDescent="0.25">
      <c r="A560" t="s">
        <v>1557</v>
      </c>
      <c r="B560" t="s">
        <v>42</v>
      </c>
      <c r="C560" t="s">
        <v>82</v>
      </c>
      <c r="D560" s="4" t="s">
        <v>417</v>
      </c>
      <c r="E560" s="4" t="s">
        <v>417</v>
      </c>
      <c r="F560" s="4" t="s">
        <v>417</v>
      </c>
      <c r="H560" t="s">
        <v>417</v>
      </c>
      <c r="I560" s="3" t="e">
        <f t="shared" si="8"/>
        <v>#DIV/0!</v>
      </c>
      <c r="J560" s="3">
        <f>D560/(VLOOKUP(B560,'2023 Team'!$B$2:$G$33,2,FALSE))</f>
        <v>0</v>
      </c>
      <c r="L560" t="s">
        <v>220</v>
      </c>
    </row>
    <row r="561" spans="1:12" x14ac:dyDescent="0.25">
      <c r="A561" t="s">
        <v>782</v>
      </c>
      <c r="B561" t="s">
        <v>26</v>
      </c>
      <c r="C561" t="s">
        <v>82</v>
      </c>
      <c r="D561" s="4" t="s">
        <v>417</v>
      </c>
      <c r="E561" s="4" t="s">
        <v>417</v>
      </c>
      <c r="F561" s="4" t="s">
        <v>417</v>
      </c>
      <c r="H561" t="s">
        <v>417</v>
      </c>
      <c r="I561" s="3" t="e">
        <f t="shared" si="8"/>
        <v>#DIV/0!</v>
      </c>
      <c r="J561" s="3">
        <f>D561/(VLOOKUP(B561,'2023 Team'!$B$2:$G$33,2,FALSE))</f>
        <v>0</v>
      </c>
      <c r="L561" t="s">
        <v>300</v>
      </c>
    </row>
    <row r="562" spans="1:12" x14ac:dyDescent="0.25">
      <c r="A562" t="s">
        <v>1761</v>
      </c>
      <c r="B562" t="s">
        <v>68</v>
      </c>
      <c r="C562" t="s">
        <v>165</v>
      </c>
      <c r="D562" s="4" t="s">
        <v>417</v>
      </c>
      <c r="E562" s="4" t="s">
        <v>417</v>
      </c>
      <c r="F562" s="4" t="s">
        <v>417</v>
      </c>
      <c r="H562" t="s">
        <v>417</v>
      </c>
      <c r="I562" s="3" t="e">
        <f t="shared" si="8"/>
        <v>#DIV/0!</v>
      </c>
      <c r="J562" s="3">
        <f>D562/(VLOOKUP(B562,'2023 Team'!$B$2:$G$33,2,FALSE))</f>
        <v>0</v>
      </c>
      <c r="L562" t="s">
        <v>300</v>
      </c>
    </row>
    <row r="563" spans="1:12" x14ac:dyDescent="0.25">
      <c r="A563" t="s">
        <v>1849</v>
      </c>
      <c r="B563" t="s">
        <v>50</v>
      </c>
      <c r="C563" t="s">
        <v>998</v>
      </c>
      <c r="D563" s="4" t="s">
        <v>417</v>
      </c>
      <c r="E563" s="4" t="s">
        <v>417</v>
      </c>
      <c r="F563" s="4" t="s">
        <v>314</v>
      </c>
      <c r="H563" t="s">
        <v>417</v>
      </c>
      <c r="I563" s="3" t="e">
        <f t="shared" si="8"/>
        <v>#DIV/0!</v>
      </c>
      <c r="J563" s="3">
        <f>D563/(VLOOKUP(B563,'2023 Team'!$B$2:$G$33,2,FALSE))</f>
        <v>0</v>
      </c>
      <c r="L563" t="s">
        <v>417</v>
      </c>
    </row>
    <row r="564" spans="1:12" x14ac:dyDescent="0.25">
      <c r="A564" t="s">
        <v>103</v>
      </c>
      <c r="B564" t="s">
        <v>46</v>
      </c>
      <c r="C564" t="s">
        <v>82</v>
      </c>
      <c r="D564" s="4" t="s">
        <v>417</v>
      </c>
      <c r="E564" s="4" t="s">
        <v>417</v>
      </c>
      <c r="F564" s="4" t="s">
        <v>417</v>
      </c>
      <c r="H564" t="s">
        <v>417</v>
      </c>
      <c r="I564" s="3" t="e">
        <f t="shared" si="8"/>
        <v>#DIV/0!</v>
      </c>
      <c r="J564" s="3">
        <f>D564/(VLOOKUP(B564,'2023 Team'!$B$2:$G$33,2,FALSE))</f>
        <v>0</v>
      </c>
      <c r="L564" t="s">
        <v>234</v>
      </c>
    </row>
    <row r="565" spans="1:12" x14ac:dyDescent="0.25">
      <c r="A565" t="s">
        <v>1555</v>
      </c>
      <c r="B565" t="s">
        <v>68</v>
      </c>
      <c r="C565" t="s">
        <v>82</v>
      </c>
      <c r="D565" s="4" t="s">
        <v>300</v>
      </c>
      <c r="E565" s="4" t="s">
        <v>417</v>
      </c>
      <c r="F565" s="4" t="s">
        <v>417</v>
      </c>
      <c r="H565" t="s">
        <v>417</v>
      </c>
      <c r="I565" s="3" t="e">
        <f t="shared" si="8"/>
        <v>#DIV/0!</v>
      </c>
      <c r="J565" s="3">
        <f>D565/(VLOOKUP(B565,'2023 Team'!$B$2:$G$33,2,FALSE))</f>
        <v>2.0242914979757085E-3</v>
      </c>
      <c r="K565" t="s">
        <v>504</v>
      </c>
      <c r="L565" t="s">
        <v>229</v>
      </c>
    </row>
    <row r="566" spans="1:12" x14ac:dyDescent="0.25">
      <c r="A566" t="s">
        <v>1762</v>
      </c>
      <c r="B566" t="s">
        <v>18</v>
      </c>
      <c r="C566" t="s">
        <v>163</v>
      </c>
      <c r="D566" s="4" t="s">
        <v>289</v>
      </c>
      <c r="E566" s="4" t="s">
        <v>417</v>
      </c>
      <c r="F566" s="4" t="s">
        <v>417</v>
      </c>
      <c r="H566" t="s">
        <v>417</v>
      </c>
      <c r="I566" s="3" t="e">
        <f t="shared" si="8"/>
        <v>#DIV/0!</v>
      </c>
      <c r="J566" s="3">
        <f>D566/(VLOOKUP(B566,'2023 Team'!$B$2:$G$33,2,FALSE))</f>
        <v>3.8986354775828458E-3</v>
      </c>
      <c r="K566" t="s">
        <v>504</v>
      </c>
      <c r="L566" t="s">
        <v>289</v>
      </c>
    </row>
    <row r="567" spans="1:12" x14ac:dyDescent="0.25">
      <c r="A567" t="s">
        <v>124</v>
      </c>
      <c r="B567" t="s">
        <v>54</v>
      </c>
      <c r="C567" t="s">
        <v>82</v>
      </c>
      <c r="D567" s="4" t="s">
        <v>417</v>
      </c>
      <c r="E567" s="4" t="s">
        <v>417</v>
      </c>
      <c r="F567" s="4" t="s">
        <v>417</v>
      </c>
      <c r="H567" t="s">
        <v>417</v>
      </c>
      <c r="I567" s="3" t="e">
        <f t="shared" ref="I567:I630" si="9">H567/E567</f>
        <v>#DIV/0!</v>
      </c>
      <c r="J567" s="3">
        <f>D567/(VLOOKUP(B567,'2023 Team'!$B$2:$G$33,2,FALSE))</f>
        <v>0</v>
      </c>
      <c r="L567" t="s">
        <v>229</v>
      </c>
    </row>
    <row r="568" spans="1:12" x14ac:dyDescent="0.25">
      <c r="A568" t="s">
        <v>1563</v>
      </c>
      <c r="B568" t="s">
        <v>22</v>
      </c>
      <c r="C568" t="s">
        <v>82</v>
      </c>
      <c r="D568" s="4" t="s">
        <v>417</v>
      </c>
      <c r="E568" s="4" t="s">
        <v>417</v>
      </c>
      <c r="F568" s="4" t="s">
        <v>417</v>
      </c>
      <c r="H568" t="s">
        <v>417</v>
      </c>
      <c r="I568" s="3" t="e">
        <f t="shared" si="9"/>
        <v>#DIV/0!</v>
      </c>
      <c r="J568" s="3">
        <f>D568/(VLOOKUP(B568,'2023 Team'!$B$2:$G$33,2,FALSE))</f>
        <v>0</v>
      </c>
      <c r="L568" t="s">
        <v>289</v>
      </c>
    </row>
    <row r="569" spans="1:12" x14ac:dyDescent="0.25">
      <c r="A569" t="s">
        <v>1587</v>
      </c>
      <c r="B569" t="s">
        <v>66</v>
      </c>
      <c r="C569" t="s">
        <v>82</v>
      </c>
      <c r="D569" s="4" t="s">
        <v>417</v>
      </c>
      <c r="E569" s="4" t="s">
        <v>417</v>
      </c>
      <c r="F569" s="4" t="s">
        <v>417</v>
      </c>
      <c r="H569" t="s">
        <v>417</v>
      </c>
      <c r="I569" s="3" t="e">
        <f t="shared" si="9"/>
        <v>#DIV/0!</v>
      </c>
      <c r="J569" s="3">
        <f>D569/(VLOOKUP(B569,'2023 Team'!$B$2:$G$33,2,FALSE))</f>
        <v>0</v>
      </c>
      <c r="L569" t="s">
        <v>417</v>
      </c>
    </row>
    <row r="570" spans="1:12" x14ac:dyDescent="0.25">
      <c r="A570" t="s">
        <v>141</v>
      </c>
      <c r="B570" t="s">
        <v>60</v>
      </c>
      <c r="C570" t="s">
        <v>82</v>
      </c>
      <c r="D570" s="4" t="s">
        <v>417</v>
      </c>
      <c r="E570" s="4" t="s">
        <v>417</v>
      </c>
      <c r="F570" s="4" t="s">
        <v>417</v>
      </c>
      <c r="H570" t="s">
        <v>417</v>
      </c>
      <c r="I570" s="3" t="e">
        <f t="shared" si="9"/>
        <v>#DIV/0!</v>
      </c>
      <c r="J570" s="3">
        <f>D570/(VLOOKUP(B570,'2023 Team'!$B$2:$G$33,2,FALSE))</f>
        <v>0</v>
      </c>
      <c r="L570" t="s">
        <v>300</v>
      </c>
    </row>
    <row r="571" spans="1:12" x14ac:dyDescent="0.25">
      <c r="A571" t="s">
        <v>146</v>
      </c>
      <c r="B571" t="s">
        <v>8</v>
      </c>
      <c r="C571" t="s">
        <v>82</v>
      </c>
      <c r="D571" s="4" t="s">
        <v>417</v>
      </c>
      <c r="E571" s="4" t="s">
        <v>417</v>
      </c>
      <c r="F571" s="4" t="s">
        <v>417</v>
      </c>
      <c r="H571" t="s">
        <v>417</v>
      </c>
      <c r="I571" s="3" t="e">
        <f t="shared" si="9"/>
        <v>#DIV/0!</v>
      </c>
      <c r="J571" s="3">
        <f>D571/(VLOOKUP(B571,'2023 Team'!$B$2:$G$33,2,FALSE))</f>
        <v>0</v>
      </c>
      <c r="L571" t="s">
        <v>289</v>
      </c>
    </row>
    <row r="572" spans="1:12" x14ac:dyDescent="0.25">
      <c r="A572" t="s">
        <v>1764</v>
      </c>
      <c r="B572" t="s">
        <v>8</v>
      </c>
      <c r="C572" t="s">
        <v>186</v>
      </c>
      <c r="D572" s="4" t="s">
        <v>417</v>
      </c>
      <c r="E572" s="4" t="s">
        <v>417</v>
      </c>
      <c r="F572" s="4" t="s">
        <v>417</v>
      </c>
      <c r="H572" t="s">
        <v>417</v>
      </c>
      <c r="I572" s="3" t="e">
        <f t="shared" si="9"/>
        <v>#DIV/0!</v>
      </c>
      <c r="J572" s="3">
        <f>D572/(VLOOKUP(B572,'2023 Team'!$B$2:$G$33,2,FALSE))</f>
        <v>0</v>
      </c>
      <c r="L572" t="s">
        <v>417</v>
      </c>
    </row>
    <row r="573" spans="1:12" x14ac:dyDescent="0.25">
      <c r="A573" t="s">
        <v>1858</v>
      </c>
      <c r="B573" t="s">
        <v>40</v>
      </c>
      <c r="C573" t="s">
        <v>934</v>
      </c>
      <c r="D573" s="4" t="s">
        <v>417</v>
      </c>
      <c r="E573" s="4" t="s">
        <v>417</v>
      </c>
      <c r="F573" s="4" t="s">
        <v>220</v>
      </c>
      <c r="H573" t="s">
        <v>417</v>
      </c>
      <c r="I573" s="3" t="e">
        <f t="shared" si="9"/>
        <v>#DIV/0!</v>
      </c>
      <c r="J573" s="3">
        <f>D573/(VLOOKUP(B573,'2023 Team'!$B$2:$G$33,2,FALSE))</f>
        <v>0</v>
      </c>
      <c r="L573" t="s">
        <v>300</v>
      </c>
    </row>
    <row r="574" spans="1:12" x14ac:dyDescent="0.25">
      <c r="A574" t="s">
        <v>1562</v>
      </c>
      <c r="B574" t="s">
        <v>22</v>
      </c>
      <c r="C574" t="s">
        <v>82</v>
      </c>
      <c r="D574" s="4" t="s">
        <v>417</v>
      </c>
      <c r="E574" s="4" t="s">
        <v>417</v>
      </c>
      <c r="F574" s="4" t="s">
        <v>417</v>
      </c>
      <c r="H574" t="s">
        <v>417</v>
      </c>
      <c r="I574" s="3" t="e">
        <f t="shared" si="9"/>
        <v>#DIV/0!</v>
      </c>
      <c r="J574" s="3">
        <f>D574/(VLOOKUP(B574,'2023 Team'!$B$2:$G$33,2,FALSE))</f>
        <v>0</v>
      </c>
      <c r="L574" t="s">
        <v>229</v>
      </c>
    </row>
    <row r="575" spans="1:12" x14ac:dyDescent="0.25">
      <c r="A575" t="s">
        <v>1735</v>
      </c>
      <c r="B575" t="s">
        <v>68</v>
      </c>
      <c r="C575" t="s">
        <v>159</v>
      </c>
      <c r="D575" s="4" t="s">
        <v>417</v>
      </c>
      <c r="E575" s="4" t="s">
        <v>417</v>
      </c>
      <c r="F575" s="4" t="s">
        <v>417</v>
      </c>
      <c r="H575" t="s">
        <v>417</v>
      </c>
      <c r="I575" s="3" t="e">
        <f t="shared" si="9"/>
        <v>#DIV/0!</v>
      </c>
      <c r="J575" s="3">
        <f>D575/(VLOOKUP(B575,'2023 Team'!$B$2:$G$33,2,FALSE))</f>
        <v>0</v>
      </c>
      <c r="L575" t="s">
        <v>417</v>
      </c>
    </row>
    <row r="576" spans="1:12" x14ac:dyDescent="0.25">
      <c r="A576" t="s">
        <v>1558</v>
      </c>
      <c r="B576" t="s">
        <v>22</v>
      </c>
      <c r="C576" t="s">
        <v>82</v>
      </c>
      <c r="D576" s="4" t="s">
        <v>417</v>
      </c>
      <c r="E576" s="4" t="s">
        <v>417</v>
      </c>
      <c r="F576" s="4" t="s">
        <v>417</v>
      </c>
      <c r="H576" t="s">
        <v>417</v>
      </c>
      <c r="I576" s="3" t="e">
        <f t="shared" si="9"/>
        <v>#DIV/0!</v>
      </c>
      <c r="J576" s="3">
        <f>D576/(VLOOKUP(B576,'2023 Team'!$B$2:$G$33,2,FALSE))</f>
        <v>0</v>
      </c>
      <c r="L576" t="s">
        <v>220</v>
      </c>
    </row>
    <row r="577" spans="1:12" x14ac:dyDescent="0.25">
      <c r="A577" t="s">
        <v>1765</v>
      </c>
      <c r="B577" t="s">
        <v>70</v>
      </c>
      <c r="C577" t="s">
        <v>165</v>
      </c>
      <c r="D577" s="4" t="s">
        <v>417</v>
      </c>
      <c r="E577" s="4" t="s">
        <v>417</v>
      </c>
      <c r="F577" s="4" t="s">
        <v>417</v>
      </c>
      <c r="H577" t="s">
        <v>417</v>
      </c>
      <c r="I577" s="3" t="e">
        <f t="shared" si="9"/>
        <v>#DIV/0!</v>
      </c>
      <c r="J577" s="3">
        <f>D577/(VLOOKUP(B577,'2023 Team'!$B$2:$G$33,2,FALSE))</f>
        <v>0</v>
      </c>
      <c r="L577" t="s">
        <v>417</v>
      </c>
    </row>
    <row r="578" spans="1:12" x14ac:dyDescent="0.25">
      <c r="A578" t="s">
        <v>120</v>
      </c>
      <c r="B578" t="s">
        <v>44</v>
      </c>
      <c r="C578" t="s">
        <v>82</v>
      </c>
      <c r="D578" s="4" t="s">
        <v>417</v>
      </c>
      <c r="E578" s="4" t="s">
        <v>417</v>
      </c>
      <c r="F578" s="4" t="s">
        <v>417</v>
      </c>
      <c r="H578" t="s">
        <v>417</v>
      </c>
      <c r="I578" s="3" t="e">
        <f t="shared" si="9"/>
        <v>#DIV/0!</v>
      </c>
      <c r="J578" s="3">
        <f>D578/(VLOOKUP(B578,'2023 Team'!$B$2:$G$33,2,FALSE))</f>
        <v>0</v>
      </c>
      <c r="L578" t="s">
        <v>417</v>
      </c>
    </row>
    <row r="579" spans="1:12" x14ac:dyDescent="0.25">
      <c r="A579" t="s">
        <v>1572</v>
      </c>
      <c r="B579" t="s">
        <v>46</v>
      </c>
      <c r="C579" t="s">
        <v>82</v>
      </c>
      <c r="D579" s="4" t="s">
        <v>417</v>
      </c>
      <c r="E579" s="4" t="s">
        <v>417</v>
      </c>
      <c r="F579" s="4" t="s">
        <v>417</v>
      </c>
      <c r="H579" t="s">
        <v>417</v>
      </c>
      <c r="I579" s="3" t="e">
        <f t="shared" si="9"/>
        <v>#DIV/0!</v>
      </c>
      <c r="J579" s="3">
        <f>D579/(VLOOKUP(B579,'2023 Team'!$B$2:$G$33,2,FALSE))</f>
        <v>0</v>
      </c>
      <c r="L579" t="s">
        <v>300</v>
      </c>
    </row>
    <row r="580" spans="1:12" x14ac:dyDescent="0.25">
      <c r="A580" t="s">
        <v>1766</v>
      </c>
      <c r="B580" t="s">
        <v>70</v>
      </c>
      <c r="C580" t="s">
        <v>159</v>
      </c>
      <c r="D580" s="4" t="s">
        <v>300</v>
      </c>
      <c r="E580" s="4" t="s">
        <v>417</v>
      </c>
      <c r="F580" s="4" t="s">
        <v>417</v>
      </c>
      <c r="H580" t="s">
        <v>417</v>
      </c>
      <c r="I580" s="3" t="e">
        <f t="shared" si="9"/>
        <v>#DIV/0!</v>
      </c>
      <c r="J580" s="3">
        <f>D580/(VLOOKUP(B580,'2023 Team'!$B$2:$G$33,2,FALSE))</f>
        <v>1.5723270440251573E-3</v>
      </c>
      <c r="K580" t="s">
        <v>504</v>
      </c>
      <c r="L580" t="s">
        <v>417</v>
      </c>
    </row>
    <row r="581" spans="1:12" x14ac:dyDescent="0.25">
      <c r="A581" t="s">
        <v>1864</v>
      </c>
      <c r="B581" t="s">
        <v>60</v>
      </c>
      <c r="C581" t="s">
        <v>153</v>
      </c>
      <c r="D581" s="4" t="s">
        <v>289</v>
      </c>
      <c r="E581" s="4" t="s">
        <v>417</v>
      </c>
      <c r="F581" s="4" t="s">
        <v>417</v>
      </c>
      <c r="H581" t="s">
        <v>417</v>
      </c>
      <c r="I581" s="3" t="e">
        <f t="shared" si="9"/>
        <v>#DIV/0!</v>
      </c>
      <c r="J581" s="3">
        <f>D581/(VLOOKUP(B581,'2023 Team'!$B$2:$G$33,2,FALSE))</f>
        <v>3.952569169960474E-3</v>
      </c>
      <c r="K581" t="s">
        <v>504</v>
      </c>
      <c r="L581" t="s">
        <v>417</v>
      </c>
    </row>
    <row r="582" spans="1:12" x14ac:dyDescent="0.25">
      <c r="A582" t="s">
        <v>142</v>
      </c>
      <c r="B582" t="s">
        <v>68</v>
      </c>
      <c r="C582" t="s">
        <v>82</v>
      </c>
      <c r="D582" s="4" t="s">
        <v>417</v>
      </c>
      <c r="E582" s="4" t="s">
        <v>417</v>
      </c>
      <c r="F582" s="4" t="s">
        <v>417</v>
      </c>
      <c r="H582" t="s">
        <v>417</v>
      </c>
      <c r="I582" s="3" t="e">
        <f t="shared" si="9"/>
        <v>#DIV/0!</v>
      </c>
      <c r="J582" s="3">
        <f>D582/(VLOOKUP(B582,'2023 Team'!$B$2:$G$33,2,FALSE))</f>
        <v>0</v>
      </c>
      <c r="L582" t="s">
        <v>300</v>
      </c>
    </row>
    <row r="583" spans="1:12" x14ac:dyDescent="0.25">
      <c r="A583" t="s">
        <v>126</v>
      </c>
      <c r="B583" t="s">
        <v>26</v>
      </c>
      <c r="C583" t="s">
        <v>82</v>
      </c>
      <c r="D583" s="4" t="s">
        <v>417</v>
      </c>
      <c r="E583" s="4" t="s">
        <v>417</v>
      </c>
      <c r="F583" s="4" t="s">
        <v>417</v>
      </c>
      <c r="H583" t="s">
        <v>417</v>
      </c>
      <c r="I583" s="3" t="e">
        <f t="shared" si="9"/>
        <v>#DIV/0!</v>
      </c>
      <c r="J583" s="3">
        <f>D583/(VLOOKUP(B583,'2023 Team'!$B$2:$G$33,2,FALSE))</f>
        <v>0</v>
      </c>
      <c r="L583" t="s">
        <v>211</v>
      </c>
    </row>
    <row r="584" spans="1:12" x14ac:dyDescent="0.25">
      <c r="A584" t="s">
        <v>150</v>
      </c>
      <c r="B584" t="s">
        <v>56</v>
      </c>
      <c r="C584" t="s">
        <v>82</v>
      </c>
      <c r="D584" s="4" t="s">
        <v>417</v>
      </c>
      <c r="E584" s="4" t="s">
        <v>417</v>
      </c>
      <c r="F584" s="4" t="s">
        <v>417</v>
      </c>
      <c r="H584" t="s">
        <v>417</v>
      </c>
      <c r="I584" s="3" t="e">
        <f t="shared" si="9"/>
        <v>#DIV/0!</v>
      </c>
      <c r="J584" s="3">
        <f>D584/(VLOOKUP(B584,'2023 Team'!$B$2:$G$33,2,FALSE))</f>
        <v>0</v>
      </c>
      <c r="L584" t="s">
        <v>266</v>
      </c>
    </row>
    <row r="585" spans="1:12" x14ac:dyDescent="0.25">
      <c r="A585" t="s">
        <v>1865</v>
      </c>
      <c r="B585" t="s">
        <v>34</v>
      </c>
      <c r="C585" t="s">
        <v>163</v>
      </c>
      <c r="D585" s="4" t="s">
        <v>300</v>
      </c>
      <c r="E585" s="4" t="s">
        <v>417</v>
      </c>
      <c r="F585" s="4" t="s">
        <v>417</v>
      </c>
      <c r="H585" t="s">
        <v>417</v>
      </c>
      <c r="I585" s="3" t="e">
        <f t="shared" si="9"/>
        <v>#DIV/0!</v>
      </c>
      <c r="J585" s="3">
        <f>D585/(VLOOKUP(B585,'2023 Team'!$B$2:$G$33,2,FALSE))</f>
        <v>1.7421602787456446E-3</v>
      </c>
      <c r="K585" t="s">
        <v>504</v>
      </c>
      <c r="L585" t="s">
        <v>417</v>
      </c>
    </row>
    <row r="586" spans="1:12" x14ac:dyDescent="0.25">
      <c r="A586" t="s">
        <v>132</v>
      </c>
      <c r="B586" t="s">
        <v>52</v>
      </c>
      <c r="C586" t="s">
        <v>82</v>
      </c>
      <c r="D586" s="4" t="s">
        <v>417</v>
      </c>
      <c r="E586" s="4" t="s">
        <v>417</v>
      </c>
      <c r="F586" s="4" t="s">
        <v>417</v>
      </c>
      <c r="H586" t="s">
        <v>417</v>
      </c>
      <c r="I586" s="3" t="e">
        <f t="shared" si="9"/>
        <v>#DIV/0!</v>
      </c>
      <c r="J586" s="3">
        <f>D586/(VLOOKUP(B586,'2023 Team'!$B$2:$G$33,2,FALSE))</f>
        <v>0</v>
      </c>
      <c r="L586" t="s">
        <v>417</v>
      </c>
    </row>
    <row r="587" spans="1:12" x14ac:dyDescent="0.25">
      <c r="A587" t="s">
        <v>1575</v>
      </c>
      <c r="B587" t="s">
        <v>10</v>
      </c>
      <c r="C587" t="s">
        <v>82</v>
      </c>
      <c r="D587" s="4" t="s">
        <v>417</v>
      </c>
      <c r="E587" s="4" t="s">
        <v>417</v>
      </c>
      <c r="F587" s="4" t="s">
        <v>417</v>
      </c>
      <c r="H587" t="s">
        <v>417</v>
      </c>
      <c r="I587" s="3" t="e">
        <f t="shared" si="9"/>
        <v>#DIV/0!</v>
      </c>
      <c r="J587" s="3">
        <f>D587/(VLOOKUP(B587,'2023 Team'!$B$2:$G$33,2,FALSE))</f>
        <v>0</v>
      </c>
      <c r="L587" t="s">
        <v>417</v>
      </c>
    </row>
    <row r="588" spans="1:12" x14ac:dyDescent="0.25">
      <c r="A588" t="s">
        <v>95</v>
      </c>
      <c r="B588" t="s">
        <v>16</v>
      </c>
      <c r="C588" t="s">
        <v>82</v>
      </c>
      <c r="D588" s="4" t="s">
        <v>417</v>
      </c>
      <c r="E588" s="4" t="s">
        <v>417</v>
      </c>
      <c r="F588" s="4" t="s">
        <v>417</v>
      </c>
      <c r="H588" t="s">
        <v>417</v>
      </c>
      <c r="I588" s="3" t="e">
        <f t="shared" si="9"/>
        <v>#DIV/0!</v>
      </c>
      <c r="J588" s="3">
        <f>D588/(VLOOKUP(B588,'2023 Team'!$B$2:$G$33,2,FALSE))</f>
        <v>0</v>
      </c>
      <c r="L588" t="s">
        <v>266</v>
      </c>
    </row>
    <row r="589" spans="1:12" x14ac:dyDescent="0.25">
      <c r="A589" t="s">
        <v>1556</v>
      </c>
      <c r="B589" t="s">
        <v>50</v>
      </c>
      <c r="C589" t="s">
        <v>82</v>
      </c>
      <c r="D589" s="4" t="s">
        <v>417</v>
      </c>
      <c r="E589" s="4" t="s">
        <v>417</v>
      </c>
      <c r="F589" s="4" t="s">
        <v>417</v>
      </c>
      <c r="H589" t="s">
        <v>417</v>
      </c>
      <c r="I589" s="3" t="e">
        <f t="shared" si="9"/>
        <v>#DIV/0!</v>
      </c>
      <c r="J589" s="3">
        <f>D589/(VLOOKUP(B589,'2023 Team'!$B$2:$G$33,2,FALSE))</f>
        <v>0</v>
      </c>
      <c r="L589" t="s">
        <v>289</v>
      </c>
    </row>
    <row r="590" spans="1:12" x14ac:dyDescent="0.25">
      <c r="A590" t="s">
        <v>1769</v>
      </c>
      <c r="B590" t="s">
        <v>68</v>
      </c>
      <c r="C590" t="s">
        <v>165</v>
      </c>
      <c r="D590" s="4" t="s">
        <v>417</v>
      </c>
      <c r="E590" s="4" t="s">
        <v>417</v>
      </c>
      <c r="F590" s="4" t="s">
        <v>417</v>
      </c>
      <c r="H590" t="s">
        <v>417</v>
      </c>
      <c r="I590" s="3" t="e">
        <f t="shared" si="9"/>
        <v>#DIV/0!</v>
      </c>
      <c r="J590" s="3">
        <f>D590/(VLOOKUP(B590,'2023 Team'!$B$2:$G$33,2,FALSE))</f>
        <v>0</v>
      </c>
      <c r="L590" t="s">
        <v>300</v>
      </c>
    </row>
    <row r="591" spans="1:12" x14ac:dyDescent="0.25">
      <c r="A591" t="s">
        <v>1588</v>
      </c>
      <c r="I591" s="3" t="e">
        <f t="shared" si="9"/>
        <v>#DIV/0!</v>
      </c>
      <c r="J591" s="3" t="e">
        <f>D591/(VLOOKUP(B591,'2023 Team'!$B$2:$G$33,2,FALSE))</f>
        <v>#N/A</v>
      </c>
      <c r="K591" t="s">
        <v>2026</v>
      </c>
    </row>
    <row r="592" spans="1:12" x14ac:dyDescent="0.25">
      <c r="A592" t="s">
        <v>418</v>
      </c>
      <c r="B592" t="s">
        <v>36</v>
      </c>
      <c r="C592" t="s">
        <v>159</v>
      </c>
      <c r="D592" s="4" t="s">
        <v>417</v>
      </c>
      <c r="E592" s="4" t="s">
        <v>417</v>
      </c>
      <c r="F592" s="4" t="s">
        <v>417</v>
      </c>
      <c r="G592" t="s">
        <v>788</v>
      </c>
      <c r="H592" t="s">
        <v>417</v>
      </c>
      <c r="I592" s="3" t="e">
        <f>RUSH__2[[#This Row],[TD]]/RUSH__2[[#This Row],[Rec]]</f>
        <v>#DIV/0!</v>
      </c>
      <c r="J592" s="3">
        <f>D592/(VLOOKUP(B592,'2025 Team'!$B$2:$G$33,2,FALSE))</f>
        <v>0</v>
      </c>
      <c r="K592" t="s">
        <v>788</v>
      </c>
      <c r="L592" t="s">
        <v>417</v>
      </c>
    </row>
    <row r="593" spans="1:12" x14ac:dyDescent="0.25">
      <c r="A593" t="s">
        <v>139</v>
      </c>
      <c r="B593" t="s">
        <v>58</v>
      </c>
      <c r="C593" t="s">
        <v>82</v>
      </c>
      <c r="D593" s="4" t="s">
        <v>417</v>
      </c>
      <c r="E593" s="4" t="s">
        <v>417</v>
      </c>
      <c r="F593" s="4" t="s">
        <v>417</v>
      </c>
      <c r="G593" t="s">
        <v>788</v>
      </c>
      <c r="H593" t="s">
        <v>417</v>
      </c>
      <c r="I593" s="3" t="e">
        <f>RUSH__2[[#This Row],[TD]]/RUSH__2[[#This Row],[Rec]]</f>
        <v>#DIV/0!</v>
      </c>
      <c r="J593" s="3">
        <f>D593/(VLOOKUP(B593,'2025 Team'!$B$2:$G$33,2,FALSE))</f>
        <v>0</v>
      </c>
      <c r="K593" t="s">
        <v>788</v>
      </c>
      <c r="L593" t="s">
        <v>417</v>
      </c>
    </row>
    <row r="594" spans="1:12" x14ac:dyDescent="0.25">
      <c r="A594" t="s">
        <v>147</v>
      </c>
      <c r="B594" t="s">
        <v>66</v>
      </c>
      <c r="C594" t="s">
        <v>82</v>
      </c>
      <c r="D594" s="4" t="s">
        <v>417</v>
      </c>
      <c r="E594" s="4" t="s">
        <v>417</v>
      </c>
      <c r="F594" s="4" t="s">
        <v>417</v>
      </c>
      <c r="G594" t="s">
        <v>788</v>
      </c>
      <c r="H594" t="s">
        <v>417</v>
      </c>
      <c r="I594" s="3" t="e">
        <f>RUSH__2[[#This Row],[TD]]/RUSH__2[[#This Row],[Rec]]</f>
        <v>#DIV/0!</v>
      </c>
      <c r="J594" s="3">
        <f>D594/(VLOOKUP(B594,'2025 Team'!$B$2:$G$33,2,FALSE))</f>
        <v>0</v>
      </c>
      <c r="K594" t="s">
        <v>788</v>
      </c>
      <c r="L594" t="s">
        <v>417</v>
      </c>
    </row>
    <row r="595" spans="1:12" x14ac:dyDescent="0.25">
      <c r="A595" t="s">
        <v>767</v>
      </c>
      <c r="B595" t="s">
        <v>18</v>
      </c>
      <c r="C595" t="s">
        <v>159</v>
      </c>
      <c r="D595" s="4" t="s">
        <v>417</v>
      </c>
      <c r="E595" s="4" t="s">
        <v>417</v>
      </c>
      <c r="F595" s="4" t="s">
        <v>417</v>
      </c>
      <c r="G595" t="s">
        <v>788</v>
      </c>
      <c r="H595" t="s">
        <v>417</v>
      </c>
      <c r="I595" s="3" t="e">
        <f>RUSH__2[[#This Row],[TD]]/RUSH__2[[#This Row],[Rec]]</f>
        <v>#DIV/0!</v>
      </c>
      <c r="J595" s="3">
        <f>D595/(VLOOKUP(B595,'2025 Team'!$B$2:$G$33,2,FALSE))</f>
        <v>0</v>
      </c>
      <c r="K595" t="s">
        <v>788</v>
      </c>
      <c r="L595" t="s">
        <v>417</v>
      </c>
    </row>
    <row r="596" spans="1:12" x14ac:dyDescent="0.25">
      <c r="A596" t="s">
        <v>87</v>
      </c>
      <c r="B596" t="s">
        <v>36</v>
      </c>
      <c r="C596" t="s">
        <v>82</v>
      </c>
      <c r="D596" s="4" t="s">
        <v>417</v>
      </c>
      <c r="E596" s="4" t="s">
        <v>417</v>
      </c>
      <c r="F596" s="4" t="s">
        <v>417</v>
      </c>
      <c r="G596" t="s">
        <v>788</v>
      </c>
      <c r="H596" t="s">
        <v>417</v>
      </c>
      <c r="I596" s="3" t="e">
        <f>RUSH__2[[#This Row],[TD]]/RUSH__2[[#This Row],[Rec]]</f>
        <v>#DIV/0!</v>
      </c>
      <c r="J596" s="3">
        <f>D596/(VLOOKUP(B596,'2025 Team'!$B$2:$G$33,2,FALSE))</f>
        <v>0</v>
      </c>
      <c r="K596" t="s">
        <v>788</v>
      </c>
      <c r="L596" t="s">
        <v>220</v>
      </c>
    </row>
    <row r="597" spans="1:12" x14ac:dyDescent="0.25">
      <c r="A597" t="s">
        <v>133</v>
      </c>
      <c r="B597" t="s">
        <v>42</v>
      </c>
      <c r="C597" t="s">
        <v>82</v>
      </c>
      <c r="D597" s="4" t="s">
        <v>417</v>
      </c>
      <c r="E597" s="4" t="s">
        <v>417</v>
      </c>
      <c r="F597" s="4" t="s">
        <v>417</v>
      </c>
      <c r="G597" t="s">
        <v>788</v>
      </c>
      <c r="H597" t="s">
        <v>417</v>
      </c>
      <c r="I597" s="3" t="e">
        <f>RUSH__2[[#This Row],[TD]]/RUSH__2[[#This Row],[Rec]]</f>
        <v>#DIV/0!</v>
      </c>
      <c r="J597" s="3">
        <f>D597/(VLOOKUP(B597,'2025 Team'!$B$2:$G$33,2,FALSE))</f>
        <v>0</v>
      </c>
      <c r="K597" t="s">
        <v>788</v>
      </c>
      <c r="L597" t="s">
        <v>300</v>
      </c>
    </row>
    <row r="598" spans="1:12" x14ac:dyDescent="0.25">
      <c r="A598" t="s">
        <v>103</v>
      </c>
      <c r="B598" t="s">
        <v>46</v>
      </c>
      <c r="C598" t="s">
        <v>82</v>
      </c>
      <c r="D598" s="4" t="s">
        <v>417</v>
      </c>
      <c r="E598" s="4" t="s">
        <v>417</v>
      </c>
      <c r="F598" s="4" t="s">
        <v>417</v>
      </c>
      <c r="G598" t="s">
        <v>788</v>
      </c>
      <c r="H598" t="s">
        <v>417</v>
      </c>
      <c r="I598" s="3" t="e">
        <f>RUSH__2[[#This Row],[TD]]/RUSH__2[[#This Row],[Rec]]</f>
        <v>#DIV/0!</v>
      </c>
      <c r="J598" s="3">
        <f>D598/(VLOOKUP(B598,'2025 Team'!$B$2:$G$33,2,FALSE))</f>
        <v>0</v>
      </c>
      <c r="K598" t="s">
        <v>788</v>
      </c>
      <c r="L598" t="s">
        <v>225</v>
      </c>
    </row>
    <row r="599" spans="1:12" x14ac:dyDescent="0.25">
      <c r="A599" t="s">
        <v>130</v>
      </c>
      <c r="B599" t="s">
        <v>12</v>
      </c>
      <c r="C599" t="s">
        <v>82</v>
      </c>
      <c r="D599" s="4" t="s">
        <v>417</v>
      </c>
      <c r="E599" s="4" t="s">
        <v>417</v>
      </c>
      <c r="F599" s="4" t="s">
        <v>417</v>
      </c>
      <c r="G599" t="s">
        <v>788</v>
      </c>
      <c r="H599" t="s">
        <v>417</v>
      </c>
      <c r="I599" s="3" t="e">
        <f>RUSH__2[[#This Row],[TD]]/RUSH__2[[#This Row],[Rec]]</f>
        <v>#DIV/0!</v>
      </c>
      <c r="J599" s="3">
        <f>D599/(VLOOKUP(B599,'2025 Team'!$B$2:$G$33,2,FALSE))</f>
        <v>0</v>
      </c>
      <c r="K599" t="s">
        <v>788</v>
      </c>
      <c r="L599" t="s">
        <v>417</v>
      </c>
    </row>
    <row r="600" spans="1:12" x14ac:dyDescent="0.25">
      <c r="A600" t="s">
        <v>105</v>
      </c>
      <c r="B600" t="s">
        <v>52</v>
      </c>
      <c r="C600" t="s">
        <v>82</v>
      </c>
      <c r="D600" s="4" t="s">
        <v>417</v>
      </c>
      <c r="E600" s="4" t="s">
        <v>417</v>
      </c>
      <c r="F600" s="4" t="s">
        <v>417</v>
      </c>
      <c r="G600" t="s">
        <v>788</v>
      </c>
      <c r="H600" t="s">
        <v>417</v>
      </c>
      <c r="I600" s="3" t="e">
        <f>RUSH__2[[#This Row],[TD]]/RUSH__2[[#This Row],[Rec]]</f>
        <v>#DIV/0!</v>
      </c>
      <c r="J600" s="3">
        <f>D600/(VLOOKUP(B600,'2025 Team'!$B$2:$G$33,2,FALSE))</f>
        <v>0</v>
      </c>
      <c r="K600" t="s">
        <v>788</v>
      </c>
      <c r="L600" t="s">
        <v>314</v>
      </c>
    </row>
    <row r="601" spans="1:12" x14ac:dyDescent="0.25">
      <c r="A601" t="s">
        <v>124</v>
      </c>
      <c r="B601" t="s">
        <v>56</v>
      </c>
      <c r="C601" t="s">
        <v>82</v>
      </c>
      <c r="D601" s="4" t="s">
        <v>417</v>
      </c>
      <c r="E601" s="4" t="s">
        <v>417</v>
      </c>
      <c r="F601" s="4" t="s">
        <v>417</v>
      </c>
      <c r="G601" t="s">
        <v>788</v>
      </c>
      <c r="H601" t="s">
        <v>417</v>
      </c>
      <c r="I601" s="3" t="e">
        <f>RUSH__2[[#This Row],[TD]]/RUSH__2[[#This Row],[Rec]]</f>
        <v>#DIV/0!</v>
      </c>
      <c r="J601" s="3">
        <f>D601/(VLOOKUP(B601,'2025 Team'!$B$2:$G$33,2,FALSE))</f>
        <v>0</v>
      </c>
      <c r="K601" t="s">
        <v>788</v>
      </c>
      <c r="L601" t="s">
        <v>300</v>
      </c>
    </row>
    <row r="602" spans="1:12" x14ac:dyDescent="0.25">
      <c r="A602" t="s">
        <v>154</v>
      </c>
      <c r="B602" t="s">
        <v>18</v>
      </c>
      <c r="C602" t="s">
        <v>82</v>
      </c>
      <c r="D602" s="4" t="s">
        <v>417</v>
      </c>
      <c r="E602" s="4" t="s">
        <v>417</v>
      </c>
      <c r="F602" s="4" t="s">
        <v>417</v>
      </c>
      <c r="G602" t="s">
        <v>788</v>
      </c>
      <c r="H602" t="s">
        <v>417</v>
      </c>
      <c r="I602" s="3" t="e">
        <f>RUSH__2[[#This Row],[TD]]/RUSH__2[[#This Row],[Rec]]</f>
        <v>#DIV/0!</v>
      </c>
      <c r="J602" s="3">
        <f>D602/(VLOOKUP(B602,'2025 Team'!$B$2:$G$33,2,FALSE))</f>
        <v>0</v>
      </c>
      <c r="K602" t="s">
        <v>788</v>
      </c>
      <c r="L602" t="s">
        <v>300</v>
      </c>
    </row>
    <row r="603" spans="1:12" x14ac:dyDescent="0.25">
      <c r="A603" t="s">
        <v>760</v>
      </c>
      <c r="B603" t="s">
        <v>34</v>
      </c>
      <c r="C603" t="s">
        <v>159</v>
      </c>
      <c r="D603" s="4" t="s">
        <v>417</v>
      </c>
      <c r="E603" s="4" t="s">
        <v>417</v>
      </c>
      <c r="F603" s="4" t="s">
        <v>417</v>
      </c>
      <c r="G603" t="s">
        <v>788</v>
      </c>
      <c r="H603" t="s">
        <v>417</v>
      </c>
      <c r="I603" s="3" t="e">
        <f>RUSH__2[[#This Row],[TD]]/RUSH__2[[#This Row],[Rec]]</f>
        <v>#DIV/0!</v>
      </c>
      <c r="J603" s="3">
        <f>D603/(VLOOKUP(B603,'2025 Team'!$B$2:$G$33,2,FALSE))</f>
        <v>0</v>
      </c>
      <c r="K603" t="s">
        <v>788</v>
      </c>
      <c r="L603" t="s">
        <v>417</v>
      </c>
    </row>
    <row r="604" spans="1:12" x14ac:dyDescent="0.25">
      <c r="A604" t="s">
        <v>658</v>
      </c>
      <c r="B604" t="s">
        <v>64</v>
      </c>
      <c r="C604" t="s">
        <v>159</v>
      </c>
      <c r="D604" s="4" t="s">
        <v>417</v>
      </c>
      <c r="E604" s="4" t="s">
        <v>417</v>
      </c>
      <c r="F604" s="4" t="s">
        <v>417</v>
      </c>
      <c r="G604" t="s">
        <v>788</v>
      </c>
      <c r="H604" t="s">
        <v>417</v>
      </c>
      <c r="I604" s="3" t="e">
        <f>RUSH__2[[#This Row],[TD]]/RUSH__2[[#This Row],[Rec]]</f>
        <v>#DIV/0!</v>
      </c>
      <c r="J604" s="3">
        <f>D604/(VLOOKUP(B604,'2025 Team'!$B$2:$G$33,2,FALSE))</f>
        <v>0</v>
      </c>
      <c r="K604" t="s">
        <v>788</v>
      </c>
      <c r="L604" t="s">
        <v>417</v>
      </c>
    </row>
    <row r="605" spans="1:12" x14ac:dyDescent="0.25">
      <c r="A605" t="s">
        <v>150</v>
      </c>
      <c r="B605" t="s">
        <v>46</v>
      </c>
      <c r="C605" t="s">
        <v>82</v>
      </c>
      <c r="D605" s="4" t="s">
        <v>417</v>
      </c>
      <c r="E605" s="4" t="s">
        <v>417</v>
      </c>
      <c r="F605" s="4" t="s">
        <v>417</v>
      </c>
      <c r="G605" t="s">
        <v>788</v>
      </c>
      <c r="H605" t="s">
        <v>417</v>
      </c>
      <c r="I605" s="3" t="e">
        <f>RUSH__2[[#This Row],[TD]]/RUSH__2[[#This Row],[Rec]]</f>
        <v>#DIV/0!</v>
      </c>
      <c r="J605" s="3">
        <f>D605/(VLOOKUP(B605,'2025 Team'!$B$2:$G$33,2,FALSE))</f>
        <v>0</v>
      </c>
      <c r="K605" t="s">
        <v>788</v>
      </c>
      <c r="L605" t="s">
        <v>417</v>
      </c>
    </row>
  </sheetData>
  <autoFilter ref="A1:L605" xr:uid="{F0A7D77F-14A3-45D6-812D-535E9DB1E9F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8B7C-4BDA-48DB-A3D3-64C5A5BF96E4}">
  <dimension ref="A1:L629"/>
  <sheetViews>
    <sheetView workbookViewId="0"/>
  </sheetViews>
  <sheetFormatPr defaultRowHeight="15" x14ac:dyDescent="0.25"/>
  <sheetData>
    <row r="1" spans="1:12" x14ac:dyDescent="0.25">
      <c r="A1" t="s">
        <v>71</v>
      </c>
      <c r="B1" t="s">
        <v>0</v>
      </c>
      <c r="C1" s="1" t="s">
        <v>72</v>
      </c>
      <c r="D1" s="4" t="s">
        <v>1051</v>
      </c>
      <c r="E1" s="4" t="s">
        <v>1052</v>
      </c>
      <c r="F1" s="4" t="s">
        <v>76</v>
      </c>
      <c r="G1" t="s">
        <v>1053</v>
      </c>
      <c r="H1" t="s">
        <v>188</v>
      </c>
      <c r="I1" s="3" t="s">
        <v>189</v>
      </c>
      <c r="J1" s="3" t="s">
        <v>1054</v>
      </c>
      <c r="K1" t="s">
        <v>1055</v>
      </c>
      <c r="L1" t="s">
        <v>1056</v>
      </c>
    </row>
    <row r="2" spans="1:12" x14ac:dyDescent="0.25">
      <c r="A2" s="5" t="s">
        <v>700</v>
      </c>
      <c r="B2" s="5" t="s">
        <v>48</v>
      </c>
      <c r="C2" s="7" t="s">
        <v>163</v>
      </c>
      <c r="D2" s="8">
        <v>184</v>
      </c>
      <c r="E2" s="8">
        <v>128</v>
      </c>
      <c r="F2" s="8">
        <v>1809</v>
      </c>
      <c r="G2" s="5">
        <v>14.1</v>
      </c>
      <c r="H2" s="5">
        <v>8</v>
      </c>
      <c r="I2" s="6">
        <f t="shared" ref="I2:I63" si="0">H2/E2</f>
        <v>6.25E-2</v>
      </c>
      <c r="J2" s="6">
        <f>D2/(VLOOKUP(B2,'[1]2022 Team'!$B$2:$G$33,2,FALSE))</f>
        <v>0.27380952380952384</v>
      </c>
      <c r="K2" s="9">
        <v>69.599999999999994</v>
      </c>
      <c r="L2" s="5">
        <v>0</v>
      </c>
    </row>
    <row r="3" spans="1:12" x14ac:dyDescent="0.25">
      <c r="A3" s="5" t="s">
        <v>944</v>
      </c>
      <c r="B3" s="5" t="s">
        <v>46</v>
      </c>
      <c r="C3" s="7" t="s">
        <v>163</v>
      </c>
      <c r="D3" s="8">
        <v>170</v>
      </c>
      <c r="E3" s="8">
        <v>119</v>
      </c>
      <c r="F3" s="8">
        <v>1710</v>
      </c>
      <c r="G3" s="5">
        <v>14.4</v>
      </c>
      <c r="H3" s="5">
        <v>7</v>
      </c>
      <c r="I3" s="6">
        <f t="shared" si="0"/>
        <v>5.8823529411764705E-2</v>
      </c>
      <c r="J3" s="6">
        <f>D3/(VLOOKUP(B3,'[1]2022 Team'!$B$2:$G$33,2,FALSE))</f>
        <v>0.2910958904109589</v>
      </c>
      <c r="K3" s="9">
        <v>70</v>
      </c>
      <c r="L3" s="5">
        <v>1</v>
      </c>
    </row>
    <row r="4" spans="1:12" x14ac:dyDescent="0.25">
      <c r="A4" s="5" t="s">
        <v>777</v>
      </c>
      <c r="B4" s="5" t="s">
        <v>38</v>
      </c>
      <c r="C4" s="7" t="s">
        <v>153</v>
      </c>
      <c r="D4" s="8">
        <v>152</v>
      </c>
      <c r="E4" s="8">
        <v>110</v>
      </c>
      <c r="F4" s="8">
        <v>1338</v>
      </c>
      <c r="G4" s="5">
        <v>12.2</v>
      </c>
      <c r="H4" s="5">
        <v>12</v>
      </c>
      <c r="I4" s="6">
        <f t="shared" si="0"/>
        <v>0.10909090909090909</v>
      </c>
      <c r="J4" s="6">
        <f>D4/(VLOOKUP(B4,'[1]2022 Team'!$B$2:$G$33,2,FALSE))</f>
        <v>0.23348694316436253</v>
      </c>
      <c r="K4" s="9">
        <v>72.400000000000006</v>
      </c>
      <c r="L4" s="5">
        <v>1</v>
      </c>
    </row>
    <row r="5" spans="1:12" x14ac:dyDescent="0.25">
      <c r="A5" s="5" t="s">
        <v>965</v>
      </c>
      <c r="B5" s="5" t="s">
        <v>14</v>
      </c>
      <c r="C5" s="7" t="s">
        <v>163</v>
      </c>
      <c r="D5" s="8">
        <v>154</v>
      </c>
      <c r="E5" s="8">
        <v>108</v>
      </c>
      <c r="F5" s="8">
        <v>1429</v>
      </c>
      <c r="G5" s="5">
        <v>13.2</v>
      </c>
      <c r="H5" s="5">
        <v>11</v>
      </c>
      <c r="I5" s="6">
        <f t="shared" si="0"/>
        <v>0.10185185185185185</v>
      </c>
      <c r="J5" s="6">
        <f>D5/(VLOOKUP(B5,'[1]2022 Team'!$B$2:$G$33,2,FALSE))</f>
        <v>0.26829268292682928</v>
      </c>
      <c r="K5" s="9">
        <v>70.099999999999994</v>
      </c>
      <c r="L5" s="5">
        <v>1</v>
      </c>
    </row>
    <row r="6" spans="1:12" x14ac:dyDescent="0.25">
      <c r="A6" s="5" t="s">
        <v>549</v>
      </c>
      <c r="B6" s="5" t="s">
        <v>42</v>
      </c>
      <c r="C6" s="7" t="s">
        <v>159</v>
      </c>
      <c r="D6" s="8">
        <v>127</v>
      </c>
      <c r="E6" s="8">
        <v>107</v>
      </c>
      <c r="F6" s="8">
        <v>722</v>
      </c>
      <c r="G6" s="5">
        <v>6.7</v>
      </c>
      <c r="H6" s="5">
        <v>5</v>
      </c>
      <c r="I6" s="6">
        <f t="shared" si="0"/>
        <v>4.6728971962616821E-2</v>
      </c>
      <c r="J6" s="6">
        <f>D6/(VLOOKUP(B6,'[1]2022 Team'!$B$2:$G$33,2,FALSE))</f>
        <v>0.17862165963431786</v>
      </c>
      <c r="K6" s="9">
        <v>84.3</v>
      </c>
      <c r="L6" s="5">
        <v>5</v>
      </c>
    </row>
    <row r="7" spans="1:12" x14ac:dyDescent="0.25">
      <c r="A7" s="5" t="s">
        <v>785</v>
      </c>
      <c r="B7" s="5" t="s">
        <v>24</v>
      </c>
      <c r="C7" s="7" t="s">
        <v>163</v>
      </c>
      <c r="D7" s="8">
        <v>156</v>
      </c>
      <c r="E7" s="8">
        <v>107</v>
      </c>
      <c r="F7" s="8">
        <v>1359</v>
      </c>
      <c r="G7" s="5">
        <v>12.7</v>
      </c>
      <c r="H7" s="5">
        <v>9</v>
      </c>
      <c r="I7" s="6">
        <f t="shared" si="0"/>
        <v>8.4112149532710276E-2</v>
      </c>
      <c r="J7" s="6">
        <f>D7/(VLOOKUP(B7,'[1]2022 Team'!$B$2:$G$33,2,FALSE))</f>
        <v>0.2805755395683453</v>
      </c>
      <c r="K7" s="9">
        <v>68.599999999999994</v>
      </c>
      <c r="L7" s="5">
        <v>0</v>
      </c>
    </row>
    <row r="8" spans="1:12" x14ac:dyDescent="0.25">
      <c r="A8" s="5" t="s">
        <v>689</v>
      </c>
      <c r="B8" s="5" t="s">
        <v>28</v>
      </c>
      <c r="C8" s="7" t="s">
        <v>163</v>
      </c>
      <c r="D8" s="8">
        <v>146</v>
      </c>
      <c r="E8" s="8">
        <v>106</v>
      </c>
      <c r="F8" s="8">
        <v>1161</v>
      </c>
      <c r="G8" s="5">
        <v>11</v>
      </c>
      <c r="H8" s="5">
        <v>6</v>
      </c>
      <c r="I8" s="6">
        <f t="shared" si="0"/>
        <v>5.6603773584905662E-2</v>
      </c>
      <c r="J8" s="6">
        <f>D8/(VLOOKUP(B8,'[1]2022 Team'!$B$2:$G$33,2,FALSE))</f>
        <v>0.24829931972789115</v>
      </c>
      <c r="K8" s="9">
        <v>72.599999999999994</v>
      </c>
      <c r="L8" s="5">
        <v>0</v>
      </c>
    </row>
    <row r="9" spans="1:12" x14ac:dyDescent="0.25">
      <c r="A9" s="5" t="s">
        <v>1025</v>
      </c>
      <c r="B9" s="5" t="s">
        <v>66</v>
      </c>
      <c r="C9" s="7" t="s">
        <v>163</v>
      </c>
      <c r="D9" s="8">
        <v>142</v>
      </c>
      <c r="E9" s="8">
        <v>104</v>
      </c>
      <c r="F9" s="8">
        <v>1023</v>
      </c>
      <c r="G9" s="5">
        <v>9.8000000000000007</v>
      </c>
      <c r="H9" s="5">
        <v>3</v>
      </c>
      <c r="I9" s="6">
        <f t="shared" si="0"/>
        <v>2.8846153846153848E-2</v>
      </c>
      <c r="J9" s="6">
        <f>D9/(VLOOKUP(B9,'[1]2022 Team'!$B$2:$G$33,2,FALSE))</f>
        <v>0.18908122503328895</v>
      </c>
      <c r="K9" s="9">
        <v>73.2</v>
      </c>
      <c r="L9" s="5">
        <v>2</v>
      </c>
    </row>
    <row r="10" spans="1:12" x14ac:dyDescent="0.25">
      <c r="A10" s="5" t="s">
        <v>924</v>
      </c>
      <c r="B10" s="5" t="s">
        <v>40</v>
      </c>
      <c r="C10" s="7" t="s">
        <v>163</v>
      </c>
      <c r="D10" s="8">
        <v>180</v>
      </c>
      <c r="E10" s="8">
        <v>100</v>
      </c>
      <c r="F10" s="8">
        <v>1516</v>
      </c>
      <c r="G10" s="5">
        <v>15.2</v>
      </c>
      <c r="H10" s="5">
        <v>14</v>
      </c>
      <c r="I10" s="6">
        <f t="shared" si="0"/>
        <v>0.14000000000000001</v>
      </c>
      <c r="J10" s="6">
        <f>D10/(VLOOKUP(B10,'[1]2022 Team'!$B$2:$G$33,2,FALSE))</f>
        <v>0.30716723549488056</v>
      </c>
      <c r="K10" s="9">
        <v>55.6</v>
      </c>
      <c r="L10" s="5">
        <v>1</v>
      </c>
    </row>
    <row r="11" spans="1:12" x14ac:dyDescent="0.25">
      <c r="A11" s="5" t="s">
        <v>898</v>
      </c>
      <c r="B11" s="5" t="s">
        <v>34</v>
      </c>
      <c r="C11" s="7" t="s">
        <v>163</v>
      </c>
      <c r="D11" s="8">
        <v>141</v>
      </c>
      <c r="E11" s="8">
        <v>99</v>
      </c>
      <c r="F11" s="8">
        <v>925</v>
      </c>
      <c r="G11" s="5">
        <v>9.3000000000000007</v>
      </c>
      <c r="H11" s="5">
        <v>4</v>
      </c>
      <c r="I11" s="6">
        <f t="shared" si="0"/>
        <v>4.0404040404040407E-2</v>
      </c>
      <c r="J11" s="6">
        <f>D11/(VLOOKUP(B11,'[1]2022 Team'!$B$2:$G$33,2,FALSE))</f>
        <v>0.23344370860927152</v>
      </c>
      <c r="K11" s="9">
        <v>70.2</v>
      </c>
      <c r="L11" s="5">
        <v>2</v>
      </c>
    </row>
    <row r="12" spans="1:12" x14ac:dyDescent="0.25">
      <c r="A12" s="5" t="s">
        <v>996</v>
      </c>
      <c r="B12" s="5" t="s">
        <v>58</v>
      </c>
      <c r="C12" s="7" t="s">
        <v>163</v>
      </c>
      <c r="D12" s="8">
        <v>136</v>
      </c>
      <c r="E12" s="8">
        <v>95</v>
      </c>
      <c r="F12" s="8">
        <v>1196</v>
      </c>
      <c r="G12" s="5">
        <v>12.6</v>
      </c>
      <c r="H12" s="5">
        <v>7</v>
      </c>
      <c r="I12" s="6">
        <f t="shared" si="0"/>
        <v>7.3684210526315783E-2</v>
      </c>
      <c r="J12" s="6">
        <f>D12/(VLOOKUP(B12,'[1]2022 Team'!$B$2:$G$33,2,FALSE))</f>
        <v>0.2537313432835821</v>
      </c>
      <c r="K12" s="9">
        <v>69.900000000000006</v>
      </c>
      <c r="L12" s="5">
        <v>1</v>
      </c>
    </row>
    <row r="13" spans="1:12" x14ac:dyDescent="0.25">
      <c r="A13" s="5" t="s">
        <v>707</v>
      </c>
      <c r="B13" s="5" t="s">
        <v>64</v>
      </c>
      <c r="C13" s="7" t="s">
        <v>163</v>
      </c>
      <c r="D13" s="8">
        <v>141</v>
      </c>
      <c r="E13" s="8">
        <v>90</v>
      </c>
      <c r="F13" s="8">
        <v>1048</v>
      </c>
      <c r="G13" s="5">
        <v>11.6</v>
      </c>
      <c r="H13" s="5">
        <v>6</v>
      </c>
      <c r="I13" s="6">
        <f t="shared" si="0"/>
        <v>6.6666666666666666E-2</v>
      </c>
      <c r="J13" s="6">
        <f>D13/(VLOOKUP(B13,'[1]2022 Team'!$B$2:$G$33,2,FALSE))</f>
        <v>0.24607329842931938</v>
      </c>
      <c r="K13" s="9">
        <v>63.8</v>
      </c>
      <c r="L13" s="5">
        <v>2</v>
      </c>
    </row>
    <row r="14" spans="1:12" x14ac:dyDescent="0.25">
      <c r="A14" s="5" t="s">
        <v>988</v>
      </c>
      <c r="B14" s="5" t="s">
        <v>58</v>
      </c>
      <c r="C14" s="7" t="s">
        <v>163</v>
      </c>
      <c r="D14" s="8">
        <v>145</v>
      </c>
      <c r="E14" s="8">
        <v>88</v>
      </c>
      <c r="F14" s="8">
        <v>1496</v>
      </c>
      <c r="G14" s="5">
        <v>17</v>
      </c>
      <c r="H14" s="5">
        <v>11</v>
      </c>
      <c r="I14" s="6">
        <f t="shared" si="0"/>
        <v>0.125</v>
      </c>
      <c r="J14" s="6">
        <f>D14/(VLOOKUP(B14,'[1]2022 Team'!$B$2:$G$33,2,FALSE))</f>
        <v>0.27052238805970147</v>
      </c>
      <c r="K14" s="9">
        <v>60.7</v>
      </c>
      <c r="L14" s="5">
        <v>2</v>
      </c>
    </row>
    <row r="15" spans="1:12" x14ac:dyDescent="0.25">
      <c r="A15" s="5" t="s">
        <v>693</v>
      </c>
      <c r="B15" s="5" t="s">
        <v>20</v>
      </c>
      <c r="C15" s="7" t="s">
        <v>163</v>
      </c>
      <c r="D15" s="8">
        <v>134</v>
      </c>
      <c r="E15" s="8">
        <v>87</v>
      </c>
      <c r="F15" s="8">
        <v>1046</v>
      </c>
      <c r="G15" s="5">
        <v>12</v>
      </c>
      <c r="H15" s="5">
        <v>9</v>
      </c>
      <c r="I15" s="6">
        <f t="shared" si="0"/>
        <v>0.10344827586206896</v>
      </c>
      <c r="J15" s="6">
        <f>D15/(VLOOKUP(B15,'[1]2022 Team'!$B$2:$G$33,2,FALSE))</f>
        <v>0.21967213114754097</v>
      </c>
      <c r="K15" s="9">
        <v>64.900000000000006</v>
      </c>
      <c r="L15" s="5">
        <v>2</v>
      </c>
    </row>
    <row r="16" spans="1:12" x14ac:dyDescent="0.25">
      <c r="A16" s="5" t="s">
        <v>1812</v>
      </c>
      <c r="B16" s="5" t="s">
        <v>60</v>
      </c>
      <c r="C16" s="7" t="s">
        <v>163</v>
      </c>
      <c r="D16" s="8">
        <v>147</v>
      </c>
      <c r="E16" s="8">
        <v>86</v>
      </c>
      <c r="F16" s="8">
        <v>882</v>
      </c>
      <c r="G16" s="5">
        <v>10.3</v>
      </c>
      <c r="H16" s="5">
        <v>0</v>
      </c>
      <c r="I16" s="6">
        <f t="shared" si="0"/>
        <v>0</v>
      </c>
      <c r="J16" s="6">
        <f>D16/(VLOOKUP(B16,'[1]2022 Team'!$B$2:$G$33,2,FALSE))</f>
        <v>0.2574430823117338</v>
      </c>
      <c r="K16" s="9">
        <v>58.5</v>
      </c>
      <c r="L16" s="5">
        <v>1</v>
      </c>
    </row>
    <row r="17" spans="1:12" x14ac:dyDescent="0.25">
      <c r="A17" s="5" t="s">
        <v>737</v>
      </c>
      <c r="B17" s="5" t="s">
        <v>28</v>
      </c>
      <c r="C17" s="7" t="s">
        <v>153</v>
      </c>
      <c r="D17" s="8">
        <v>43</v>
      </c>
      <c r="E17" s="8">
        <v>26</v>
      </c>
      <c r="F17" s="8">
        <v>395</v>
      </c>
      <c r="G17" s="5">
        <v>15.2</v>
      </c>
      <c r="H17" s="5">
        <v>3</v>
      </c>
      <c r="I17" s="6">
        <f t="shared" si="0"/>
        <v>0.11538461538461539</v>
      </c>
      <c r="J17" s="6">
        <f>D17/(VLOOKUP(B17,'[1]2022 Team'!$B$2:$G$33,2,FALSE))</f>
        <v>7.312925170068027E-2</v>
      </c>
      <c r="K17" s="9">
        <v>60.5</v>
      </c>
      <c r="L17" s="5">
        <v>0</v>
      </c>
    </row>
    <row r="18" spans="1:12" x14ac:dyDescent="0.25">
      <c r="A18" s="5" t="s">
        <v>737</v>
      </c>
      <c r="B18" s="5" t="s">
        <v>48</v>
      </c>
      <c r="C18" s="7" t="s">
        <v>153</v>
      </c>
      <c r="D18" s="8">
        <v>86</v>
      </c>
      <c r="E18" s="8">
        <v>60</v>
      </c>
      <c r="F18" s="8">
        <v>519</v>
      </c>
      <c r="G18" s="5">
        <v>8.6999999999999993</v>
      </c>
      <c r="H18" s="5">
        <v>3</v>
      </c>
      <c r="I18" s="6">
        <f t="shared" si="0"/>
        <v>0.05</v>
      </c>
      <c r="J18" s="6">
        <f>D18/(VLOOKUP(B18,'[1]2022 Team'!$B$2:$G$33,2,FALSE))</f>
        <v>0.12797619047619047</v>
      </c>
      <c r="K18" s="9">
        <v>69.8</v>
      </c>
      <c r="L18" s="5">
        <v>1</v>
      </c>
    </row>
    <row r="19" spans="1:12" x14ac:dyDescent="0.25">
      <c r="A19" s="5" t="s">
        <v>182</v>
      </c>
      <c r="B19" s="5" t="s">
        <v>16</v>
      </c>
      <c r="C19" s="7" t="s">
        <v>159</v>
      </c>
      <c r="D19" s="8">
        <v>43</v>
      </c>
      <c r="E19" s="8">
        <v>33</v>
      </c>
      <c r="F19" s="8">
        <v>277</v>
      </c>
      <c r="G19" s="5">
        <v>8.4</v>
      </c>
      <c r="H19" s="5">
        <v>1</v>
      </c>
      <c r="I19" s="6">
        <f t="shared" si="0"/>
        <v>3.0303030303030304E-2</v>
      </c>
      <c r="J19" s="6">
        <f>D19/(VLOOKUP(B19,'[1]2022 Team'!$B$2:$G$33,2,FALSE))</f>
        <v>9.4091903719912467E-2</v>
      </c>
      <c r="K19" s="9">
        <v>76.7</v>
      </c>
      <c r="L19" s="5">
        <v>0</v>
      </c>
    </row>
    <row r="20" spans="1:12" x14ac:dyDescent="0.25">
      <c r="A20" s="5" t="s">
        <v>182</v>
      </c>
      <c r="B20" s="5" t="s">
        <v>62</v>
      </c>
      <c r="C20" s="7" t="s">
        <v>159</v>
      </c>
      <c r="D20" s="8">
        <v>65</v>
      </c>
      <c r="E20" s="8">
        <v>52</v>
      </c>
      <c r="F20" s="8">
        <v>464</v>
      </c>
      <c r="G20" s="5">
        <v>8.9</v>
      </c>
      <c r="H20" s="5">
        <v>4</v>
      </c>
      <c r="I20" s="6">
        <f t="shared" si="0"/>
        <v>7.6923076923076927E-2</v>
      </c>
      <c r="J20" s="6">
        <f>D20/(VLOOKUP(B20,'[1]2022 Team'!$B$2:$G$33,2,FALSE))</f>
        <v>0.126953125</v>
      </c>
      <c r="K20" s="9">
        <v>80</v>
      </c>
      <c r="L20" s="5">
        <v>1</v>
      </c>
    </row>
    <row r="21" spans="1:12" x14ac:dyDescent="0.25">
      <c r="A21" s="5" t="s">
        <v>888</v>
      </c>
      <c r="B21" s="5" t="s">
        <v>36</v>
      </c>
      <c r="C21" s="7" t="s">
        <v>163</v>
      </c>
      <c r="D21" s="8">
        <v>133</v>
      </c>
      <c r="E21" s="8">
        <v>84</v>
      </c>
      <c r="F21" s="8">
        <v>1108</v>
      </c>
      <c r="G21" s="5">
        <v>13.2</v>
      </c>
      <c r="H21" s="5">
        <v>8</v>
      </c>
      <c r="I21" s="6">
        <f t="shared" si="0"/>
        <v>9.5238095238095233E-2</v>
      </c>
      <c r="J21" s="6">
        <f>D21/(VLOOKUP(B21,'[1]2022 Team'!$B$2:$G$33,2,FALSE))</f>
        <v>0.22315436241610739</v>
      </c>
      <c r="K21" s="9">
        <v>63.2</v>
      </c>
      <c r="L21" s="5">
        <v>1</v>
      </c>
    </row>
    <row r="22" spans="1:12" x14ac:dyDescent="0.25">
      <c r="A22" s="5" t="s">
        <v>935</v>
      </c>
      <c r="B22" s="5" t="s">
        <v>64</v>
      </c>
      <c r="C22" s="7" t="s">
        <v>163</v>
      </c>
      <c r="D22" s="8">
        <v>117</v>
      </c>
      <c r="E22" s="8">
        <v>84</v>
      </c>
      <c r="F22" s="8">
        <v>1033</v>
      </c>
      <c r="G22" s="5">
        <v>12.3</v>
      </c>
      <c r="H22" s="5">
        <v>9</v>
      </c>
      <c r="I22" s="6">
        <f t="shared" si="0"/>
        <v>0.10714285714285714</v>
      </c>
      <c r="J22" s="6">
        <f>D22/(VLOOKUP(B22,'[1]2022 Team'!$B$2:$G$33,2,FALSE))</f>
        <v>0.20418848167539266</v>
      </c>
      <c r="K22" s="9">
        <v>71.8</v>
      </c>
      <c r="L22" s="5">
        <v>2</v>
      </c>
    </row>
    <row r="23" spans="1:12" x14ac:dyDescent="0.25">
      <c r="A23" s="5" t="s">
        <v>986</v>
      </c>
      <c r="B23" s="5" t="s">
        <v>56</v>
      </c>
      <c r="C23" s="7" t="s">
        <v>163</v>
      </c>
      <c r="D23" s="8">
        <v>147</v>
      </c>
      <c r="E23" s="8">
        <v>83</v>
      </c>
      <c r="F23" s="8">
        <v>1103</v>
      </c>
      <c r="G23" s="5">
        <v>13.3</v>
      </c>
      <c r="H23" s="5">
        <v>4</v>
      </c>
      <c r="I23" s="6">
        <f t="shared" si="0"/>
        <v>4.8192771084337352E-2</v>
      </c>
      <c r="J23" s="6">
        <f>D23/(VLOOKUP(B23,'[1]2022 Team'!$B$2:$G$33,2,FALSE))</f>
        <v>0.23444976076555024</v>
      </c>
      <c r="K23" s="9">
        <v>56.5</v>
      </c>
      <c r="L23" s="5">
        <v>2</v>
      </c>
    </row>
    <row r="24" spans="1:12" x14ac:dyDescent="0.25">
      <c r="A24" s="5" t="s">
        <v>794</v>
      </c>
      <c r="B24" s="5" t="s">
        <v>36</v>
      </c>
      <c r="C24" s="7" t="s">
        <v>163</v>
      </c>
      <c r="D24" s="8">
        <v>121</v>
      </c>
      <c r="E24" s="8">
        <v>82</v>
      </c>
      <c r="F24" s="8">
        <v>823</v>
      </c>
      <c r="G24" s="5">
        <v>10</v>
      </c>
      <c r="H24" s="5">
        <v>5</v>
      </c>
      <c r="I24" s="6">
        <f t="shared" si="0"/>
        <v>6.097560975609756E-2</v>
      </c>
      <c r="J24" s="6">
        <f>D24/(VLOOKUP(B24,'[1]2022 Team'!$B$2:$G$33,2,FALSE))</f>
        <v>0.20302013422818793</v>
      </c>
      <c r="K24" s="9">
        <v>67.8</v>
      </c>
      <c r="L24" s="5">
        <v>0</v>
      </c>
    </row>
    <row r="25" spans="1:12" x14ac:dyDescent="0.25">
      <c r="A25" s="5" t="s">
        <v>1771</v>
      </c>
      <c r="B25" s="5" t="s">
        <v>62</v>
      </c>
      <c r="C25" s="7" t="s">
        <v>163</v>
      </c>
      <c r="D25" s="8">
        <v>114</v>
      </c>
      <c r="E25" s="8">
        <v>78</v>
      </c>
      <c r="F25" s="8">
        <v>1015</v>
      </c>
      <c r="G25" s="5">
        <v>13</v>
      </c>
      <c r="H25" s="5">
        <v>8</v>
      </c>
      <c r="I25" s="6">
        <f t="shared" si="0"/>
        <v>0.10256410256410256</v>
      </c>
      <c r="J25" s="6">
        <f>D25/(VLOOKUP(B25,'[1]2022 Team'!$B$2:$G$33,2,FALSE))</f>
        <v>0.22265625</v>
      </c>
      <c r="K25" s="9">
        <v>68.400000000000006</v>
      </c>
      <c r="L25" s="5">
        <v>1</v>
      </c>
    </row>
    <row r="26" spans="1:12" x14ac:dyDescent="0.25">
      <c r="A26" s="5" t="s">
        <v>1787</v>
      </c>
      <c r="B26" s="5" t="s">
        <v>22</v>
      </c>
      <c r="C26" s="7" t="s">
        <v>163</v>
      </c>
      <c r="D26" s="8">
        <v>132</v>
      </c>
      <c r="E26" s="8">
        <v>78</v>
      </c>
      <c r="F26" s="8">
        <v>1160</v>
      </c>
      <c r="G26" s="5">
        <v>14.9</v>
      </c>
      <c r="H26" s="5">
        <v>9</v>
      </c>
      <c r="I26" s="6">
        <f t="shared" si="0"/>
        <v>0.11538461538461539</v>
      </c>
      <c r="J26" s="6">
        <f>D26/(VLOOKUP(B26,'[1]2022 Team'!$B$2:$G$33,2,FALSE))</f>
        <v>0.24444444444444444</v>
      </c>
      <c r="K26" s="9">
        <v>59.1</v>
      </c>
      <c r="L26" s="5">
        <v>0</v>
      </c>
    </row>
    <row r="27" spans="1:12" x14ac:dyDescent="0.25">
      <c r="A27" s="5" t="s">
        <v>912</v>
      </c>
      <c r="B27" s="5" t="s">
        <v>38</v>
      </c>
      <c r="C27" s="7" t="s">
        <v>163</v>
      </c>
      <c r="D27" s="8">
        <v>101</v>
      </c>
      <c r="E27" s="8">
        <v>78</v>
      </c>
      <c r="F27" s="8">
        <v>933</v>
      </c>
      <c r="G27" s="5">
        <v>12</v>
      </c>
      <c r="H27" s="5">
        <v>3</v>
      </c>
      <c r="I27" s="6">
        <f t="shared" si="0"/>
        <v>3.8461538461538464E-2</v>
      </c>
      <c r="J27" s="6">
        <f>D27/(VLOOKUP(B27,'[1]2022 Team'!$B$2:$G$33,2,FALSE))</f>
        <v>0.15514592933947774</v>
      </c>
      <c r="K27" s="9">
        <v>77.2</v>
      </c>
      <c r="L27" s="5">
        <v>3</v>
      </c>
    </row>
    <row r="28" spans="1:12" x14ac:dyDescent="0.25">
      <c r="A28" s="5" t="s">
        <v>1024</v>
      </c>
      <c r="B28" s="5" t="s">
        <v>66</v>
      </c>
      <c r="C28" s="7" t="s">
        <v>163</v>
      </c>
      <c r="D28" s="8">
        <v>127</v>
      </c>
      <c r="E28" s="8">
        <v>77</v>
      </c>
      <c r="F28" s="8">
        <v>1124</v>
      </c>
      <c r="G28" s="5">
        <v>14.6</v>
      </c>
      <c r="H28" s="5">
        <v>6</v>
      </c>
      <c r="I28" s="6">
        <f t="shared" si="0"/>
        <v>7.792207792207792E-2</v>
      </c>
      <c r="J28" s="6">
        <f>D28/(VLOOKUP(B28,'[1]2022 Team'!$B$2:$G$33,2,FALSE))</f>
        <v>0.16910785619174434</v>
      </c>
      <c r="K28" s="9">
        <v>60.6</v>
      </c>
      <c r="L28" s="5">
        <v>0</v>
      </c>
    </row>
    <row r="29" spans="1:12" x14ac:dyDescent="0.25">
      <c r="A29" s="5" t="s">
        <v>1048</v>
      </c>
      <c r="B29" s="5" t="s">
        <v>70</v>
      </c>
      <c r="C29" s="7" t="s">
        <v>163</v>
      </c>
      <c r="D29" s="8">
        <v>120</v>
      </c>
      <c r="E29" s="8">
        <v>77</v>
      </c>
      <c r="F29" s="8">
        <v>1191</v>
      </c>
      <c r="G29" s="5">
        <v>15.5</v>
      </c>
      <c r="H29" s="5">
        <v>5</v>
      </c>
      <c r="I29" s="6">
        <f t="shared" si="0"/>
        <v>6.4935064935064929E-2</v>
      </c>
      <c r="J29" s="6">
        <f>D29/(VLOOKUP(B29,'[1]2022 Team'!$B$2:$G$33,2,FALSE))</f>
        <v>0.21660649819494585</v>
      </c>
      <c r="K29" s="9">
        <v>64.2</v>
      </c>
      <c r="L29" s="5">
        <v>1</v>
      </c>
    </row>
    <row r="30" spans="1:12" x14ac:dyDescent="0.25">
      <c r="A30" s="5" t="s">
        <v>181</v>
      </c>
      <c r="B30" s="5" t="s">
        <v>44</v>
      </c>
      <c r="C30" s="7" t="s">
        <v>163</v>
      </c>
      <c r="D30" s="8">
        <v>98</v>
      </c>
      <c r="E30" s="8">
        <v>75</v>
      </c>
      <c r="F30" s="8">
        <v>812</v>
      </c>
      <c r="G30" s="5">
        <v>10.8</v>
      </c>
      <c r="H30" s="5">
        <v>6</v>
      </c>
      <c r="I30" s="6">
        <f t="shared" si="0"/>
        <v>0.08</v>
      </c>
      <c r="J30" s="6">
        <f>D30/(VLOOKUP(B30,'[1]2022 Team'!$B$2:$G$33,2,FALSE))</f>
        <v>0.18455743879472694</v>
      </c>
      <c r="K30" s="9">
        <v>76.5</v>
      </c>
      <c r="L30" s="5">
        <v>2</v>
      </c>
    </row>
    <row r="31" spans="1:12" x14ac:dyDescent="0.25">
      <c r="A31" s="5" t="s">
        <v>175</v>
      </c>
      <c r="B31" s="5" t="s">
        <v>46</v>
      </c>
      <c r="C31" s="7" t="s">
        <v>163</v>
      </c>
      <c r="D31" s="8">
        <v>117</v>
      </c>
      <c r="E31" s="8">
        <v>75</v>
      </c>
      <c r="F31" s="8">
        <v>1356</v>
      </c>
      <c r="G31" s="5">
        <v>18.100000000000001</v>
      </c>
      <c r="H31" s="5">
        <v>8</v>
      </c>
      <c r="I31" s="6">
        <f t="shared" si="0"/>
        <v>0.10666666666666667</v>
      </c>
      <c r="J31" s="6">
        <f>D31/(VLOOKUP(B31,'[1]2022 Team'!$B$2:$G$33,2,FALSE))</f>
        <v>0.20034246575342465</v>
      </c>
      <c r="K31" s="9">
        <v>64.099999999999994</v>
      </c>
      <c r="L31" s="5">
        <v>1</v>
      </c>
    </row>
    <row r="32" spans="1:12" x14ac:dyDescent="0.25">
      <c r="A32" s="5" t="s">
        <v>846</v>
      </c>
      <c r="B32" s="5" t="s">
        <v>20</v>
      </c>
      <c r="C32" s="7" t="s">
        <v>163</v>
      </c>
      <c r="D32" s="8">
        <v>109</v>
      </c>
      <c r="E32" s="8">
        <v>74</v>
      </c>
      <c r="F32" s="8">
        <v>1029</v>
      </c>
      <c r="G32" s="5">
        <v>13.9</v>
      </c>
      <c r="H32" s="5">
        <v>7</v>
      </c>
      <c r="I32" s="6">
        <f t="shared" si="0"/>
        <v>9.45945945945946E-2</v>
      </c>
      <c r="J32" s="6">
        <f>D32/(VLOOKUP(B32,'[1]2022 Team'!$B$2:$G$33,2,FALSE))</f>
        <v>0.17868852459016393</v>
      </c>
      <c r="K32" s="9">
        <v>67.900000000000006</v>
      </c>
      <c r="L32" s="5">
        <v>0</v>
      </c>
    </row>
    <row r="33" spans="1:12" x14ac:dyDescent="0.25">
      <c r="A33" s="5" t="s">
        <v>571</v>
      </c>
      <c r="B33" s="5" t="s">
        <v>12</v>
      </c>
      <c r="C33" s="7" t="s">
        <v>153</v>
      </c>
      <c r="D33" s="8">
        <v>113</v>
      </c>
      <c r="E33" s="8">
        <v>73</v>
      </c>
      <c r="F33" s="8">
        <v>847</v>
      </c>
      <c r="G33" s="5">
        <v>11.6</v>
      </c>
      <c r="H33" s="5">
        <v>5</v>
      </c>
      <c r="I33" s="6">
        <f t="shared" si="0"/>
        <v>6.8493150684931503E-2</v>
      </c>
      <c r="J33" s="6">
        <f>D33/(VLOOKUP(B33,'[1]2022 Team'!$B$2:$G$33,2,FALSE))</f>
        <v>0.23155737704918034</v>
      </c>
      <c r="K33" s="9">
        <v>64.599999999999994</v>
      </c>
      <c r="L33" s="5">
        <v>1</v>
      </c>
    </row>
    <row r="34" spans="1:12" x14ac:dyDescent="0.25">
      <c r="A34" s="5" t="s">
        <v>781</v>
      </c>
      <c r="B34" s="5" t="s">
        <v>36</v>
      </c>
      <c r="C34" s="7" t="s">
        <v>153</v>
      </c>
      <c r="D34" s="8">
        <v>98</v>
      </c>
      <c r="E34" s="8">
        <v>73</v>
      </c>
      <c r="F34" s="8">
        <v>766</v>
      </c>
      <c r="G34" s="5">
        <v>10.5</v>
      </c>
      <c r="H34" s="5">
        <v>4</v>
      </c>
      <c r="I34" s="6">
        <f t="shared" si="0"/>
        <v>5.4794520547945202E-2</v>
      </c>
      <c r="J34" s="6">
        <f>D34/(VLOOKUP(B34,'[1]2022 Team'!$B$2:$G$33,2,FALSE))</f>
        <v>0.16442953020134229</v>
      </c>
      <c r="K34" s="9">
        <v>74.5</v>
      </c>
      <c r="L34" s="5">
        <v>0</v>
      </c>
    </row>
    <row r="35" spans="1:12" x14ac:dyDescent="0.25">
      <c r="A35" s="5" t="s">
        <v>1704</v>
      </c>
      <c r="B35" s="5" t="s">
        <v>66</v>
      </c>
      <c r="C35" s="7" t="s">
        <v>159</v>
      </c>
      <c r="D35" s="8">
        <v>83</v>
      </c>
      <c r="E35" s="8">
        <v>73</v>
      </c>
      <c r="F35" s="8">
        <v>523</v>
      </c>
      <c r="G35" s="5">
        <v>7.2</v>
      </c>
      <c r="H35" s="5">
        <v>3</v>
      </c>
      <c r="I35" s="6">
        <f t="shared" si="0"/>
        <v>4.1095890410958902E-2</v>
      </c>
      <c r="J35" s="6">
        <f>D35/(VLOOKUP(B35,'[1]2022 Team'!$B$2:$G$33,2,FALSE))</f>
        <v>0.11051930758988016</v>
      </c>
      <c r="K35" s="9">
        <v>88</v>
      </c>
      <c r="L35" s="5">
        <v>0</v>
      </c>
    </row>
    <row r="36" spans="1:12" x14ac:dyDescent="0.25">
      <c r="A36" s="5" t="s">
        <v>927</v>
      </c>
      <c r="B36" s="5" t="s">
        <v>44</v>
      </c>
      <c r="C36" s="7" t="s">
        <v>153</v>
      </c>
      <c r="D36" s="8">
        <v>108</v>
      </c>
      <c r="E36" s="8">
        <v>72</v>
      </c>
      <c r="F36" s="8">
        <v>620</v>
      </c>
      <c r="G36" s="5">
        <v>8.6</v>
      </c>
      <c r="H36" s="5">
        <v>3</v>
      </c>
      <c r="I36" s="6">
        <f t="shared" si="0"/>
        <v>4.1666666666666664E-2</v>
      </c>
      <c r="J36" s="6">
        <f>D36/(VLOOKUP(B36,'[1]2022 Team'!$B$2:$G$33,2,FALSE))</f>
        <v>0.20338983050847459</v>
      </c>
      <c r="K36" s="9">
        <v>66.7</v>
      </c>
      <c r="L36" s="5">
        <v>0</v>
      </c>
    </row>
    <row r="37" spans="1:12" x14ac:dyDescent="0.25">
      <c r="A37" s="5" t="s">
        <v>803</v>
      </c>
      <c r="B37" s="5" t="s">
        <v>10</v>
      </c>
      <c r="C37" s="7" t="s">
        <v>163</v>
      </c>
      <c r="D37" s="8">
        <v>117</v>
      </c>
      <c r="E37" s="8">
        <v>72</v>
      </c>
      <c r="F37" s="8">
        <v>866</v>
      </c>
      <c r="G37" s="5">
        <v>12</v>
      </c>
      <c r="H37" s="5">
        <v>4</v>
      </c>
      <c r="I37" s="6">
        <f t="shared" si="0"/>
        <v>5.5555555555555552E-2</v>
      </c>
      <c r="J37" s="6">
        <f>D37/(VLOOKUP(B37,'[1]2022 Team'!$B$2:$G$33,2,FALSE))</f>
        <v>0.28192771084337348</v>
      </c>
      <c r="K37" s="9">
        <v>61.5</v>
      </c>
      <c r="L37" s="5">
        <v>3</v>
      </c>
    </row>
    <row r="38" spans="1:12" x14ac:dyDescent="0.25">
      <c r="A38" s="5" t="s">
        <v>177</v>
      </c>
      <c r="B38" s="5" t="s">
        <v>52</v>
      </c>
      <c r="C38" s="7" t="s">
        <v>163</v>
      </c>
      <c r="D38" s="8">
        <v>119</v>
      </c>
      <c r="E38" s="8">
        <v>72</v>
      </c>
      <c r="F38" s="8">
        <v>1042</v>
      </c>
      <c r="G38" s="5">
        <v>14.5</v>
      </c>
      <c r="H38" s="5">
        <v>4</v>
      </c>
      <c r="I38" s="6">
        <f t="shared" si="0"/>
        <v>5.5555555555555552E-2</v>
      </c>
      <c r="J38" s="6">
        <f>D38/(VLOOKUP(B38,'[1]2022 Team'!$B$2:$G$33,2,FALSE))</f>
        <v>0.232421875</v>
      </c>
      <c r="K38" s="9">
        <v>60.5</v>
      </c>
      <c r="L38" s="5">
        <v>2</v>
      </c>
    </row>
    <row r="39" spans="1:12" x14ac:dyDescent="0.25">
      <c r="A39" s="5" t="s">
        <v>827</v>
      </c>
      <c r="B39" s="5" t="s">
        <v>42</v>
      </c>
      <c r="C39" s="7" t="s">
        <v>163</v>
      </c>
      <c r="D39" s="8">
        <v>107</v>
      </c>
      <c r="E39" s="8">
        <v>72</v>
      </c>
      <c r="F39" s="8">
        <v>769</v>
      </c>
      <c r="G39" s="5">
        <v>10.7</v>
      </c>
      <c r="H39" s="5">
        <v>3</v>
      </c>
      <c r="I39" s="6">
        <f t="shared" si="0"/>
        <v>4.1666666666666664E-2</v>
      </c>
      <c r="J39" s="6">
        <f>D39/(VLOOKUP(B39,'[1]2022 Team'!$B$2:$G$33,2,FALSE))</f>
        <v>0.15049226441631505</v>
      </c>
      <c r="K39" s="9">
        <v>67.3</v>
      </c>
      <c r="L39" s="5">
        <v>1</v>
      </c>
    </row>
    <row r="40" spans="1:12" x14ac:dyDescent="0.25">
      <c r="A40" s="5" t="s">
        <v>952</v>
      </c>
      <c r="B40" s="5" t="s">
        <v>48</v>
      </c>
      <c r="C40" s="7" t="s">
        <v>163</v>
      </c>
      <c r="D40" s="8">
        <v>107</v>
      </c>
      <c r="E40" s="8">
        <v>70</v>
      </c>
      <c r="F40" s="8">
        <v>716</v>
      </c>
      <c r="G40" s="5">
        <v>10.199999999999999</v>
      </c>
      <c r="H40" s="5">
        <v>6</v>
      </c>
      <c r="I40" s="6">
        <f t="shared" si="0"/>
        <v>8.5714285714285715E-2</v>
      </c>
      <c r="J40" s="6">
        <f>D40/(VLOOKUP(B40,'[1]2022 Team'!$B$2:$G$33,2,FALSE))</f>
        <v>0.15922619047619047</v>
      </c>
      <c r="K40" s="9">
        <v>65.400000000000006</v>
      </c>
      <c r="L40" s="5">
        <v>0</v>
      </c>
    </row>
    <row r="41" spans="1:12" x14ac:dyDescent="0.25">
      <c r="A41" s="5" t="s">
        <v>324</v>
      </c>
      <c r="B41" s="5" t="s">
        <v>50</v>
      </c>
      <c r="C41" s="7" t="s">
        <v>159</v>
      </c>
      <c r="D41" s="8">
        <v>88</v>
      </c>
      <c r="E41" s="8">
        <v>69</v>
      </c>
      <c r="F41" s="8">
        <v>421</v>
      </c>
      <c r="G41" s="5">
        <v>6.1</v>
      </c>
      <c r="H41" s="5">
        <v>1</v>
      </c>
      <c r="I41" s="6">
        <f t="shared" si="0"/>
        <v>1.4492753623188406E-2</v>
      </c>
      <c r="J41" s="6">
        <f>D41/(VLOOKUP(B41,'[1]2022 Team'!$B$2:$G$33,2,FALSE))</f>
        <v>0.16296296296296298</v>
      </c>
      <c r="K41" s="9">
        <v>78.400000000000006</v>
      </c>
      <c r="L41" s="5">
        <v>4</v>
      </c>
    </row>
    <row r="42" spans="1:12" x14ac:dyDescent="0.25">
      <c r="A42" s="5" t="s">
        <v>907</v>
      </c>
      <c r="B42" s="5" t="s">
        <v>8</v>
      </c>
      <c r="C42" s="7" t="s">
        <v>163</v>
      </c>
      <c r="D42" s="8">
        <v>107</v>
      </c>
      <c r="E42" s="8">
        <v>67</v>
      </c>
      <c r="F42" s="8">
        <v>709</v>
      </c>
      <c r="G42" s="5">
        <v>10.6</v>
      </c>
      <c r="H42" s="5">
        <v>3</v>
      </c>
      <c r="I42" s="6">
        <f t="shared" si="0"/>
        <v>4.4776119402985072E-2</v>
      </c>
      <c r="J42" s="6">
        <f>D42/(VLOOKUP(B42,'[1]2022 Team'!$B$2:$G$33,2,FALSE))</f>
        <v>0.16114457831325302</v>
      </c>
      <c r="K42" s="9">
        <v>62.6</v>
      </c>
      <c r="L42" s="5">
        <v>1</v>
      </c>
    </row>
    <row r="43" spans="1:12" x14ac:dyDescent="0.25">
      <c r="A43" s="5" t="s">
        <v>762</v>
      </c>
      <c r="B43" s="5" t="s">
        <v>26</v>
      </c>
      <c r="C43" s="7" t="s">
        <v>163</v>
      </c>
      <c r="D43" s="8">
        <v>100</v>
      </c>
      <c r="E43" s="8">
        <v>67</v>
      </c>
      <c r="F43" s="8">
        <v>972</v>
      </c>
      <c r="G43" s="5">
        <v>14.5</v>
      </c>
      <c r="H43" s="5">
        <v>6</v>
      </c>
      <c r="I43" s="6">
        <f t="shared" si="0"/>
        <v>8.9552238805970144E-2</v>
      </c>
      <c r="J43" s="6">
        <f>D43/(VLOOKUP(B43,'[1]2022 Team'!$B$2:$G$33,2,FALSE))</f>
        <v>0.17513134851138354</v>
      </c>
      <c r="K43" s="9">
        <v>67</v>
      </c>
      <c r="L43" s="5">
        <v>0</v>
      </c>
    </row>
    <row r="44" spans="1:12" x14ac:dyDescent="0.25">
      <c r="A44" s="5" t="s">
        <v>654</v>
      </c>
      <c r="B44" s="5" t="s">
        <v>50</v>
      </c>
      <c r="C44" s="7" t="s">
        <v>163</v>
      </c>
      <c r="D44" s="8">
        <v>96</v>
      </c>
      <c r="E44" s="8">
        <v>67</v>
      </c>
      <c r="F44" s="8">
        <v>804</v>
      </c>
      <c r="G44" s="5">
        <v>12</v>
      </c>
      <c r="H44" s="5">
        <v>6</v>
      </c>
      <c r="I44" s="6">
        <f t="shared" si="0"/>
        <v>8.9552238805970144E-2</v>
      </c>
      <c r="J44" s="6">
        <f>D44/(VLOOKUP(B44,'[1]2022 Team'!$B$2:$G$33,2,FALSE))</f>
        <v>0.17777777777777778</v>
      </c>
      <c r="K44" s="9">
        <v>69.8</v>
      </c>
      <c r="L44" s="5">
        <v>2</v>
      </c>
    </row>
    <row r="45" spans="1:12" x14ac:dyDescent="0.25">
      <c r="A45" s="5" t="s">
        <v>916</v>
      </c>
      <c r="B45" s="5" t="s">
        <v>42</v>
      </c>
      <c r="C45" s="7" t="s">
        <v>163</v>
      </c>
      <c r="D45" s="8">
        <v>89</v>
      </c>
      <c r="E45" s="8">
        <v>66</v>
      </c>
      <c r="F45" s="8">
        <v>752</v>
      </c>
      <c r="G45" s="5">
        <v>11.4</v>
      </c>
      <c r="H45" s="5">
        <v>4</v>
      </c>
      <c r="I45" s="6">
        <f t="shared" si="0"/>
        <v>6.0606060606060608E-2</v>
      </c>
      <c r="J45" s="6">
        <f>D45/(VLOOKUP(B45,'[1]2022 Team'!$B$2:$G$33,2,FALSE))</f>
        <v>0.12517580872011252</v>
      </c>
      <c r="K45" s="9">
        <v>74.2</v>
      </c>
      <c r="L45" s="5">
        <v>1</v>
      </c>
    </row>
    <row r="46" spans="1:12" x14ac:dyDescent="0.25">
      <c r="A46" s="5" t="s">
        <v>813</v>
      </c>
      <c r="B46" s="5" t="s">
        <v>8</v>
      </c>
      <c r="C46" s="7" t="s">
        <v>163</v>
      </c>
      <c r="D46" s="8">
        <v>96</v>
      </c>
      <c r="E46" s="8">
        <v>64</v>
      </c>
      <c r="F46" s="8">
        <v>717</v>
      </c>
      <c r="G46" s="5">
        <v>11.2</v>
      </c>
      <c r="H46" s="5">
        <v>3</v>
      </c>
      <c r="I46" s="6">
        <f t="shared" si="0"/>
        <v>4.6875E-2</v>
      </c>
      <c r="J46" s="6">
        <f>D46/(VLOOKUP(B46,'[1]2022 Team'!$B$2:$G$33,2,FALSE))</f>
        <v>0.14457831325301204</v>
      </c>
      <c r="K46" s="9">
        <v>66.7</v>
      </c>
      <c r="L46" s="5">
        <v>2</v>
      </c>
    </row>
    <row r="47" spans="1:12" x14ac:dyDescent="0.25">
      <c r="A47" s="5" t="s">
        <v>828</v>
      </c>
      <c r="B47" s="5" t="s">
        <v>70</v>
      </c>
      <c r="C47" s="7" t="s">
        <v>163</v>
      </c>
      <c r="D47" s="8">
        <v>92</v>
      </c>
      <c r="E47" s="8">
        <v>64</v>
      </c>
      <c r="F47" s="8">
        <v>656</v>
      </c>
      <c r="G47" s="5">
        <v>10.3</v>
      </c>
      <c r="H47" s="5">
        <v>4</v>
      </c>
      <c r="I47" s="6">
        <f t="shared" si="0"/>
        <v>6.25E-2</v>
      </c>
      <c r="J47" s="6">
        <f>D47/(VLOOKUP(B47,'[1]2022 Team'!$B$2:$G$33,2,FALSE))</f>
        <v>0.16606498194945848</v>
      </c>
      <c r="K47" s="9">
        <v>69.599999999999994</v>
      </c>
      <c r="L47" s="5">
        <v>1</v>
      </c>
    </row>
    <row r="48" spans="1:12" x14ac:dyDescent="0.25">
      <c r="A48" s="5" t="s">
        <v>184</v>
      </c>
      <c r="B48" s="5" t="s">
        <v>26</v>
      </c>
      <c r="C48" s="7" t="s">
        <v>163</v>
      </c>
      <c r="D48" s="8">
        <v>109</v>
      </c>
      <c r="E48" s="8">
        <v>64</v>
      </c>
      <c r="F48" s="8">
        <v>829</v>
      </c>
      <c r="G48" s="5">
        <v>13</v>
      </c>
      <c r="H48" s="5">
        <v>2</v>
      </c>
      <c r="I48" s="6">
        <f t="shared" si="0"/>
        <v>3.125E-2</v>
      </c>
      <c r="J48" s="6">
        <f>D48/(VLOOKUP(B48,'[1]2022 Team'!$B$2:$G$33,2,FALSE))</f>
        <v>0.19089316987740806</v>
      </c>
      <c r="K48" s="9">
        <v>58.7</v>
      </c>
      <c r="L48" s="5">
        <v>0</v>
      </c>
    </row>
    <row r="49" spans="1:12" x14ac:dyDescent="0.25">
      <c r="A49" s="5" t="s">
        <v>1583</v>
      </c>
      <c r="B49" s="5" t="s">
        <v>34</v>
      </c>
      <c r="C49" s="7" t="s">
        <v>163</v>
      </c>
      <c r="D49" s="8">
        <v>91</v>
      </c>
      <c r="E49" s="8">
        <v>63</v>
      </c>
      <c r="F49" s="8">
        <v>623</v>
      </c>
      <c r="G49" s="5">
        <v>9.9</v>
      </c>
      <c r="H49" s="5">
        <v>3</v>
      </c>
      <c r="I49" s="6">
        <f t="shared" si="0"/>
        <v>4.7619047619047616E-2</v>
      </c>
      <c r="J49" s="6">
        <f>D49/(VLOOKUP(B49,'[1]2022 Team'!$B$2:$G$33,2,FALSE))</f>
        <v>0.15066225165562913</v>
      </c>
      <c r="K49" s="9">
        <v>69.2</v>
      </c>
      <c r="L49" s="5">
        <v>1</v>
      </c>
    </row>
    <row r="50" spans="1:12" x14ac:dyDescent="0.25">
      <c r="A50" s="5" t="s">
        <v>1000</v>
      </c>
      <c r="B50" s="5" t="s">
        <v>60</v>
      </c>
      <c r="C50" s="7" t="s">
        <v>153</v>
      </c>
      <c r="D50" s="8">
        <v>98</v>
      </c>
      <c r="E50" s="8">
        <v>63</v>
      </c>
      <c r="F50" s="8">
        <v>732</v>
      </c>
      <c r="G50" s="5">
        <v>11.6</v>
      </c>
      <c r="H50" s="5">
        <v>2</v>
      </c>
      <c r="I50" s="6">
        <f t="shared" si="0"/>
        <v>3.1746031746031744E-2</v>
      </c>
      <c r="J50" s="6">
        <f>D50/(VLOOKUP(B50,'[1]2022 Team'!$B$2:$G$33,2,FALSE))</f>
        <v>0.17162872154115585</v>
      </c>
      <c r="K50" s="9">
        <v>64.3</v>
      </c>
      <c r="L50" s="5">
        <v>0</v>
      </c>
    </row>
    <row r="51" spans="1:12" x14ac:dyDescent="0.25">
      <c r="A51" s="5" t="s">
        <v>167</v>
      </c>
      <c r="B51" s="5" t="s">
        <v>16</v>
      </c>
      <c r="C51" s="7" t="s">
        <v>163</v>
      </c>
      <c r="D51" s="8">
        <v>118</v>
      </c>
      <c r="E51" s="8">
        <v>63</v>
      </c>
      <c r="F51" s="8">
        <v>888</v>
      </c>
      <c r="G51" s="5">
        <v>14.1</v>
      </c>
      <c r="H51" s="5">
        <v>7</v>
      </c>
      <c r="I51" s="6">
        <f t="shared" si="0"/>
        <v>0.1111111111111111</v>
      </c>
      <c r="J51" s="6">
        <f>D51/(VLOOKUP(B51,'[1]2022 Team'!$B$2:$G$33,2,FALSE))</f>
        <v>0.25820568927789933</v>
      </c>
      <c r="K51" s="9">
        <v>53.4</v>
      </c>
      <c r="L51" s="5">
        <v>0</v>
      </c>
    </row>
    <row r="52" spans="1:12" x14ac:dyDescent="0.25">
      <c r="A52" s="5" t="s">
        <v>1767</v>
      </c>
      <c r="B52" s="5" t="s">
        <v>42</v>
      </c>
      <c r="C52" s="7" t="s">
        <v>163</v>
      </c>
      <c r="D52" s="8">
        <v>93</v>
      </c>
      <c r="E52" s="8">
        <v>63</v>
      </c>
      <c r="F52" s="8">
        <v>895</v>
      </c>
      <c r="G52" s="5">
        <v>14.2</v>
      </c>
      <c r="H52" s="5">
        <v>4</v>
      </c>
      <c r="I52" s="6">
        <f t="shared" si="0"/>
        <v>6.3492063492063489E-2</v>
      </c>
      <c r="J52" s="6">
        <f>D52/(VLOOKUP(B52,'[1]2022 Team'!$B$2:$G$33,2,FALSE))</f>
        <v>0.13080168776371309</v>
      </c>
      <c r="K52" s="9">
        <v>67.7</v>
      </c>
      <c r="L52" s="5">
        <v>0</v>
      </c>
    </row>
    <row r="53" spans="1:12" x14ac:dyDescent="0.25">
      <c r="A53" s="5" t="s">
        <v>1831</v>
      </c>
      <c r="B53" s="5" t="s">
        <v>22</v>
      </c>
      <c r="C53" s="7" t="s">
        <v>163</v>
      </c>
      <c r="D53" s="8">
        <v>96</v>
      </c>
      <c r="E53" s="8">
        <v>61</v>
      </c>
      <c r="F53" s="8">
        <v>839</v>
      </c>
      <c r="G53" s="5">
        <v>13.8</v>
      </c>
      <c r="H53" s="5">
        <v>3</v>
      </c>
      <c r="I53" s="6">
        <f t="shared" si="0"/>
        <v>4.9180327868852458E-2</v>
      </c>
      <c r="J53" s="6">
        <f>D53/(VLOOKUP(B53,'[1]2022 Team'!$B$2:$G$33,2,FALSE))</f>
        <v>0.17777777777777778</v>
      </c>
      <c r="K53" s="9">
        <v>63.5</v>
      </c>
      <c r="L53" s="5">
        <v>1</v>
      </c>
    </row>
    <row r="54" spans="1:12" x14ac:dyDescent="0.25">
      <c r="A54" s="5" t="s">
        <v>770</v>
      </c>
      <c r="B54" s="5" t="s">
        <v>62</v>
      </c>
      <c r="C54" s="7" t="s">
        <v>153</v>
      </c>
      <c r="D54" s="8">
        <v>86</v>
      </c>
      <c r="E54" s="8">
        <v>60</v>
      </c>
      <c r="F54" s="8">
        <v>765</v>
      </c>
      <c r="G54" s="5">
        <v>12.8</v>
      </c>
      <c r="H54" s="5">
        <v>11</v>
      </c>
      <c r="I54" s="6">
        <f t="shared" si="0"/>
        <v>0.18333333333333332</v>
      </c>
      <c r="J54" s="6">
        <f>D54/(VLOOKUP(B54,'[1]2022 Team'!$B$2:$G$33,2,FALSE))</f>
        <v>0.16796875</v>
      </c>
      <c r="K54" s="9">
        <v>69.8</v>
      </c>
      <c r="L54" s="5">
        <v>1</v>
      </c>
    </row>
    <row r="55" spans="1:12" x14ac:dyDescent="0.25">
      <c r="A55" s="5" t="s">
        <v>978</v>
      </c>
      <c r="B55" s="5" t="s">
        <v>30</v>
      </c>
      <c r="C55" s="7" t="s">
        <v>163</v>
      </c>
      <c r="D55" s="8">
        <v>100</v>
      </c>
      <c r="E55" s="8">
        <v>60</v>
      </c>
      <c r="F55" s="8">
        <v>788</v>
      </c>
      <c r="G55" s="5">
        <v>13.1</v>
      </c>
      <c r="H55" s="5">
        <v>6</v>
      </c>
      <c r="I55" s="6">
        <f t="shared" si="0"/>
        <v>0.1</v>
      </c>
      <c r="J55" s="6">
        <f>D55/(VLOOKUP(B55,'[1]2022 Team'!$B$2:$G$33,2,FALSE))</f>
        <v>0.17761989342806395</v>
      </c>
      <c r="K55" s="9">
        <v>60</v>
      </c>
      <c r="L55" s="5">
        <v>0</v>
      </c>
    </row>
    <row r="56" spans="1:12" x14ac:dyDescent="0.25">
      <c r="A56" s="5" t="s">
        <v>1593</v>
      </c>
      <c r="B56" s="5" t="s">
        <v>20</v>
      </c>
      <c r="C56" s="7" t="s">
        <v>159</v>
      </c>
      <c r="D56" s="8">
        <v>75</v>
      </c>
      <c r="E56" s="8">
        <v>60</v>
      </c>
      <c r="F56" s="8">
        <v>441</v>
      </c>
      <c r="G56" s="5">
        <v>7.4</v>
      </c>
      <c r="H56" s="5">
        <v>2</v>
      </c>
      <c r="I56" s="6">
        <f t="shared" si="0"/>
        <v>3.3333333333333333E-2</v>
      </c>
      <c r="J56" s="6">
        <f>D56/(VLOOKUP(B56,'[1]2022 Team'!$B$2:$G$33,2,FALSE))</f>
        <v>0.12295081967213115</v>
      </c>
      <c r="K56" s="9">
        <v>80</v>
      </c>
      <c r="L56" s="5">
        <v>0</v>
      </c>
    </row>
    <row r="57" spans="1:12" x14ac:dyDescent="0.25">
      <c r="A57" s="5" t="s">
        <v>1827</v>
      </c>
      <c r="B57" s="5" t="s">
        <v>48</v>
      </c>
      <c r="C57" s="7" t="s">
        <v>163</v>
      </c>
      <c r="D57" s="8">
        <v>90</v>
      </c>
      <c r="E57" s="8">
        <v>60</v>
      </c>
      <c r="F57" s="8">
        <v>650</v>
      </c>
      <c r="G57" s="5">
        <v>10.8</v>
      </c>
      <c r="H57" s="5">
        <v>5</v>
      </c>
      <c r="I57" s="6">
        <f t="shared" si="0"/>
        <v>8.3333333333333329E-2</v>
      </c>
      <c r="J57" s="6">
        <f>D57/(VLOOKUP(B57,'[1]2022 Team'!$B$2:$G$33,2,FALSE))</f>
        <v>0.13392857142857142</v>
      </c>
      <c r="K57" s="9">
        <v>66.7</v>
      </c>
      <c r="L57" s="5">
        <v>1</v>
      </c>
    </row>
    <row r="58" spans="1:12" x14ac:dyDescent="0.25">
      <c r="A58" s="5" t="s">
        <v>308</v>
      </c>
      <c r="B58" s="5" t="s">
        <v>30</v>
      </c>
      <c r="C58" s="7" t="s">
        <v>159</v>
      </c>
      <c r="D58" s="8">
        <v>72</v>
      </c>
      <c r="E58" s="8">
        <v>59</v>
      </c>
      <c r="F58" s="8">
        <v>395</v>
      </c>
      <c r="G58" s="5">
        <v>6.7</v>
      </c>
      <c r="H58" s="5">
        <v>5</v>
      </c>
      <c r="I58" s="6">
        <f t="shared" si="0"/>
        <v>8.4745762711864403E-2</v>
      </c>
      <c r="J58" s="6">
        <f>D58/(VLOOKUP(B58,'[1]2022 Team'!$B$2:$G$33,2,FALSE))</f>
        <v>0.12788632326820604</v>
      </c>
      <c r="K58" s="9">
        <v>81.900000000000006</v>
      </c>
      <c r="L58" s="5">
        <v>5</v>
      </c>
    </row>
    <row r="59" spans="1:12" x14ac:dyDescent="0.25">
      <c r="A59" s="5" t="s">
        <v>1582</v>
      </c>
      <c r="B59" s="5" t="s">
        <v>20</v>
      </c>
      <c r="C59" s="7" t="s">
        <v>163</v>
      </c>
      <c r="D59" s="8">
        <v>82</v>
      </c>
      <c r="E59" s="8">
        <v>58</v>
      </c>
      <c r="F59" s="8">
        <v>762</v>
      </c>
      <c r="G59" s="5">
        <v>13.1</v>
      </c>
      <c r="H59" s="5">
        <v>5</v>
      </c>
      <c r="I59" s="6">
        <f t="shared" si="0"/>
        <v>8.6206896551724144E-2</v>
      </c>
      <c r="J59" s="6">
        <f>D59/(VLOOKUP(B59,'[1]2022 Team'!$B$2:$G$33,2,FALSE))</f>
        <v>0.13442622950819672</v>
      </c>
      <c r="K59" s="9">
        <v>70.7</v>
      </c>
      <c r="L59" s="5">
        <v>0</v>
      </c>
    </row>
    <row r="60" spans="1:12" x14ac:dyDescent="0.25">
      <c r="A60" s="5" t="s">
        <v>766</v>
      </c>
      <c r="B60" s="5" t="s">
        <v>56</v>
      </c>
      <c r="C60" s="7" t="s">
        <v>153</v>
      </c>
      <c r="D60" s="8">
        <v>87</v>
      </c>
      <c r="E60" s="8">
        <v>58</v>
      </c>
      <c r="F60" s="8">
        <v>552</v>
      </c>
      <c r="G60" s="5">
        <v>9.5</v>
      </c>
      <c r="H60" s="5">
        <v>3</v>
      </c>
      <c r="I60" s="6">
        <f t="shared" si="0"/>
        <v>5.1724137931034482E-2</v>
      </c>
      <c r="J60" s="6">
        <f>D60/(VLOOKUP(B60,'[1]2022 Team'!$B$2:$G$33,2,FALSE))</f>
        <v>0.13875598086124402</v>
      </c>
      <c r="K60" s="9">
        <v>66.7</v>
      </c>
      <c r="L60" s="5">
        <v>2</v>
      </c>
    </row>
    <row r="61" spans="1:12" x14ac:dyDescent="0.25">
      <c r="A61" s="5" t="s">
        <v>1729</v>
      </c>
      <c r="B61" s="5" t="s">
        <v>42</v>
      </c>
      <c r="C61" s="7" t="s">
        <v>153</v>
      </c>
      <c r="D61" s="8">
        <v>87</v>
      </c>
      <c r="E61" s="8">
        <v>58</v>
      </c>
      <c r="F61" s="8">
        <v>555</v>
      </c>
      <c r="G61" s="5">
        <v>9.6</v>
      </c>
      <c r="H61" s="5">
        <v>4</v>
      </c>
      <c r="I61" s="6">
        <f t="shared" si="0"/>
        <v>6.8965517241379309E-2</v>
      </c>
      <c r="J61" s="6">
        <f>D61/(VLOOKUP(B61,'[1]2022 Team'!$B$2:$G$33,2,FALSE))</f>
        <v>0.12236286919831224</v>
      </c>
      <c r="K61" s="9">
        <v>66.7</v>
      </c>
      <c r="L61" s="5">
        <v>0</v>
      </c>
    </row>
    <row r="62" spans="1:12" x14ac:dyDescent="0.25">
      <c r="A62" s="5" t="s">
        <v>852</v>
      </c>
      <c r="B62" s="5" t="s">
        <v>22</v>
      </c>
      <c r="C62" s="7" t="s">
        <v>153</v>
      </c>
      <c r="D62" s="8">
        <v>80</v>
      </c>
      <c r="E62" s="8">
        <v>58</v>
      </c>
      <c r="F62" s="8">
        <v>628</v>
      </c>
      <c r="G62" s="5">
        <v>10.8</v>
      </c>
      <c r="H62" s="5">
        <v>4</v>
      </c>
      <c r="I62" s="6">
        <f t="shared" si="0"/>
        <v>6.8965517241379309E-2</v>
      </c>
      <c r="J62" s="6">
        <f>D62/(VLOOKUP(B62,'[1]2022 Team'!$B$2:$G$33,2,FALSE))</f>
        <v>0.14814814814814814</v>
      </c>
      <c r="K62" s="9">
        <v>72.5</v>
      </c>
      <c r="L62" s="5">
        <v>1</v>
      </c>
    </row>
    <row r="63" spans="1:12" x14ac:dyDescent="0.25">
      <c r="A63" s="5" t="s">
        <v>204</v>
      </c>
      <c r="B63" s="5" t="s">
        <v>54</v>
      </c>
      <c r="C63" s="7" t="s">
        <v>159</v>
      </c>
      <c r="D63" s="8">
        <v>76</v>
      </c>
      <c r="E63" s="8">
        <v>57</v>
      </c>
      <c r="F63" s="8">
        <v>338</v>
      </c>
      <c r="G63" s="5">
        <v>5.9</v>
      </c>
      <c r="H63" s="5">
        <v>0</v>
      </c>
      <c r="I63" s="6">
        <f t="shared" si="0"/>
        <v>0</v>
      </c>
      <c r="J63" s="6">
        <f>D63/(VLOOKUP(B63,'[1]2022 Team'!$B$2:$G$33,2,FALSE))</f>
        <v>0.14615384615384616</v>
      </c>
      <c r="K63" s="9">
        <v>75</v>
      </c>
      <c r="L63" s="5">
        <v>1</v>
      </c>
    </row>
    <row r="64" spans="1:12" x14ac:dyDescent="0.25">
      <c r="A64" s="5" t="s">
        <v>820</v>
      </c>
      <c r="B64" s="5" t="s">
        <v>32</v>
      </c>
      <c r="C64" s="7" t="s">
        <v>163</v>
      </c>
      <c r="D64" s="8">
        <v>93</v>
      </c>
      <c r="E64" s="8">
        <v>57</v>
      </c>
      <c r="F64" s="8">
        <v>699</v>
      </c>
      <c r="G64" s="5">
        <v>12.3</v>
      </c>
      <c r="H64" s="5">
        <v>3</v>
      </c>
      <c r="I64" s="6">
        <f t="shared" ref="I64:I125" si="1">H64/E64</f>
        <v>5.2631578947368418E-2</v>
      </c>
      <c r="J64" s="6">
        <f>D64/(VLOOKUP(B64,'[1]2022 Team'!$B$2:$G$33,2,FALSE))</f>
        <v>0.16062176165803108</v>
      </c>
      <c r="K64" s="9">
        <v>61.3</v>
      </c>
      <c r="L64" s="5">
        <v>0</v>
      </c>
    </row>
    <row r="65" spans="1:12" x14ac:dyDescent="0.25">
      <c r="A65" s="5" t="s">
        <v>748</v>
      </c>
      <c r="B65" s="5" t="s">
        <v>40</v>
      </c>
      <c r="C65" s="7" t="s">
        <v>163</v>
      </c>
      <c r="D65" s="8">
        <v>94</v>
      </c>
      <c r="E65" s="8">
        <v>57</v>
      </c>
      <c r="F65" s="8">
        <v>690</v>
      </c>
      <c r="G65" s="5">
        <v>12.1</v>
      </c>
      <c r="H65" s="5">
        <v>4</v>
      </c>
      <c r="I65" s="6">
        <f t="shared" si="1"/>
        <v>7.0175438596491224E-2</v>
      </c>
      <c r="J65" s="6">
        <f>D65/(VLOOKUP(B65,'[1]2022 Team'!$B$2:$G$33,2,FALSE))</f>
        <v>0.16040955631399317</v>
      </c>
      <c r="K65" s="9">
        <v>60.6</v>
      </c>
      <c r="L65" s="5">
        <v>0</v>
      </c>
    </row>
    <row r="66" spans="1:12" x14ac:dyDescent="0.25">
      <c r="A66" s="5" t="s">
        <v>1809</v>
      </c>
      <c r="B66" s="5" t="s">
        <v>54</v>
      </c>
      <c r="C66" s="7" t="s">
        <v>163</v>
      </c>
      <c r="D66" s="8">
        <v>70</v>
      </c>
      <c r="E66" s="8">
        <v>57</v>
      </c>
      <c r="F66" s="8">
        <v>569</v>
      </c>
      <c r="G66" s="5">
        <v>10</v>
      </c>
      <c r="H66" s="5">
        <v>4</v>
      </c>
      <c r="I66" s="6">
        <f t="shared" si="1"/>
        <v>7.0175438596491224E-2</v>
      </c>
      <c r="J66" s="6">
        <f>D66/(VLOOKUP(B66,'[1]2022 Team'!$B$2:$G$33,2,FALSE))</f>
        <v>0.13461538461538461</v>
      </c>
      <c r="K66" s="9">
        <v>81.400000000000006</v>
      </c>
      <c r="L66" s="5">
        <v>3</v>
      </c>
    </row>
    <row r="67" spans="1:12" x14ac:dyDescent="0.25">
      <c r="A67" s="5" t="s">
        <v>348</v>
      </c>
      <c r="B67" s="5" t="s">
        <v>52</v>
      </c>
      <c r="C67" s="7" t="s">
        <v>159</v>
      </c>
      <c r="D67" s="8">
        <v>77</v>
      </c>
      <c r="E67" s="8">
        <v>57</v>
      </c>
      <c r="F67" s="8">
        <v>490</v>
      </c>
      <c r="G67" s="5">
        <v>8.6</v>
      </c>
      <c r="H67" s="5">
        <v>2</v>
      </c>
      <c r="I67" s="6">
        <f t="shared" si="1"/>
        <v>3.5087719298245612E-2</v>
      </c>
      <c r="J67" s="6">
        <f>D67/(VLOOKUP(B67,'[1]2022 Team'!$B$2:$G$33,2,FALSE))</f>
        <v>0.150390625</v>
      </c>
      <c r="K67" s="9">
        <v>74</v>
      </c>
      <c r="L67" s="5">
        <v>4</v>
      </c>
    </row>
    <row r="68" spans="1:12" x14ac:dyDescent="0.25">
      <c r="A68" s="5" t="s">
        <v>889</v>
      </c>
      <c r="B68" s="5" t="s">
        <v>24</v>
      </c>
      <c r="C68" s="7" t="s">
        <v>153</v>
      </c>
      <c r="D68" s="8">
        <v>89</v>
      </c>
      <c r="E68" s="8">
        <v>57</v>
      </c>
      <c r="F68" s="8">
        <v>577</v>
      </c>
      <c r="G68" s="5">
        <v>10.1</v>
      </c>
      <c r="H68" s="5">
        <v>5</v>
      </c>
      <c r="I68" s="6">
        <f t="shared" si="1"/>
        <v>8.771929824561403E-2</v>
      </c>
      <c r="J68" s="6">
        <f>D68/(VLOOKUP(B68,'[1]2022 Team'!$B$2:$G$33,2,FALSE))</f>
        <v>0.16007194244604317</v>
      </c>
      <c r="K68" s="9">
        <v>64</v>
      </c>
      <c r="L68" s="5">
        <v>1</v>
      </c>
    </row>
    <row r="69" spans="1:12" x14ac:dyDescent="0.25">
      <c r="A69" s="5" t="s">
        <v>1581</v>
      </c>
      <c r="B69" s="5" t="s">
        <v>38</v>
      </c>
      <c r="C69" s="7" t="s">
        <v>159</v>
      </c>
      <c r="D69" s="8">
        <v>71</v>
      </c>
      <c r="E69" s="8">
        <v>56</v>
      </c>
      <c r="F69" s="8">
        <v>512</v>
      </c>
      <c r="G69" s="5">
        <v>9.1</v>
      </c>
      <c r="H69" s="5">
        <v>9</v>
      </c>
      <c r="I69" s="6">
        <f t="shared" si="1"/>
        <v>0.16071428571428573</v>
      </c>
      <c r="J69" s="6">
        <f>D69/(VLOOKUP(B69,'[1]2022 Team'!$B$2:$G$33,2,FALSE))</f>
        <v>0.10906298003072197</v>
      </c>
      <c r="K69" s="9">
        <v>78.900000000000006</v>
      </c>
      <c r="L69" s="5">
        <v>1</v>
      </c>
    </row>
    <row r="70" spans="1:12" x14ac:dyDescent="0.25">
      <c r="A70" s="5" t="s">
        <v>534</v>
      </c>
      <c r="B70" s="5" t="s">
        <v>62</v>
      </c>
      <c r="C70" s="7" t="s">
        <v>163</v>
      </c>
      <c r="D70" s="8">
        <v>94</v>
      </c>
      <c r="E70" s="8">
        <v>56</v>
      </c>
      <c r="F70" s="8">
        <v>632</v>
      </c>
      <c r="G70" s="5">
        <v>11.3</v>
      </c>
      <c r="H70" s="5">
        <v>2</v>
      </c>
      <c r="I70" s="6">
        <f t="shared" si="1"/>
        <v>3.5714285714285712E-2</v>
      </c>
      <c r="J70" s="6">
        <f>D70/(VLOOKUP(B70,'[1]2022 Team'!$B$2:$G$33,2,FALSE))</f>
        <v>0.18359375</v>
      </c>
      <c r="K70" s="9">
        <v>59.6</v>
      </c>
      <c r="L70" s="5">
        <v>3</v>
      </c>
    </row>
    <row r="71" spans="1:12" x14ac:dyDescent="0.25">
      <c r="A71" s="5" t="s">
        <v>994</v>
      </c>
      <c r="B71" s="5" t="s">
        <v>58</v>
      </c>
      <c r="C71" s="7" t="s">
        <v>153</v>
      </c>
      <c r="D71" s="8">
        <v>69</v>
      </c>
      <c r="E71" s="8">
        <v>55</v>
      </c>
      <c r="F71" s="8">
        <v>702</v>
      </c>
      <c r="G71" s="5">
        <v>12.8</v>
      </c>
      <c r="H71" s="5">
        <v>3</v>
      </c>
      <c r="I71" s="6">
        <f t="shared" si="1"/>
        <v>5.4545454545454543E-2</v>
      </c>
      <c r="J71" s="6">
        <f>D71/(VLOOKUP(B71,'[1]2022 Team'!$B$2:$G$33,2,FALSE))</f>
        <v>0.1287313432835821</v>
      </c>
      <c r="K71" s="9">
        <v>79.7</v>
      </c>
      <c r="L71" s="5">
        <v>1</v>
      </c>
    </row>
    <row r="72" spans="1:12" x14ac:dyDescent="0.25">
      <c r="A72" s="5" t="s">
        <v>231</v>
      </c>
      <c r="B72" s="5" t="s">
        <v>40</v>
      </c>
      <c r="C72" s="7" t="s">
        <v>159</v>
      </c>
      <c r="D72" s="8">
        <v>64</v>
      </c>
      <c r="E72" s="8">
        <v>53</v>
      </c>
      <c r="F72" s="8">
        <v>400</v>
      </c>
      <c r="G72" s="5">
        <v>7.5</v>
      </c>
      <c r="H72" s="5">
        <v>0</v>
      </c>
      <c r="I72" s="6">
        <f t="shared" si="1"/>
        <v>0</v>
      </c>
      <c r="J72" s="6">
        <f>D72/(VLOOKUP(B72,'[1]2022 Team'!$B$2:$G$33,2,FALSE))</f>
        <v>0.10921501706484642</v>
      </c>
      <c r="K72" s="9">
        <v>82.8</v>
      </c>
      <c r="L72" s="5">
        <v>3</v>
      </c>
    </row>
    <row r="73" spans="1:12" x14ac:dyDescent="0.25">
      <c r="A73" s="5" t="s">
        <v>914</v>
      </c>
      <c r="B73" s="5" t="s">
        <v>30</v>
      </c>
      <c r="C73" s="7" t="s">
        <v>153</v>
      </c>
      <c r="D73" s="8">
        <v>67</v>
      </c>
      <c r="E73" s="8">
        <v>53</v>
      </c>
      <c r="F73" s="8">
        <v>470</v>
      </c>
      <c r="G73" s="5">
        <v>8.9</v>
      </c>
      <c r="H73" s="5">
        <v>2</v>
      </c>
      <c r="I73" s="6">
        <f t="shared" si="1"/>
        <v>3.7735849056603772E-2</v>
      </c>
      <c r="J73" s="6">
        <f>D73/(VLOOKUP(B73,'[1]2022 Team'!$B$2:$G$33,2,FALSE))</f>
        <v>0.11900532859680284</v>
      </c>
      <c r="K73" s="9">
        <v>79.099999999999994</v>
      </c>
      <c r="L73" s="5">
        <v>0</v>
      </c>
    </row>
    <row r="74" spans="1:12" x14ac:dyDescent="0.25">
      <c r="A74" s="5" t="s">
        <v>1768</v>
      </c>
      <c r="B74" s="5" t="s">
        <v>68</v>
      </c>
      <c r="C74" s="7" t="s">
        <v>163</v>
      </c>
      <c r="D74" s="8">
        <v>91</v>
      </c>
      <c r="E74" s="8">
        <v>53</v>
      </c>
      <c r="F74" s="8">
        <v>527</v>
      </c>
      <c r="G74" s="5">
        <v>9.9</v>
      </c>
      <c r="H74" s="5">
        <v>2</v>
      </c>
      <c r="I74" s="6">
        <f t="shared" si="1"/>
        <v>3.7735849056603772E-2</v>
      </c>
      <c r="J74" s="6">
        <f>D74/(VLOOKUP(B74,'[1]2022 Team'!$B$2:$G$33,2,FALSE))</f>
        <v>0.19956140350877194</v>
      </c>
      <c r="K74" s="9">
        <v>58.2</v>
      </c>
      <c r="L74" s="5">
        <v>1</v>
      </c>
    </row>
    <row r="75" spans="1:12" x14ac:dyDescent="0.25">
      <c r="A75" s="5" t="s">
        <v>636</v>
      </c>
      <c r="B75" s="5" t="s">
        <v>8</v>
      </c>
      <c r="C75" s="7" t="s">
        <v>163</v>
      </c>
      <c r="D75" s="8">
        <v>64</v>
      </c>
      <c r="E75" s="8">
        <v>52</v>
      </c>
      <c r="F75" s="8">
        <v>467</v>
      </c>
      <c r="G75" s="5">
        <v>9</v>
      </c>
      <c r="H75" s="5">
        <v>2</v>
      </c>
      <c r="I75" s="6">
        <f t="shared" si="1"/>
        <v>3.8461538461538464E-2</v>
      </c>
      <c r="J75" s="6">
        <f>D75/(VLOOKUP(B75,'[1]2022 Team'!$B$2:$G$33,2,FALSE))</f>
        <v>9.6385542168674704E-2</v>
      </c>
      <c r="K75" s="9">
        <v>81.3</v>
      </c>
      <c r="L75" s="5">
        <v>1</v>
      </c>
    </row>
    <row r="76" spans="1:12" x14ac:dyDescent="0.25">
      <c r="A76" s="5" t="s">
        <v>1806</v>
      </c>
      <c r="B76" s="5" t="s">
        <v>20</v>
      </c>
      <c r="C76" s="7" t="s">
        <v>153</v>
      </c>
      <c r="D76" s="8">
        <v>68</v>
      </c>
      <c r="E76" s="8">
        <v>52</v>
      </c>
      <c r="F76" s="8">
        <v>414</v>
      </c>
      <c r="G76" s="5">
        <v>8</v>
      </c>
      <c r="H76" s="5">
        <v>2</v>
      </c>
      <c r="I76" s="6">
        <f t="shared" si="1"/>
        <v>3.8461538461538464E-2</v>
      </c>
      <c r="J76" s="6">
        <f>D76/(VLOOKUP(B76,'[1]2022 Team'!$B$2:$G$33,2,FALSE))</f>
        <v>0.11147540983606558</v>
      </c>
      <c r="K76" s="9">
        <v>76.5</v>
      </c>
      <c r="L76" s="5">
        <v>0</v>
      </c>
    </row>
    <row r="77" spans="1:12" x14ac:dyDescent="0.25">
      <c r="A77" s="5" t="s">
        <v>859</v>
      </c>
      <c r="B77" s="5" t="s">
        <v>60</v>
      </c>
      <c r="C77" s="7" t="s">
        <v>163</v>
      </c>
      <c r="D77" s="8">
        <v>84</v>
      </c>
      <c r="E77" s="8">
        <v>52</v>
      </c>
      <c r="F77" s="8">
        <v>801</v>
      </c>
      <c r="G77" s="5">
        <v>15.4</v>
      </c>
      <c r="H77" s="5">
        <v>4</v>
      </c>
      <c r="I77" s="6">
        <f t="shared" si="1"/>
        <v>7.6923076923076927E-2</v>
      </c>
      <c r="J77" s="6">
        <f>D77/(VLOOKUP(B77,'[1]2022 Team'!$B$2:$G$33,2,FALSE))</f>
        <v>0.14711033274956217</v>
      </c>
      <c r="K77" s="9">
        <v>61.9</v>
      </c>
      <c r="L77" s="5">
        <v>0</v>
      </c>
    </row>
    <row r="78" spans="1:12" x14ac:dyDescent="0.25">
      <c r="A78" s="5" t="s">
        <v>2481</v>
      </c>
      <c r="B78" s="5" t="s">
        <v>66</v>
      </c>
      <c r="C78" s="7" t="s">
        <v>163</v>
      </c>
      <c r="D78" s="8">
        <v>70</v>
      </c>
      <c r="E78" s="8">
        <v>51</v>
      </c>
      <c r="F78" s="8">
        <v>426</v>
      </c>
      <c r="G78" s="5">
        <v>8.4</v>
      </c>
      <c r="H78" s="5">
        <v>5</v>
      </c>
      <c r="I78" s="6">
        <f t="shared" si="1"/>
        <v>9.8039215686274508E-2</v>
      </c>
      <c r="J78" s="6">
        <f>D78/(VLOOKUP(B78,'[1]2022 Team'!$B$2:$G$33,2,FALSE))</f>
        <v>9.3209054593874838E-2</v>
      </c>
      <c r="K78" s="9">
        <v>72.900000000000006</v>
      </c>
      <c r="L78" s="5">
        <v>1</v>
      </c>
    </row>
    <row r="79" spans="1:12" x14ac:dyDescent="0.25">
      <c r="A79" s="5" t="s">
        <v>841</v>
      </c>
      <c r="B79" s="5" t="s">
        <v>64</v>
      </c>
      <c r="C79" s="7" t="s">
        <v>153</v>
      </c>
      <c r="D79" s="8">
        <v>63</v>
      </c>
      <c r="E79" s="8">
        <v>50</v>
      </c>
      <c r="F79" s="8">
        <v>486</v>
      </c>
      <c r="G79" s="5">
        <v>9.6999999999999993</v>
      </c>
      <c r="H79" s="5">
        <v>4</v>
      </c>
      <c r="I79" s="6">
        <f t="shared" si="1"/>
        <v>0.08</v>
      </c>
      <c r="J79" s="6">
        <f>D79/(VLOOKUP(B79,'[1]2022 Team'!$B$2:$G$33,2,FALSE))</f>
        <v>0.1099476439790576</v>
      </c>
      <c r="K79" s="9">
        <v>79.400000000000006</v>
      </c>
      <c r="L79" s="5">
        <v>0</v>
      </c>
    </row>
    <row r="80" spans="1:12" x14ac:dyDescent="0.25">
      <c r="A80" s="5" t="s">
        <v>168</v>
      </c>
      <c r="B80" s="5" t="s">
        <v>18</v>
      </c>
      <c r="C80" s="7" t="s">
        <v>153</v>
      </c>
      <c r="D80" s="8">
        <v>69</v>
      </c>
      <c r="E80" s="8">
        <v>50</v>
      </c>
      <c r="F80" s="8">
        <v>544</v>
      </c>
      <c r="G80" s="5">
        <v>10.9</v>
      </c>
      <c r="H80" s="5">
        <v>7</v>
      </c>
      <c r="I80" s="6">
        <f t="shared" si="1"/>
        <v>0.14000000000000001</v>
      </c>
      <c r="J80" s="6">
        <f>D80/(VLOOKUP(B80,'[1]2022 Team'!$B$2:$G$33,2,FALSE))</f>
        <v>0.1830238726790451</v>
      </c>
      <c r="K80" s="9">
        <v>72.5</v>
      </c>
      <c r="L80" s="5">
        <v>1</v>
      </c>
    </row>
    <row r="81" spans="1:12" x14ac:dyDescent="0.25">
      <c r="A81" s="5" t="s">
        <v>341</v>
      </c>
      <c r="B81" s="5" t="s">
        <v>66</v>
      </c>
      <c r="C81" s="7" t="s">
        <v>159</v>
      </c>
      <c r="D81" s="8">
        <v>58</v>
      </c>
      <c r="E81" s="8">
        <v>50</v>
      </c>
      <c r="F81" s="8">
        <v>290</v>
      </c>
      <c r="G81" s="5">
        <v>5.8</v>
      </c>
      <c r="H81" s="5">
        <v>2</v>
      </c>
      <c r="I81" s="6">
        <f t="shared" si="1"/>
        <v>0.04</v>
      </c>
      <c r="J81" s="6">
        <f>D81/(VLOOKUP(B81,'[1]2022 Team'!$B$2:$G$33,2,FALSE))</f>
        <v>7.7230359520639141E-2</v>
      </c>
      <c r="K81" s="9">
        <v>86.2</v>
      </c>
      <c r="L81" s="5">
        <v>3</v>
      </c>
    </row>
    <row r="82" spans="1:12" x14ac:dyDescent="0.25">
      <c r="A82" s="5" t="s">
        <v>821</v>
      </c>
      <c r="B82" s="5" t="s">
        <v>14</v>
      </c>
      <c r="C82" s="7" t="s">
        <v>163</v>
      </c>
      <c r="D82" s="8">
        <v>93</v>
      </c>
      <c r="E82" s="8">
        <v>48</v>
      </c>
      <c r="F82" s="8">
        <v>836</v>
      </c>
      <c r="G82" s="5">
        <v>17.399999999999999</v>
      </c>
      <c r="H82" s="5">
        <v>7</v>
      </c>
      <c r="I82" s="6">
        <f t="shared" si="1"/>
        <v>0.14583333333333334</v>
      </c>
      <c r="J82" s="6">
        <f>D82/(VLOOKUP(B82,'[1]2022 Team'!$B$2:$G$33,2,FALSE))</f>
        <v>0.16202090592334495</v>
      </c>
      <c r="K82" s="9">
        <v>51.6</v>
      </c>
      <c r="L82" s="5">
        <v>1</v>
      </c>
    </row>
    <row r="83" spans="1:12" x14ac:dyDescent="0.25">
      <c r="A83" s="5" t="s">
        <v>825</v>
      </c>
      <c r="B83" s="5" t="s">
        <v>14</v>
      </c>
      <c r="C83" s="7" t="s">
        <v>153</v>
      </c>
      <c r="D83" s="8">
        <v>65</v>
      </c>
      <c r="E83" s="8">
        <v>48</v>
      </c>
      <c r="F83" s="8">
        <v>517</v>
      </c>
      <c r="G83" s="5">
        <v>10.8</v>
      </c>
      <c r="H83" s="5">
        <v>6</v>
      </c>
      <c r="I83" s="6">
        <f t="shared" si="1"/>
        <v>0.125</v>
      </c>
      <c r="J83" s="6">
        <f>D83/(VLOOKUP(B83,'[1]2022 Team'!$B$2:$G$33,2,FALSE))</f>
        <v>0.1132404181184669</v>
      </c>
      <c r="K83" s="9">
        <v>73.8</v>
      </c>
      <c r="L83" s="5">
        <v>0</v>
      </c>
    </row>
    <row r="84" spans="1:12" x14ac:dyDescent="0.25">
      <c r="A84" s="5" t="s">
        <v>731</v>
      </c>
      <c r="B84" s="5" t="s">
        <v>32</v>
      </c>
      <c r="C84" s="7" t="s">
        <v>163</v>
      </c>
      <c r="D84" s="8">
        <v>74</v>
      </c>
      <c r="E84" s="8">
        <v>48</v>
      </c>
      <c r="F84" s="8">
        <v>548</v>
      </c>
      <c r="G84" s="5">
        <v>11.4</v>
      </c>
      <c r="H84" s="5">
        <v>2</v>
      </c>
      <c r="I84" s="6">
        <f t="shared" si="1"/>
        <v>4.1666666666666664E-2</v>
      </c>
      <c r="J84" s="6">
        <f>D84/(VLOOKUP(B84,'[1]2022 Team'!$B$2:$G$33,2,FALSE))</f>
        <v>0.12780656303972365</v>
      </c>
      <c r="K84" s="9">
        <v>64.900000000000006</v>
      </c>
      <c r="L84" s="5">
        <v>0</v>
      </c>
    </row>
    <row r="85" spans="1:12" x14ac:dyDescent="0.25">
      <c r="A85" s="5" t="s">
        <v>773</v>
      </c>
      <c r="B85" s="5" t="s">
        <v>12</v>
      </c>
      <c r="C85" s="7" t="s">
        <v>163</v>
      </c>
      <c r="D85" s="8">
        <v>75</v>
      </c>
      <c r="E85" s="8">
        <v>48</v>
      </c>
      <c r="F85" s="8">
        <v>458</v>
      </c>
      <c r="G85" s="5">
        <v>9.5</v>
      </c>
      <c r="H85" s="5">
        <v>2</v>
      </c>
      <c r="I85" s="6">
        <f t="shared" si="1"/>
        <v>4.1666666666666664E-2</v>
      </c>
      <c r="J85" s="6">
        <f>D85/(VLOOKUP(B85,'[1]2022 Team'!$B$2:$G$33,2,FALSE))</f>
        <v>0.15368852459016394</v>
      </c>
      <c r="K85" s="9">
        <v>64</v>
      </c>
      <c r="L85" s="5">
        <v>2</v>
      </c>
    </row>
    <row r="86" spans="1:12" x14ac:dyDescent="0.25">
      <c r="A86" s="5" t="s">
        <v>267</v>
      </c>
      <c r="B86" s="5" t="s">
        <v>28</v>
      </c>
      <c r="C86" s="7" t="s">
        <v>159</v>
      </c>
      <c r="D86" s="8">
        <v>70</v>
      </c>
      <c r="E86" s="8">
        <v>48</v>
      </c>
      <c r="F86" s="8">
        <v>389</v>
      </c>
      <c r="G86" s="5">
        <v>8.1</v>
      </c>
      <c r="H86" s="5">
        <v>3</v>
      </c>
      <c r="I86" s="6">
        <f t="shared" si="1"/>
        <v>6.25E-2</v>
      </c>
      <c r="J86" s="6">
        <f>D86/(VLOOKUP(B86,'[1]2022 Team'!$B$2:$G$33,2,FALSE))</f>
        <v>0.11904761904761904</v>
      </c>
      <c r="K86" s="9">
        <v>68.599999999999994</v>
      </c>
      <c r="L86" s="5">
        <v>1</v>
      </c>
    </row>
    <row r="87" spans="1:12" x14ac:dyDescent="0.25">
      <c r="A87" s="5" t="s">
        <v>1044</v>
      </c>
      <c r="B87" s="5" t="s">
        <v>8</v>
      </c>
      <c r="C87" s="7" t="s">
        <v>153</v>
      </c>
      <c r="D87" s="8">
        <v>69</v>
      </c>
      <c r="E87" s="8">
        <v>47</v>
      </c>
      <c r="F87" s="8">
        <v>406</v>
      </c>
      <c r="G87" s="5">
        <v>8.6</v>
      </c>
      <c r="H87" s="5">
        <v>4</v>
      </c>
      <c r="I87" s="6">
        <f t="shared" si="1"/>
        <v>8.5106382978723402E-2</v>
      </c>
      <c r="J87" s="6">
        <f>D87/(VLOOKUP(B87,'[1]2022 Team'!$B$2:$G$33,2,FALSE))</f>
        <v>0.10391566265060241</v>
      </c>
      <c r="K87" s="9">
        <v>68.099999999999994</v>
      </c>
      <c r="L87" s="5">
        <v>0</v>
      </c>
    </row>
    <row r="88" spans="1:12" x14ac:dyDescent="0.25">
      <c r="A88" s="5" t="s">
        <v>722</v>
      </c>
      <c r="B88" s="5" t="s">
        <v>28</v>
      </c>
      <c r="C88" s="7" t="s">
        <v>163</v>
      </c>
      <c r="D88" s="8">
        <v>64</v>
      </c>
      <c r="E88" s="8">
        <v>47</v>
      </c>
      <c r="F88" s="8">
        <v>616</v>
      </c>
      <c r="G88" s="5">
        <v>13.1</v>
      </c>
      <c r="H88" s="5">
        <v>0</v>
      </c>
      <c r="I88" s="6">
        <f t="shared" si="1"/>
        <v>0</v>
      </c>
      <c r="J88" s="6">
        <f>D88/(VLOOKUP(B88,'[1]2022 Team'!$B$2:$G$33,2,FALSE))</f>
        <v>0.10884353741496598</v>
      </c>
      <c r="K88" s="9">
        <v>73.400000000000006</v>
      </c>
      <c r="L88" s="5">
        <v>3</v>
      </c>
    </row>
    <row r="89" spans="1:12" x14ac:dyDescent="0.25">
      <c r="A89" s="5" t="s">
        <v>1728</v>
      </c>
      <c r="B89" s="5" t="s">
        <v>42</v>
      </c>
      <c r="C89" s="7" t="s">
        <v>163</v>
      </c>
      <c r="D89" s="8">
        <v>65</v>
      </c>
      <c r="E89" s="8">
        <v>46</v>
      </c>
      <c r="F89" s="8">
        <v>538</v>
      </c>
      <c r="G89" s="5">
        <v>11.7</v>
      </c>
      <c r="H89" s="5">
        <v>3</v>
      </c>
      <c r="I89" s="6">
        <f t="shared" si="1"/>
        <v>6.5217391304347824E-2</v>
      </c>
      <c r="J89" s="6">
        <f>D89/(VLOOKUP(B89,'[1]2022 Team'!$B$2:$G$33,2,FALSE))</f>
        <v>9.1420534458509145E-2</v>
      </c>
      <c r="K89" s="9">
        <v>70.8</v>
      </c>
      <c r="L89" s="5">
        <v>3</v>
      </c>
    </row>
    <row r="90" spans="1:12" x14ac:dyDescent="0.25">
      <c r="A90" s="5" t="s">
        <v>501</v>
      </c>
      <c r="B90" s="5" t="s">
        <v>8</v>
      </c>
      <c r="C90" s="7" t="s">
        <v>159</v>
      </c>
      <c r="D90" s="8">
        <v>58</v>
      </c>
      <c r="E90" s="8">
        <v>46</v>
      </c>
      <c r="F90" s="8">
        <v>300</v>
      </c>
      <c r="G90" s="5">
        <v>6.5</v>
      </c>
      <c r="H90" s="5">
        <v>1</v>
      </c>
      <c r="I90" s="6">
        <f t="shared" si="1"/>
        <v>2.1739130434782608E-2</v>
      </c>
      <c r="J90" s="6">
        <f>D90/(VLOOKUP(B90,'[1]2022 Team'!$B$2:$G$33,2,FALSE))</f>
        <v>8.7349397590361449E-2</v>
      </c>
      <c r="K90" s="9">
        <v>79.3</v>
      </c>
      <c r="L90" s="5">
        <v>3</v>
      </c>
    </row>
    <row r="91" spans="1:12" x14ac:dyDescent="0.25">
      <c r="A91" s="5" t="s">
        <v>499</v>
      </c>
      <c r="B91" s="5" t="s">
        <v>70</v>
      </c>
      <c r="C91" s="7" t="s">
        <v>159</v>
      </c>
      <c r="D91" s="8">
        <v>58</v>
      </c>
      <c r="E91" s="8">
        <v>46</v>
      </c>
      <c r="F91" s="8">
        <v>353</v>
      </c>
      <c r="G91" s="5">
        <v>7.7</v>
      </c>
      <c r="H91" s="5">
        <v>2</v>
      </c>
      <c r="I91" s="6">
        <f t="shared" si="1"/>
        <v>4.3478260869565216E-2</v>
      </c>
      <c r="J91" s="6">
        <f>D91/(VLOOKUP(B91,'[1]2022 Team'!$B$2:$G$33,2,FALSE))</f>
        <v>0.10469314079422383</v>
      </c>
      <c r="K91" s="9">
        <v>79.3</v>
      </c>
      <c r="L91" s="5">
        <v>1</v>
      </c>
    </row>
    <row r="92" spans="1:12" x14ac:dyDescent="0.25">
      <c r="A92" s="5" t="s">
        <v>1815</v>
      </c>
      <c r="B92" s="5" t="s">
        <v>36</v>
      </c>
      <c r="C92" s="7" t="s">
        <v>163</v>
      </c>
      <c r="D92" s="8">
        <v>81</v>
      </c>
      <c r="E92" s="8">
        <v>46</v>
      </c>
      <c r="F92" s="8">
        <v>529</v>
      </c>
      <c r="G92" s="5">
        <v>11.5</v>
      </c>
      <c r="H92" s="5">
        <v>3</v>
      </c>
      <c r="I92" s="6">
        <f t="shared" si="1"/>
        <v>6.5217391304347824E-2</v>
      </c>
      <c r="J92" s="6">
        <f>D92/(VLOOKUP(B92,'[1]2022 Team'!$B$2:$G$33,2,FALSE))</f>
        <v>0.13590604026845637</v>
      </c>
      <c r="K92" s="9">
        <v>56.8</v>
      </c>
      <c r="L92" s="5">
        <v>0</v>
      </c>
    </row>
    <row r="93" spans="1:12" x14ac:dyDescent="0.25">
      <c r="A93" s="5" t="s">
        <v>976</v>
      </c>
      <c r="B93" s="5" t="s">
        <v>54</v>
      </c>
      <c r="C93" s="7" t="s">
        <v>163</v>
      </c>
      <c r="D93" s="8">
        <v>71</v>
      </c>
      <c r="E93" s="8">
        <v>46</v>
      </c>
      <c r="F93" s="8">
        <v>724</v>
      </c>
      <c r="G93" s="5">
        <v>15.7</v>
      </c>
      <c r="H93" s="5">
        <v>2</v>
      </c>
      <c r="I93" s="6">
        <f t="shared" si="1"/>
        <v>4.3478260869565216E-2</v>
      </c>
      <c r="J93" s="6">
        <f>D93/(VLOOKUP(B93,'[1]2022 Team'!$B$2:$G$33,2,FALSE))</f>
        <v>0.13653846153846153</v>
      </c>
      <c r="K93" s="9">
        <v>64.8</v>
      </c>
      <c r="L93" s="5">
        <v>2</v>
      </c>
    </row>
    <row r="94" spans="1:12" x14ac:dyDescent="0.25">
      <c r="A94" s="5" t="s">
        <v>1783</v>
      </c>
      <c r="B94" s="5" t="s">
        <v>60</v>
      </c>
      <c r="C94" s="7" t="s">
        <v>163</v>
      </c>
      <c r="D94" s="8">
        <v>50</v>
      </c>
      <c r="E94" s="8">
        <v>32</v>
      </c>
      <c r="F94" s="8">
        <v>311</v>
      </c>
      <c r="G94" s="5">
        <v>9.6999999999999993</v>
      </c>
      <c r="H94" s="5">
        <v>1</v>
      </c>
      <c r="I94" s="6">
        <f t="shared" si="1"/>
        <v>3.125E-2</v>
      </c>
      <c r="J94" s="6">
        <f>D94/(VLOOKUP(B94,'[1]2022 Team'!$B$2:$G$33,2,FALSE))</f>
        <v>8.7565674255691769E-2</v>
      </c>
      <c r="K94" s="9">
        <v>64</v>
      </c>
      <c r="L94" s="5">
        <v>0</v>
      </c>
    </row>
    <row r="95" spans="1:12" x14ac:dyDescent="0.25">
      <c r="A95" s="5" t="s">
        <v>1783</v>
      </c>
      <c r="B95" s="5" t="s">
        <v>18</v>
      </c>
      <c r="C95" s="7" t="s">
        <v>163</v>
      </c>
      <c r="D95" s="8">
        <v>29</v>
      </c>
      <c r="E95" s="8">
        <v>14</v>
      </c>
      <c r="F95" s="8">
        <v>140</v>
      </c>
      <c r="G95" s="5">
        <v>10</v>
      </c>
      <c r="H95" s="5">
        <v>0</v>
      </c>
      <c r="I95" s="6">
        <f t="shared" si="1"/>
        <v>0</v>
      </c>
      <c r="J95" s="6">
        <f>D95/(VLOOKUP(B95,'[1]2022 Team'!$B$2:$G$33,2,FALSE))</f>
        <v>7.6923076923076927E-2</v>
      </c>
      <c r="K95" s="9">
        <v>48.3</v>
      </c>
      <c r="L95" s="5">
        <v>1</v>
      </c>
    </row>
    <row r="96" spans="1:12" x14ac:dyDescent="0.25">
      <c r="A96" s="5" t="s">
        <v>1042</v>
      </c>
      <c r="B96" s="5" t="s">
        <v>24</v>
      </c>
      <c r="C96" s="7" t="s">
        <v>163</v>
      </c>
      <c r="D96" s="8">
        <v>74</v>
      </c>
      <c r="E96" s="8">
        <v>43</v>
      </c>
      <c r="F96" s="8">
        <v>555</v>
      </c>
      <c r="G96" s="5">
        <v>12.9</v>
      </c>
      <c r="H96" s="5">
        <v>3</v>
      </c>
      <c r="I96" s="6">
        <f t="shared" si="1"/>
        <v>6.9767441860465115E-2</v>
      </c>
      <c r="J96" s="6">
        <f>D96/(VLOOKUP(B96,'[1]2022 Team'!$B$2:$G$33,2,FALSE))</f>
        <v>0.13309352517985612</v>
      </c>
      <c r="K96" s="9">
        <v>58.1</v>
      </c>
      <c r="L96" s="5">
        <v>1</v>
      </c>
    </row>
    <row r="97" spans="1:12" x14ac:dyDescent="0.25">
      <c r="A97" s="5" t="s">
        <v>879</v>
      </c>
      <c r="B97" s="5" t="s">
        <v>30</v>
      </c>
      <c r="C97" s="7" t="s">
        <v>163</v>
      </c>
      <c r="D97" s="8">
        <v>67</v>
      </c>
      <c r="E97" s="8">
        <v>42</v>
      </c>
      <c r="F97" s="8">
        <v>425</v>
      </c>
      <c r="G97" s="5">
        <v>10.1</v>
      </c>
      <c r="H97" s="5">
        <v>3</v>
      </c>
      <c r="I97" s="6">
        <f t="shared" si="1"/>
        <v>7.1428571428571425E-2</v>
      </c>
      <c r="J97" s="6">
        <f>D97/(VLOOKUP(B97,'[1]2022 Team'!$B$2:$G$33,2,FALSE))</f>
        <v>0.11900532859680284</v>
      </c>
      <c r="K97" s="9">
        <v>62.7</v>
      </c>
      <c r="L97" s="5">
        <v>2</v>
      </c>
    </row>
    <row r="98" spans="1:12" x14ac:dyDescent="0.25">
      <c r="A98" s="5" t="s">
        <v>956</v>
      </c>
      <c r="B98" s="5" t="s">
        <v>52</v>
      </c>
      <c r="C98" s="7" t="s">
        <v>153</v>
      </c>
      <c r="D98" s="8">
        <v>65</v>
      </c>
      <c r="E98" s="8">
        <v>42</v>
      </c>
      <c r="F98" s="8">
        <v>508</v>
      </c>
      <c r="G98" s="5">
        <v>12.1</v>
      </c>
      <c r="H98" s="5">
        <v>7</v>
      </c>
      <c r="I98" s="6">
        <f t="shared" si="1"/>
        <v>0.16666666666666666</v>
      </c>
      <c r="J98" s="6">
        <f>D98/(VLOOKUP(B98,'[1]2022 Team'!$B$2:$G$33,2,FALSE))</f>
        <v>0.126953125</v>
      </c>
      <c r="K98" s="9">
        <v>64.599999999999994</v>
      </c>
      <c r="L98" s="5">
        <v>0</v>
      </c>
    </row>
    <row r="99" spans="1:12" x14ac:dyDescent="0.25">
      <c r="A99" s="5" t="s">
        <v>1731</v>
      </c>
      <c r="B99" s="5" t="s">
        <v>14</v>
      </c>
      <c r="C99" s="7" t="s">
        <v>163</v>
      </c>
      <c r="D99" s="8">
        <v>65</v>
      </c>
      <c r="E99" s="8">
        <v>42</v>
      </c>
      <c r="F99" s="8">
        <v>423</v>
      </c>
      <c r="G99" s="5">
        <v>10.1</v>
      </c>
      <c r="H99" s="5">
        <v>4</v>
      </c>
      <c r="I99" s="6">
        <f t="shared" si="1"/>
        <v>9.5238095238095233E-2</v>
      </c>
      <c r="J99" s="6">
        <f>D99/(VLOOKUP(B99,'[1]2022 Team'!$B$2:$G$33,2,FALSE))</f>
        <v>0.1132404181184669</v>
      </c>
      <c r="K99" s="9">
        <v>64.599999999999994</v>
      </c>
      <c r="L99" s="5">
        <v>0</v>
      </c>
    </row>
    <row r="100" spans="1:12" x14ac:dyDescent="0.25">
      <c r="A100" s="5" t="s">
        <v>1027</v>
      </c>
      <c r="B100" s="5" t="s">
        <v>66</v>
      </c>
      <c r="C100" s="7" t="s">
        <v>153</v>
      </c>
      <c r="D100" s="8">
        <v>65</v>
      </c>
      <c r="E100" s="8">
        <v>42</v>
      </c>
      <c r="F100" s="8">
        <v>391</v>
      </c>
      <c r="G100" s="5">
        <v>9.3000000000000007</v>
      </c>
      <c r="H100" s="5">
        <v>2</v>
      </c>
      <c r="I100" s="6">
        <f t="shared" si="1"/>
        <v>4.7619047619047616E-2</v>
      </c>
      <c r="J100" s="6">
        <f>D100/(VLOOKUP(B100,'[1]2022 Team'!$B$2:$G$33,2,FALSE))</f>
        <v>8.6551264980026632E-2</v>
      </c>
      <c r="K100" s="9">
        <v>64.599999999999994</v>
      </c>
      <c r="L100" s="5">
        <v>0</v>
      </c>
    </row>
    <row r="101" spans="1:12" x14ac:dyDescent="0.25">
      <c r="A101" s="5" t="s">
        <v>1003</v>
      </c>
      <c r="B101" s="5" t="s">
        <v>38</v>
      </c>
      <c r="C101" s="7" t="s">
        <v>163</v>
      </c>
      <c r="D101" s="8">
        <v>81</v>
      </c>
      <c r="E101" s="8">
        <v>42</v>
      </c>
      <c r="F101" s="8">
        <v>687</v>
      </c>
      <c r="G101" s="5">
        <v>16.399999999999999</v>
      </c>
      <c r="H101" s="5">
        <v>2</v>
      </c>
      <c r="I101" s="6">
        <f t="shared" si="1"/>
        <v>4.7619047619047616E-2</v>
      </c>
      <c r="J101" s="6">
        <f>D101/(VLOOKUP(B101,'[1]2022 Team'!$B$2:$G$33,2,FALSE))</f>
        <v>0.12442396313364056</v>
      </c>
      <c r="K101" s="9">
        <v>51.9</v>
      </c>
      <c r="L101" s="5">
        <v>0</v>
      </c>
    </row>
    <row r="102" spans="1:12" x14ac:dyDescent="0.25">
      <c r="A102" s="5" t="s">
        <v>395</v>
      </c>
      <c r="B102" s="5" t="s">
        <v>56</v>
      </c>
      <c r="C102" s="7" t="s">
        <v>159</v>
      </c>
      <c r="D102" s="8">
        <v>54</v>
      </c>
      <c r="E102" s="8">
        <v>41</v>
      </c>
      <c r="F102" s="8">
        <v>288</v>
      </c>
      <c r="G102" s="5">
        <v>7</v>
      </c>
      <c r="H102" s="5">
        <v>0</v>
      </c>
      <c r="I102" s="6">
        <f t="shared" si="1"/>
        <v>0</v>
      </c>
      <c r="J102" s="6">
        <f>D102/(VLOOKUP(B102,'[1]2022 Team'!$B$2:$G$33,2,FALSE))</f>
        <v>8.6124401913875603E-2</v>
      </c>
      <c r="K102" s="9">
        <v>75.900000000000006</v>
      </c>
      <c r="L102" s="5">
        <v>2</v>
      </c>
    </row>
    <row r="103" spans="1:12" x14ac:dyDescent="0.25">
      <c r="A103" s="5" t="s">
        <v>560</v>
      </c>
      <c r="B103" s="5" t="s">
        <v>60</v>
      </c>
      <c r="C103" s="7" t="s">
        <v>159</v>
      </c>
      <c r="D103" s="8">
        <v>53</v>
      </c>
      <c r="E103" s="8">
        <v>41</v>
      </c>
      <c r="F103" s="8">
        <v>229</v>
      </c>
      <c r="G103" s="5">
        <v>5.6</v>
      </c>
      <c r="H103" s="5">
        <v>3</v>
      </c>
      <c r="I103" s="6">
        <f t="shared" si="1"/>
        <v>7.3170731707317069E-2</v>
      </c>
      <c r="J103" s="6">
        <f>D103/(VLOOKUP(B103,'[1]2022 Team'!$B$2:$G$33,2,FALSE))</f>
        <v>9.2819614711033269E-2</v>
      </c>
      <c r="K103" s="9">
        <v>77.400000000000006</v>
      </c>
      <c r="L103" s="5">
        <v>3</v>
      </c>
    </row>
    <row r="104" spans="1:12" x14ac:dyDescent="0.25">
      <c r="A104" s="5" t="s">
        <v>966</v>
      </c>
      <c r="B104" s="5" t="s">
        <v>50</v>
      </c>
      <c r="C104" s="7" t="s">
        <v>153</v>
      </c>
      <c r="D104" s="8">
        <v>59</v>
      </c>
      <c r="E104" s="8">
        <v>41</v>
      </c>
      <c r="F104" s="8">
        <v>509</v>
      </c>
      <c r="G104" s="5">
        <v>12.4</v>
      </c>
      <c r="H104" s="5">
        <v>2</v>
      </c>
      <c r="I104" s="6">
        <f t="shared" si="1"/>
        <v>4.878048780487805E-2</v>
      </c>
      <c r="J104" s="6">
        <f>D104/(VLOOKUP(B104,'[1]2022 Team'!$B$2:$G$33,2,FALSE))</f>
        <v>0.10925925925925926</v>
      </c>
      <c r="K104" s="9">
        <v>69.5</v>
      </c>
      <c r="L104" s="5">
        <v>0</v>
      </c>
    </row>
    <row r="105" spans="1:12" x14ac:dyDescent="0.25">
      <c r="A105" s="5" t="s">
        <v>967</v>
      </c>
      <c r="B105" s="5" t="s">
        <v>68</v>
      </c>
      <c r="C105" s="7" t="s">
        <v>153</v>
      </c>
      <c r="D105" s="8">
        <v>60</v>
      </c>
      <c r="E105" s="8">
        <v>41</v>
      </c>
      <c r="F105" s="8">
        <v>444</v>
      </c>
      <c r="G105" s="5">
        <v>10.8</v>
      </c>
      <c r="H105" s="5">
        <v>2</v>
      </c>
      <c r="I105" s="6">
        <f t="shared" si="1"/>
        <v>4.878048780487805E-2</v>
      </c>
      <c r="J105" s="6">
        <f>D105/(VLOOKUP(B105,'[1]2022 Team'!$B$2:$G$33,2,FALSE))</f>
        <v>0.13157894736842105</v>
      </c>
      <c r="K105" s="9">
        <v>68.3</v>
      </c>
      <c r="L105" s="5">
        <v>0</v>
      </c>
    </row>
    <row r="106" spans="1:12" x14ac:dyDescent="0.25">
      <c r="A106" s="5" t="s">
        <v>1686</v>
      </c>
      <c r="B106" s="5" t="s">
        <v>8</v>
      </c>
      <c r="C106" s="7" t="s">
        <v>163</v>
      </c>
      <c r="D106" s="8">
        <v>56</v>
      </c>
      <c r="E106" s="8">
        <v>41</v>
      </c>
      <c r="F106" s="8">
        <v>414</v>
      </c>
      <c r="G106" s="5">
        <v>10.1</v>
      </c>
      <c r="H106" s="5">
        <v>1</v>
      </c>
      <c r="I106" s="6">
        <f t="shared" si="1"/>
        <v>2.4390243902439025E-2</v>
      </c>
      <c r="J106" s="6">
        <f>D106/(VLOOKUP(B106,'[1]2022 Team'!$B$2:$G$33,2,FALSE))</f>
        <v>8.4337349397590355E-2</v>
      </c>
      <c r="K106" s="9">
        <v>73.2</v>
      </c>
      <c r="L106" s="5">
        <v>0</v>
      </c>
    </row>
    <row r="107" spans="1:12" x14ac:dyDescent="0.25">
      <c r="A107" s="5" t="s">
        <v>897</v>
      </c>
      <c r="B107" s="5" t="s">
        <v>34</v>
      </c>
      <c r="C107" s="7" t="s">
        <v>163</v>
      </c>
      <c r="D107" s="8">
        <v>78</v>
      </c>
      <c r="E107" s="8">
        <v>41</v>
      </c>
      <c r="F107" s="8">
        <v>593</v>
      </c>
      <c r="G107" s="5">
        <v>14.5</v>
      </c>
      <c r="H107" s="5">
        <v>2</v>
      </c>
      <c r="I107" s="6">
        <f t="shared" si="1"/>
        <v>4.878048780487805E-2</v>
      </c>
      <c r="J107" s="6">
        <f>D107/(VLOOKUP(B107,'[1]2022 Team'!$B$2:$G$33,2,FALSE))</f>
        <v>0.12913907284768211</v>
      </c>
      <c r="K107" s="9">
        <v>52.6</v>
      </c>
      <c r="L107" s="5">
        <v>1</v>
      </c>
    </row>
    <row r="108" spans="1:12" x14ac:dyDescent="0.25">
      <c r="A108" s="5" t="s">
        <v>739</v>
      </c>
      <c r="B108" s="5" t="s">
        <v>30</v>
      </c>
      <c r="C108" s="7" t="s">
        <v>163</v>
      </c>
      <c r="D108" s="8">
        <v>66</v>
      </c>
      <c r="E108" s="8">
        <v>41</v>
      </c>
      <c r="F108" s="8">
        <v>611</v>
      </c>
      <c r="G108" s="5">
        <v>14.9</v>
      </c>
      <c r="H108" s="5">
        <v>7</v>
      </c>
      <c r="I108" s="6">
        <f t="shared" si="1"/>
        <v>0.17073170731707318</v>
      </c>
      <c r="J108" s="6">
        <f>D108/(VLOOKUP(B108,'[1]2022 Team'!$B$2:$G$33,2,FALSE))</f>
        <v>0.11722912966252221</v>
      </c>
      <c r="K108" s="9">
        <v>62.1</v>
      </c>
      <c r="L108" s="5">
        <v>0</v>
      </c>
    </row>
    <row r="109" spans="1:12" x14ac:dyDescent="0.25">
      <c r="A109" s="5" t="s">
        <v>807</v>
      </c>
      <c r="B109" s="5" t="s">
        <v>18</v>
      </c>
      <c r="C109" s="7" t="s">
        <v>163</v>
      </c>
      <c r="D109" s="8">
        <v>61</v>
      </c>
      <c r="E109" s="8">
        <v>40</v>
      </c>
      <c r="F109" s="8">
        <v>493</v>
      </c>
      <c r="G109" s="5">
        <v>12.3</v>
      </c>
      <c r="H109" s="5">
        <v>2</v>
      </c>
      <c r="I109" s="6">
        <f t="shared" si="1"/>
        <v>0.05</v>
      </c>
      <c r="J109" s="6">
        <f>D109/(VLOOKUP(B109,'[1]2022 Team'!$B$2:$G$33,2,FALSE))</f>
        <v>0.16180371352785147</v>
      </c>
      <c r="K109" s="9">
        <v>65.599999999999994</v>
      </c>
      <c r="L109" s="5">
        <v>0</v>
      </c>
    </row>
    <row r="110" spans="1:12" x14ac:dyDescent="0.25">
      <c r="A110" s="5" t="s">
        <v>667</v>
      </c>
      <c r="B110" s="5" t="s">
        <v>10</v>
      </c>
      <c r="C110" s="7" t="s">
        <v>163</v>
      </c>
      <c r="D110" s="8">
        <v>61</v>
      </c>
      <c r="E110" s="8">
        <v>40</v>
      </c>
      <c r="F110" s="8">
        <v>533</v>
      </c>
      <c r="G110" s="5">
        <v>13.3</v>
      </c>
      <c r="H110" s="5">
        <v>3</v>
      </c>
      <c r="I110" s="6">
        <f t="shared" si="1"/>
        <v>7.4999999999999997E-2</v>
      </c>
      <c r="J110" s="6">
        <f>D110/(VLOOKUP(B110,'[1]2022 Team'!$B$2:$G$33,2,FALSE))</f>
        <v>0.14698795180722893</v>
      </c>
      <c r="K110" s="9">
        <v>65.599999999999994</v>
      </c>
      <c r="L110" s="5">
        <v>1</v>
      </c>
    </row>
    <row r="111" spans="1:12" x14ac:dyDescent="0.25">
      <c r="A111" s="5" t="s">
        <v>1669</v>
      </c>
      <c r="B111" s="5" t="s">
        <v>48</v>
      </c>
      <c r="C111" s="7" t="s">
        <v>159</v>
      </c>
      <c r="D111" s="8">
        <v>56</v>
      </c>
      <c r="E111" s="8">
        <v>39</v>
      </c>
      <c r="F111" s="8">
        <v>295</v>
      </c>
      <c r="G111" s="5">
        <v>7.6</v>
      </c>
      <c r="H111" s="5">
        <v>2</v>
      </c>
      <c r="I111" s="6">
        <f t="shared" si="1"/>
        <v>5.128205128205128E-2</v>
      </c>
      <c r="J111" s="6">
        <f>D111/(VLOOKUP(B111,'[1]2022 Team'!$B$2:$G$33,2,FALSE))</f>
        <v>8.3333333333333329E-2</v>
      </c>
      <c r="K111" s="9">
        <v>69.599999999999994</v>
      </c>
      <c r="L111" s="5">
        <v>4</v>
      </c>
    </row>
    <row r="112" spans="1:12" x14ac:dyDescent="0.25">
      <c r="A112" s="5" t="s">
        <v>1798</v>
      </c>
      <c r="B112" s="5" t="s">
        <v>24</v>
      </c>
      <c r="C112" s="7" t="s">
        <v>163</v>
      </c>
      <c r="D112" s="8">
        <v>74</v>
      </c>
      <c r="E112" s="8">
        <v>39</v>
      </c>
      <c r="F112" s="8">
        <v>424</v>
      </c>
      <c r="G112" s="5">
        <v>10.9</v>
      </c>
      <c r="H112" s="5">
        <v>4</v>
      </c>
      <c r="I112" s="6">
        <f t="shared" si="1"/>
        <v>0.10256410256410256</v>
      </c>
      <c r="J112" s="6">
        <f>D112/(VLOOKUP(B112,'[1]2022 Team'!$B$2:$G$33,2,FALSE))</f>
        <v>0.13309352517985612</v>
      </c>
      <c r="K112" s="9">
        <v>52.7</v>
      </c>
      <c r="L112" s="5">
        <v>0</v>
      </c>
    </row>
    <row r="113" spans="1:12" x14ac:dyDescent="0.25">
      <c r="A113" s="5" t="s">
        <v>252</v>
      </c>
      <c r="B113" s="5" t="s">
        <v>24</v>
      </c>
      <c r="C113" s="7" t="s">
        <v>159</v>
      </c>
      <c r="D113" s="8">
        <v>55</v>
      </c>
      <c r="E113" s="8">
        <v>39</v>
      </c>
      <c r="F113" s="8">
        <v>371</v>
      </c>
      <c r="G113" s="5">
        <v>9.5</v>
      </c>
      <c r="H113" s="5">
        <v>3</v>
      </c>
      <c r="I113" s="6">
        <f t="shared" si="1"/>
        <v>7.6923076923076927E-2</v>
      </c>
      <c r="J113" s="6">
        <f>D113/(VLOOKUP(B113,'[1]2022 Team'!$B$2:$G$33,2,FALSE))</f>
        <v>9.8920863309352514E-2</v>
      </c>
      <c r="K113" s="9">
        <v>70.900000000000006</v>
      </c>
      <c r="L113" s="5">
        <v>0</v>
      </c>
    </row>
    <row r="114" spans="1:12" x14ac:dyDescent="0.25">
      <c r="A114" s="5" t="s">
        <v>1002</v>
      </c>
      <c r="B114" s="5" t="s">
        <v>44</v>
      </c>
      <c r="C114" s="7" t="s">
        <v>163</v>
      </c>
      <c r="D114" s="8">
        <v>61</v>
      </c>
      <c r="E114" s="8">
        <v>39</v>
      </c>
      <c r="F114" s="8">
        <v>376</v>
      </c>
      <c r="G114" s="5">
        <v>9.6</v>
      </c>
      <c r="H114" s="5">
        <v>0</v>
      </c>
      <c r="I114" s="6">
        <f t="shared" si="1"/>
        <v>0</v>
      </c>
      <c r="J114" s="6">
        <f>D114/(VLOOKUP(B114,'[1]2022 Team'!$B$2:$G$33,2,FALSE))</f>
        <v>0.11487758945386065</v>
      </c>
      <c r="K114" s="9">
        <v>63.9</v>
      </c>
      <c r="L114" s="5">
        <v>0</v>
      </c>
    </row>
    <row r="115" spans="1:12" x14ac:dyDescent="0.25">
      <c r="A115" s="5" t="s">
        <v>1763</v>
      </c>
      <c r="B115" s="5" t="s">
        <v>70</v>
      </c>
      <c r="C115" s="7" t="s">
        <v>153</v>
      </c>
      <c r="D115" s="8">
        <v>61</v>
      </c>
      <c r="E115" s="8">
        <v>39</v>
      </c>
      <c r="F115" s="8">
        <v>323</v>
      </c>
      <c r="G115" s="5">
        <v>8.3000000000000007</v>
      </c>
      <c r="H115" s="5">
        <v>1</v>
      </c>
      <c r="I115" s="6">
        <f t="shared" si="1"/>
        <v>2.564102564102564E-2</v>
      </c>
      <c r="J115" s="6">
        <f>D115/(VLOOKUP(B115,'[1]2022 Team'!$B$2:$G$33,2,FALSE))</f>
        <v>0.11010830324909747</v>
      </c>
      <c r="K115" s="9">
        <v>63.9</v>
      </c>
      <c r="L115" s="5">
        <v>0</v>
      </c>
    </row>
    <row r="116" spans="1:12" x14ac:dyDescent="0.25">
      <c r="A116" s="5" t="s">
        <v>404</v>
      </c>
      <c r="B116" s="5" t="s">
        <v>20</v>
      </c>
      <c r="C116" s="7" t="s">
        <v>159</v>
      </c>
      <c r="D116" s="8">
        <v>51</v>
      </c>
      <c r="E116" s="8">
        <v>38</v>
      </c>
      <c r="F116" s="8">
        <v>287</v>
      </c>
      <c r="G116" s="5">
        <v>7.6</v>
      </c>
      <c r="H116" s="5">
        <v>4</v>
      </c>
      <c r="I116" s="6">
        <f t="shared" si="1"/>
        <v>0.10526315789473684</v>
      </c>
      <c r="J116" s="6">
        <f>D116/(VLOOKUP(B116,'[1]2022 Team'!$B$2:$G$33,2,FALSE))</f>
        <v>8.3606557377049182E-2</v>
      </c>
      <c r="K116" s="9">
        <v>74.5</v>
      </c>
      <c r="L116" s="5">
        <v>0</v>
      </c>
    </row>
    <row r="117" spans="1:12" x14ac:dyDescent="0.25">
      <c r="A117" s="5" t="s">
        <v>981</v>
      </c>
      <c r="B117" s="5" t="s">
        <v>28</v>
      </c>
      <c r="C117" s="7" t="s">
        <v>163</v>
      </c>
      <c r="D117" s="8">
        <v>59</v>
      </c>
      <c r="E117" s="8">
        <v>38</v>
      </c>
      <c r="F117" s="8">
        <v>479</v>
      </c>
      <c r="G117" s="5">
        <v>12.6</v>
      </c>
      <c r="H117" s="5">
        <v>3</v>
      </c>
      <c r="I117" s="6">
        <f t="shared" si="1"/>
        <v>7.8947368421052627E-2</v>
      </c>
      <c r="J117" s="6">
        <f>D117/(VLOOKUP(B117,'[1]2022 Team'!$B$2:$G$33,2,FALSE))</f>
        <v>0.10034013605442177</v>
      </c>
      <c r="K117" s="9">
        <v>64.400000000000006</v>
      </c>
      <c r="L117" s="5">
        <v>0</v>
      </c>
    </row>
    <row r="118" spans="1:12" x14ac:dyDescent="0.25">
      <c r="A118" s="5" t="s">
        <v>345</v>
      </c>
      <c r="B118" s="5" t="s">
        <v>14</v>
      </c>
      <c r="C118" s="7" t="s">
        <v>159</v>
      </c>
      <c r="D118" s="8">
        <v>52</v>
      </c>
      <c r="E118" s="8">
        <v>38</v>
      </c>
      <c r="F118" s="8">
        <v>280</v>
      </c>
      <c r="G118" s="5">
        <v>7.4</v>
      </c>
      <c r="H118" s="5">
        <v>1</v>
      </c>
      <c r="I118" s="6">
        <f t="shared" si="1"/>
        <v>2.6315789473684209E-2</v>
      </c>
      <c r="J118" s="6">
        <f>D118/(VLOOKUP(B118,'[1]2022 Team'!$B$2:$G$33,2,FALSE))</f>
        <v>9.0592334494773524E-2</v>
      </c>
      <c r="K118" s="9">
        <v>73.099999999999994</v>
      </c>
      <c r="L118" s="5">
        <v>3</v>
      </c>
    </row>
    <row r="119" spans="1:12" x14ac:dyDescent="0.25">
      <c r="A119" s="5" t="s">
        <v>1772</v>
      </c>
      <c r="B119" s="5" t="s">
        <v>32</v>
      </c>
      <c r="C119" s="7" t="s">
        <v>153</v>
      </c>
      <c r="D119" s="8">
        <v>54</v>
      </c>
      <c r="E119" s="8">
        <v>37</v>
      </c>
      <c r="F119" s="8">
        <v>495</v>
      </c>
      <c r="G119" s="5">
        <v>13.4</v>
      </c>
      <c r="H119" s="5">
        <v>5</v>
      </c>
      <c r="I119" s="6">
        <f t="shared" si="1"/>
        <v>0.13513513513513514</v>
      </c>
      <c r="J119" s="6">
        <f>D119/(VLOOKUP(B119,'[1]2022 Team'!$B$2:$G$33,2,FALSE))</f>
        <v>9.3264248704663211E-2</v>
      </c>
      <c r="K119" s="9">
        <v>68.5</v>
      </c>
      <c r="L119" s="5">
        <v>1</v>
      </c>
    </row>
    <row r="120" spans="1:12" x14ac:dyDescent="0.25">
      <c r="A120" s="5" t="s">
        <v>2380</v>
      </c>
      <c r="B120" s="5" t="s">
        <v>32</v>
      </c>
      <c r="C120" s="7" t="s">
        <v>159</v>
      </c>
      <c r="D120" s="8">
        <v>51</v>
      </c>
      <c r="E120" s="8">
        <v>37</v>
      </c>
      <c r="F120" s="8">
        <v>204</v>
      </c>
      <c r="G120" s="5">
        <v>5.5</v>
      </c>
      <c r="H120" s="5">
        <v>1</v>
      </c>
      <c r="I120" s="6">
        <f t="shared" si="1"/>
        <v>2.7027027027027029E-2</v>
      </c>
      <c r="J120" s="6">
        <f>D120/(VLOOKUP(B120,'[1]2022 Team'!$B$2:$G$33,2,FALSE))</f>
        <v>8.8082901554404139E-2</v>
      </c>
      <c r="K120" s="9">
        <v>72.5</v>
      </c>
      <c r="L120" s="5">
        <v>0</v>
      </c>
    </row>
    <row r="121" spans="1:12" x14ac:dyDescent="0.25">
      <c r="A121" s="5" t="s">
        <v>725</v>
      </c>
      <c r="B121" s="5" t="s">
        <v>32</v>
      </c>
      <c r="C121" s="7" t="s">
        <v>163</v>
      </c>
      <c r="D121" s="8">
        <v>66</v>
      </c>
      <c r="E121" s="8">
        <v>37</v>
      </c>
      <c r="F121" s="8">
        <v>481</v>
      </c>
      <c r="G121" s="5">
        <v>13</v>
      </c>
      <c r="H121" s="5">
        <v>2</v>
      </c>
      <c r="I121" s="6">
        <f t="shared" si="1"/>
        <v>5.4054054054054057E-2</v>
      </c>
      <c r="J121" s="6">
        <f>D121/(VLOOKUP(B121,'[1]2022 Team'!$B$2:$G$33,2,FALSE))</f>
        <v>0.11398963730569948</v>
      </c>
      <c r="K121" s="9">
        <v>56.1</v>
      </c>
      <c r="L121" s="5">
        <v>0</v>
      </c>
    </row>
    <row r="122" spans="1:12" x14ac:dyDescent="0.25">
      <c r="A122" s="5" t="s">
        <v>837</v>
      </c>
      <c r="B122" s="5" t="s">
        <v>12</v>
      </c>
      <c r="C122" s="7" t="s">
        <v>163</v>
      </c>
      <c r="D122" s="8">
        <v>49</v>
      </c>
      <c r="E122" s="8">
        <v>37</v>
      </c>
      <c r="F122" s="8">
        <v>407</v>
      </c>
      <c r="G122" s="5">
        <v>11</v>
      </c>
      <c r="H122" s="5">
        <v>3</v>
      </c>
      <c r="I122" s="6">
        <f t="shared" si="1"/>
        <v>8.1081081081081086E-2</v>
      </c>
      <c r="J122" s="6">
        <f>D122/(VLOOKUP(B122,'[1]2022 Team'!$B$2:$G$33,2,FALSE))</f>
        <v>0.10040983606557377</v>
      </c>
      <c r="K122" s="9">
        <v>75.5</v>
      </c>
      <c r="L122" s="5">
        <v>1</v>
      </c>
    </row>
    <row r="123" spans="1:12" x14ac:dyDescent="0.25">
      <c r="A123" s="5" t="s">
        <v>634</v>
      </c>
      <c r="B123" s="5" t="s">
        <v>56</v>
      </c>
      <c r="C123" s="7" t="s">
        <v>163</v>
      </c>
      <c r="D123" s="8">
        <v>65</v>
      </c>
      <c r="E123" s="8">
        <v>37</v>
      </c>
      <c r="F123" s="8">
        <v>446</v>
      </c>
      <c r="G123" s="5">
        <v>12.1</v>
      </c>
      <c r="H123" s="5">
        <v>1</v>
      </c>
      <c r="I123" s="6">
        <f t="shared" si="1"/>
        <v>2.7027027027027029E-2</v>
      </c>
      <c r="J123" s="6">
        <f>D123/(VLOOKUP(B123,'[1]2022 Team'!$B$2:$G$33,2,FALSE))</f>
        <v>0.10366826156299841</v>
      </c>
      <c r="K123" s="9">
        <v>56.9</v>
      </c>
      <c r="L123" s="5">
        <v>1</v>
      </c>
    </row>
    <row r="124" spans="1:12" x14ac:dyDescent="0.25">
      <c r="A124" s="5" t="s">
        <v>971</v>
      </c>
      <c r="B124" s="5" t="s">
        <v>14</v>
      </c>
      <c r="C124" s="7" t="s">
        <v>163</v>
      </c>
      <c r="D124" s="8">
        <v>6</v>
      </c>
      <c r="E124" s="8">
        <v>4</v>
      </c>
      <c r="F124" s="8">
        <v>41</v>
      </c>
      <c r="G124" s="5">
        <v>10.3</v>
      </c>
      <c r="H124" s="5">
        <v>0</v>
      </c>
      <c r="I124" s="6">
        <f t="shared" si="1"/>
        <v>0</v>
      </c>
      <c r="J124" s="6">
        <f>D124/(VLOOKUP(B124,'[1]2022 Team'!$B$2:$G$33,2,FALSE))</f>
        <v>1.0452961672473868E-2</v>
      </c>
      <c r="K124" s="9">
        <v>66.7</v>
      </c>
      <c r="L124" s="5">
        <v>0</v>
      </c>
    </row>
    <row r="125" spans="1:12" x14ac:dyDescent="0.25">
      <c r="A125" s="5" t="s">
        <v>971</v>
      </c>
      <c r="B125" s="5" t="s">
        <v>54</v>
      </c>
      <c r="C125" s="7" t="s">
        <v>163</v>
      </c>
      <c r="D125" s="8">
        <v>42</v>
      </c>
      <c r="E125" s="8">
        <v>33</v>
      </c>
      <c r="F125" s="8">
        <v>351</v>
      </c>
      <c r="G125" s="5">
        <v>10.6</v>
      </c>
      <c r="H125" s="5">
        <v>4</v>
      </c>
      <c r="I125" s="6">
        <f t="shared" si="1"/>
        <v>0.12121212121212122</v>
      </c>
      <c r="J125" s="6">
        <f>D125/(VLOOKUP(B125,'[1]2022 Team'!$B$2:$G$33,2,FALSE))</f>
        <v>8.0769230769230774E-2</v>
      </c>
      <c r="K125" s="9">
        <v>78.599999999999994</v>
      </c>
      <c r="L125" s="5">
        <v>1</v>
      </c>
    </row>
    <row r="126" spans="1:12" x14ac:dyDescent="0.25">
      <c r="A126" s="5" t="s">
        <v>815</v>
      </c>
      <c r="B126" s="5" t="s">
        <v>12</v>
      </c>
      <c r="C126" s="7" t="s">
        <v>153</v>
      </c>
      <c r="D126" s="8">
        <v>60</v>
      </c>
      <c r="E126" s="8">
        <v>36</v>
      </c>
      <c r="F126" s="8">
        <v>373</v>
      </c>
      <c r="G126" s="5">
        <v>10.4</v>
      </c>
      <c r="H126" s="5">
        <v>3</v>
      </c>
      <c r="I126" s="6">
        <f t="shared" ref="I126:I186" si="2">H126/E126</f>
        <v>8.3333333333333329E-2</v>
      </c>
      <c r="J126" s="6">
        <f>D126/(VLOOKUP(B126,'[1]2022 Team'!$B$2:$G$33,2,FALSE))</f>
        <v>0.12295081967213115</v>
      </c>
      <c r="K126" s="9">
        <v>60</v>
      </c>
      <c r="L126" s="5">
        <v>0</v>
      </c>
    </row>
    <row r="127" spans="1:12" x14ac:dyDescent="0.25">
      <c r="A127" s="5" t="s">
        <v>833</v>
      </c>
      <c r="B127" s="5" t="s">
        <v>40</v>
      </c>
      <c r="C127" s="7" t="s">
        <v>163</v>
      </c>
      <c r="D127" s="8">
        <v>50</v>
      </c>
      <c r="E127" s="8">
        <v>36</v>
      </c>
      <c r="F127" s="8">
        <v>330</v>
      </c>
      <c r="G127" s="5">
        <v>9.1999999999999993</v>
      </c>
      <c r="H127" s="5">
        <v>2</v>
      </c>
      <c r="I127" s="6">
        <f t="shared" si="2"/>
        <v>5.5555555555555552E-2</v>
      </c>
      <c r="J127" s="6">
        <f>D127/(VLOOKUP(B127,'[1]2022 Team'!$B$2:$G$33,2,FALSE))</f>
        <v>8.5324232081911269E-2</v>
      </c>
      <c r="K127" s="9">
        <v>72</v>
      </c>
      <c r="L127" s="5">
        <v>3</v>
      </c>
    </row>
    <row r="128" spans="1:12" x14ac:dyDescent="0.25">
      <c r="A128" s="5" t="s">
        <v>1014</v>
      </c>
      <c r="B128" s="5" t="s">
        <v>50</v>
      </c>
      <c r="C128" s="7" t="s">
        <v>163</v>
      </c>
      <c r="D128" s="8">
        <v>48</v>
      </c>
      <c r="E128" s="8">
        <v>35</v>
      </c>
      <c r="F128" s="8">
        <v>434</v>
      </c>
      <c r="G128" s="5">
        <v>12.4</v>
      </c>
      <c r="H128" s="5">
        <v>1</v>
      </c>
      <c r="I128" s="6">
        <f t="shared" si="2"/>
        <v>2.8571428571428571E-2</v>
      </c>
      <c r="J128" s="6">
        <f>D128/(VLOOKUP(B128,'[1]2022 Team'!$B$2:$G$33,2,FALSE))</f>
        <v>8.8888888888888892E-2</v>
      </c>
      <c r="K128" s="9">
        <v>72.900000000000006</v>
      </c>
      <c r="L128" s="5">
        <v>2</v>
      </c>
    </row>
    <row r="129" spans="1:12" x14ac:dyDescent="0.25">
      <c r="A129" s="5" t="s">
        <v>992</v>
      </c>
      <c r="B129" s="5" t="s">
        <v>70</v>
      </c>
      <c r="C129" s="7" t="s">
        <v>163</v>
      </c>
      <c r="D129" s="8">
        <v>61</v>
      </c>
      <c r="E129" s="8">
        <v>35</v>
      </c>
      <c r="F129" s="8">
        <v>523</v>
      </c>
      <c r="G129" s="5">
        <v>14.9</v>
      </c>
      <c r="H129" s="5">
        <v>7</v>
      </c>
      <c r="I129" s="6">
        <f t="shared" si="2"/>
        <v>0.2</v>
      </c>
      <c r="J129" s="6">
        <f>D129/(VLOOKUP(B129,'[1]2022 Team'!$B$2:$G$33,2,FALSE))</f>
        <v>0.11010830324909747</v>
      </c>
      <c r="K129" s="9">
        <v>57.4</v>
      </c>
      <c r="L129" s="5">
        <v>0</v>
      </c>
    </row>
    <row r="130" spans="1:12" x14ac:dyDescent="0.25">
      <c r="A130" s="5" t="s">
        <v>236</v>
      </c>
      <c r="B130" s="5" t="s">
        <v>36</v>
      </c>
      <c r="C130" s="7" t="s">
        <v>159</v>
      </c>
      <c r="D130" s="8">
        <v>45</v>
      </c>
      <c r="E130" s="8">
        <v>35</v>
      </c>
      <c r="F130" s="8">
        <v>316</v>
      </c>
      <c r="G130" s="5">
        <v>9</v>
      </c>
      <c r="H130" s="5">
        <v>0</v>
      </c>
      <c r="I130" s="6">
        <f t="shared" si="2"/>
        <v>0</v>
      </c>
      <c r="J130" s="6">
        <f>D130/(VLOOKUP(B130,'[1]2022 Team'!$B$2:$G$33,2,FALSE))</f>
        <v>7.5503355704697989E-2</v>
      </c>
      <c r="K130" s="9">
        <v>77.8</v>
      </c>
      <c r="L130" s="5">
        <v>5</v>
      </c>
    </row>
    <row r="131" spans="1:12" x14ac:dyDescent="0.25">
      <c r="A131" s="5" t="s">
        <v>305</v>
      </c>
      <c r="B131" s="5" t="s">
        <v>22</v>
      </c>
      <c r="C131" s="7" t="s">
        <v>159</v>
      </c>
      <c r="D131" s="8">
        <v>44</v>
      </c>
      <c r="E131" s="8">
        <v>35</v>
      </c>
      <c r="F131" s="8">
        <v>210</v>
      </c>
      <c r="G131" s="5">
        <v>6</v>
      </c>
      <c r="H131" s="5">
        <v>1</v>
      </c>
      <c r="I131" s="6">
        <f t="shared" si="2"/>
        <v>2.8571428571428571E-2</v>
      </c>
      <c r="J131" s="6">
        <f>D131/(VLOOKUP(B131,'[1]2022 Team'!$B$2:$G$33,2,FALSE))</f>
        <v>8.1481481481481488E-2</v>
      </c>
      <c r="K131" s="9">
        <v>79.5</v>
      </c>
      <c r="L131" s="5">
        <v>1</v>
      </c>
    </row>
    <row r="132" spans="1:12" x14ac:dyDescent="0.25">
      <c r="A132" s="5" t="s">
        <v>1017</v>
      </c>
      <c r="B132" s="5" t="s">
        <v>62</v>
      </c>
      <c r="C132" s="7" t="s">
        <v>163</v>
      </c>
      <c r="D132" s="8">
        <v>56</v>
      </c>
      <c r="E132" s="8">
        <v>35</v>
      </c>
      <c r="F132" s="8">
        <v>416</v>
      </c>
      <c r="G132" s="5">
        <v>11.9</v>
      </c>
      <c r="H132" s="5">
        <v>1</v>
      </c>
      <c r="I132" s="6">
        <f t="shared" si="2"/>
        <v>2.8571428571428571E-2</v>
      </c>
      <c r="J132" s="6">
        <f>D132/(VLOOKUP(B132,'[1]2022 Team'!$B$2:$G$33,2,FALSE))</f>
        <v>0.109375</v>
      </c>
      <c r="K132" s="9">
        <v>62.5</v>
      </c>
      <c r="L132" s="5">
        <v>1</v>
      </c>
    </row>
    <row r="133" spans="1:12" x14ac:dyDescent="0.25">
      <c r="A133" s="5" t="s">
        <v>1784</v>
      </c>
      <c r="B133" s="5" t="s">
        <v>30</v>
      </c>
      <c r="C133" s="7" t="s">
        <v>163</v>
      </c>
      <c r="D133" s="8">
        <v>50</v>
      </c>
      <c r="E133" s="8">
        <v>34</v>
      </c>
      <c r="F133" s="8">
        <v>417</v>
      </c>
      <c r="G133" s="5">
        <v>12.3</v>
      </c>
      <c r="H133" s="5">
        <v>1</v>
      </c>
      <c r="I133" s="6">
        <f t="shared" si="2"/>
        <v>2.9411764705882353E-2</v>
      </c>
      <c r="J133" s="6">
        <f>D133/(VLOOKUP(B133,'[1]2022 Team'!$B$2:$G$33,2,FALSE))</f>
        <v>8.8809946714031973E-2</v>
      </c>
      <c r="K133" s="9">
        <v>68</v>
      </c>
      <c r="L133" s="5">
        <v>1</v>
      </c>
    </row>
    <row r="134" spans="1:12" x14ac:dyDescent="0.25">
      <c r="A134" s="5" t="s">
        <v>917</v>
      </c>
      <c r="B134" s="5" t="s">
        <v>64</v>
      </c>
      <c r="C134" s="7" t="s">
        <v>153</v>
      </c>
      <c r="D134" s="8">
        <v>38</v>
      </c>
      <c r="E134" s="8">
        <v>34</v>
      </c>
      <c r="F134" s="8">
        <v>349</v>
      </c>
      <c r="G134" s="5">
        <v>10.3</v>
      </c>
      <c r="H134" s="5">
        <v>3</v>
      </c>
      <c r="I134" s="6">
        <f t="shared" si="2"/>
        <v>8.8235294117647065E-2</v>
      </c>
      <c r="J134" s="6">
        <f>D134/(VLOOKUP(B134,'[1]2022 Team'!$B$2:$G$33,2,FALSE))</f>
        <v>6.6317626527050616E-2</v>
      </c>
      <c r="K134" s="9">
        <v>89.5</v>
      </c>
      <c r="L134" s="5">
        <v>0</v>
      </c>
    </row>
    <row r="135" spans="1:12" x14ac:dyDescent="0.25">
      <c r="A135" s="5" t="s">
        <v>158</v>
      </c>
      <c r="B135" s="5" t="s">
        <v>18</v>
      </c>
      <c r="C135" s="7" t="s">
        <v>159</v>
      </c>
      <c r="D135" s="8">
        <v>40</v>
      </c>
      <c r="E135" s="8">
        <v>34</v>
      </c>
      <c r="F135" s="8">
        <v>316</v>
      </c>
      <c r="G135" s="5">
        <v>9.3000000000000007</v>
      </c>
      <c r="H135" s="5">
        <v>1</v>
      </c>
      <c r="I135" s="6">
        <f t="shared" si="2"/>
        <v>2.9411764705882353E-2</v>
      </c>
      <c r="J135" s="6">
        <f>D135/(VLOOKUP(B135,'[1]2022 Team'!$B$2:$G$33,2,FALSE))</f>
        <v>0.10610079575596817</v>
      </c>
      <c r="K135" s="9">
        <v>85</v>
      </c>
      <c r="L135" s="5">
        <v>2</v>
      </c>
    </row>
    <row r="136" spans="1:12" x14ac:dyDescent="0.25">
      <c r="A136" s="5" t="s">
        <v>187</v>
      </c>
      <c r="B136" s="5" t="s">
        <v>68</v>
      </c>
      <c r="C136" s="7" t="s">
        <v>163</v>
      </c>
      <c r="D136" s="8">
        <v>54</v>
      </c>
      <c r="E136" s="8">
        <v>33</v>
      </c>
      <c r="F136" s="8">
        <v>444</v>
      </c>
      <c r="G136" s="5">
        <v>13.5</v>
      </c>
      <c r="H136" s="5">
        <v>1</v>
      </c>
      <c r="I136" s="6">
        <f t="shared" si="2"/>
        <v>3.0303030303030304E-2</v>
      </c>
      <c r="J136" s="6">
        <f>D136/(VLOOKUP(B136,'[1]2022 Team'!$B$2:$G$33,2,FALSE))</f>
        <v>0.11842105263157894</v>
      </c>
      <c r="K136" s="9">
        <v>61.1</v>
      </c>
      <c r="L136" s="5">
        <v>0</v>
      </c>
    </row>
    <row r="137" spans="1:12" x14ac:dyDescent="0.25">
      <c r="A137" s="5" t="s">
        <v>733</v>
      </c>
      <c r="B137" s="5" t="s">
        <v>26</v>
      </c>
      <c r="C137" s="7" t="s">
        <v>153</v>
      </c>
      <c r="D137" s="8">
        <v>55</v>
      </c>
      <c r="E137" s="8">
        <v>33</v>
      </c>
      <c r="F137" s="8">
        <v>411</v>
      </c>
      <c r="G137" s="5">
        <v>12.5</v>
      </c>
      <c r="H137" s="5">
        <v>2</v>
      </c>
      <c r="I137" s="6">
        <f t="shared" si="2"/>
        <v>6.0606060606060608E-2</v>
      </c>
      <c r="J137" s="6">
        <f>D137/(VLOOKUP(B137,'[1]2022 Team'!$B$2:$G$33,2,FALSE))</f>
        <v>9.6322241681260939E-2</v>
      </c>
      <c r="K137" s="9">
        <v>60</v>
      </c>
      <c r="L137" s="5">
        <v>0</v>
      </c>
    </row>
    <row r="138" spans="1:12" x14ac:dyDescent="0.25">
      <c r="A138" s="5" t="s">
        <v>166</v>
      </c>
      <c r="B138" s="5" t="s">
        <v>68</v>
      </c>
      <c r="C138" s="7" t="s">
        <v>159</v>
      </c>
      <c r="D138" s="8">
        <v>41</v>
      </c>
      <c r="E138" s="8">
        <v>33</v>
      </c>
      <c r="F138" s="8">
        <v>398</v>
      </c>
      <c r="G138" s="5">
        <v>12.1</v>
      </c>
      <c r="H138" s="5">
        <v>0</v>
      </c>
      <c r="I138" s="6">
        <f t="shared" si="2"/>
        <v>0</v>
      </c>
      <c r="J138" s="6">
        <f>D138/(VLOOKUP(B138,'[1]2022 Team'!$B$2:$G$33,2,FALSE))</f>
        <v>8.9912280701754388E-2</v>
      </c>
      <c r="K138" s="9">
        <v>80.5</v>
      </c>
      <c r="L138" s="5">
        <v>6</v>
      </c>
    </row>
    <row r="139" spans="1:12" x14ac:dyDescent="0.25">
      <c r="A139" s="5" t="s">
        <v>958</v>
      </c>
      <c r="B139" s="5" t="s">
        <v>40</v>
      </c>
      <c r="C139" s="7" t="s">
        <v>153</v>
      </c>
      <c r="D139" s="8">
        <v>54</v>
      </c>
      <c r="E139" s="8">
        <v>33</v>
      </c>
      <c r="F139" s="8">
        <v>420</v>
      </c>
      <c r="G139" s="5">
        <v>12.7</v>
      </c>
      <c r="H139" s="5">
        <v>2</v>
      </c>
      <c r="I139" s="6">
        <f t="shared" si="2"/>
        <v>6.0606060606060608E-2</v>
      </c>
      <c r="J139" s="6">
        <f>D139/(VLOOKUP(B139,'[1]2022 Team'!$B$2:$G$33,2,FALSE))</f>
        <v>9.2150170648464161E-2</v>
      </c>
      <c r="K139" s="9">
        <v>61.1</v>
      </c>
      <c r="L139" s="5">
        <v>1</v>
      </c>
    </row>
    <row r="140" spans="1:12" x14ac:dyDescent="0.25">
      <c r="A140" s="5" t="s">
        <v>1838</v>
      </c>
      <c r="B140" s="5" t="s">
        <v>44</v>
      </c>
      <c r="C140" s="7" t="s">
        <v>163</v>
      </c>
      <c r="D140" s="8">
        <v>52</v>
      </c>
      <c r="E140" s="8">
        <v>33</v>
      </c>
      <c r="F140" s="8">
        <v>339</v>
      </c>
      <c r="G140" s="5">
        <v>10.3</v>
      </c>
      <c r="H140" s="5">
        <v>3</v>
      </c>
      <c r="I140" s="6">
        <f t="shared" si="2"/>
        <v>9.0909090909090912E-2</v>
      </c>
      <c r="J140" s="6">
        <f>D140/(VLOOKUP(B140,'[1]2022 Team'!$B$2:$G$33,2,FALSE))</f>
        <v>9.7928436911487754E-2</v>
      </c>
      <c r="K140" s="9">
        <v>63.5</v>
      </c>
      <c r="L140" s="5">
        <v>0</v>
      </c>
    </row>
    <row r="141" spans="1:12" x14ac:dyDescent="0.25">
      <c r="A141" s="5" t="s">
        <v>1860</v>
      </c>
      <c r="B141" s="5" t="s">
        <v>58</v>
      </c>
      <c r="C141" s="7" t="s">
        <v>163</v>
      </c>
      <c r="D141" s="8">
        <v>51</v>
      </c>
      <c r="E141" s="8">
        <v>33</v>
      </c>
      <c r="F141" s="8">
        <v>354</v>
      </c>
      <c r="G141" s="5">
        <v>10.7</v>
      </c>
      <c r="H141" s="5">
        <v>3</v>
      </c>
      <c r="I141" s="6">
        <f t="shared" si="2"/>
        <v>9.0909090909090912E-2</v>
      </c>
      <c r="J141" s="6">
        <f>D141/(VLOOKUP(B141,'[1]2022 Team'!$B$2:$G$33,2,FALSE))</f>
        <v>9.5149253731343281E-2</v>
      </c>
      <c r="K141" s="9">
        <v>64.7</v>
      </c>
      <c r="L141" s="5">
        <v>1</v>
      </c>
    </row>
    <row r="142" spans="1:12" x14ac:dyDescent="0.25">
      <c r="A142" s="5" t="s">
        <v>2476</v>
      </c>
      <c r="B142" s="5" t="s">
        <v>56</v>
      </c>
      <c r="C142" s="7" t="s">
        <v>163</v>
      </c>
      <c r="D142" s="8">
        <v>64</v>
      </c>
      <c r="E142" s="8">
        <v>32</v>
      </c>
      <c r="F142" s="8">
        <v>536</v>
      </c>
      <c r="G142" s="5">
        <v>16.8</v>
      </c>
      <c r="H142" s="5">
        <v>2</v>
      </c>
      <c r="I142" s="6">
        <f t="shared" si="2"/>
        <v>6.25E-2</v>
      </c>
      <c r="J142" s="6">
        <f>D142/(VLOOKUP(B142,'[1]2022 Team'!$B$2:$G$33,2,FALSE))</f>
        <v>0.10207336523125997</v>
      </c>
      <c r="K142" s="9">
        <v>50</v>
      </c>
      <c r="L142" s="5">
        <v>0</v>
      </c>
    </row>
    <row r="143" spans="1:12" x14ac:dyDescent="0.25">
      <c r="A143" s="5" t="s">
        <v>844</v>
      </c>
      <c r="B143" s="5" t="s">
        <v>46</v>
      </c>
      <c r="C143" s="7" t="s">
        <v>153</v>
      </c>
      <c r="D143" s="8">
        <v>52</v>
      </c>
      <c r="E143" s="8">
        <v>32</v>
      </c>
      <c r="F143" s="8">
        <v>362</v>
      </c>
      <c r="G143" s="5">
        <v>11.3</v>
      </c>
      <c r="H143" s="5">
        <v>5</v>
      </c>
      <c r="I143" s="6">
        <f t="shared" si="2"/>
        <v>0.15625</v>
      </c>
      <c r="J143" s="6">
        <f>D143/(VLOOKUP(B143,'[1]2022 Team'!$B$2:$G$33,2,FALSE))</f>
        <v>8.9041095890410954E-2</v>
      </c>
      <c r="K143" s="9">
        <v>61.5</v>
      </c>
      <c r="L143" s="5">
        <v>0</v>
      </c>
    </row>
    <row r="144" spans="1:12" x14ac:dyDescent="0.25">
      <c r="A144" s="5" t="s">
        <v>1034</v>
      </c>
      <c r="B144" s="5" t="s">
        <v>68</v>
      </c>
      <c r="C144" s="7" t="s">
        <v>153</v>
      </c>
      <c r="D144" s="8">
        <v>46</v>
      </c>
      <c r="E144" s="8">
        <v>32</v>
      </c>
      <c r="F144" s="8">
        <v>450</v>
      </c>
      <c r="G144" s="5">
        <v>14.1</v>
      </c>
      <c r="H144" s="5">
        <v>3</v>
      </c>
      <c r="I144" s="6">
        <f t="shared" si="2"/>
        <v>9.375E-2</v>
      </c>
      <c r="J144" s="6">
        <f>D144/(VLOOKUP(B144,'[1]2022 Team'!$B$2:$G$33,2,FALSE))</f>
        <v>0.10087719298245613</v>
      </c>
      <c r="K144" s="9">
        <v>69.599999999999994</v>
      </c>
      <c r="L144" s="5">
        <v>0</v>
      </c>
    </row>
    <row r="145" spans="1:12" x14ac:dyDescent="0.25">
      <c r="A145" s="5" t="s">
        <v>1770</v>
      </c>
      <c r="B145" s="5" t="s">
        <v>50</v>
      </c>
      <c r="C145" s="7" t="s">
        <v>163</v>
      </c>
      <c r="D145" s="8">
        <v>53</v>
      </c>
      <c r="E145" s="8">
        <v>31</v>
      </c>
      <c r="F145" s="8">
        <v>362</v>
      </c>
      <c r="G145" s="5">
        <v>11.7</v>
      </c>
      <c r="H145" s="5">
        <v>2</v>
      </c>
      <c r="I145" s="6">
        <f t="shared" si="2"/>
        <v>6.4516129032258063E-2</v>
      </c>
      <c r="J145" s="6">
        <f>D145/(VLOOKUP(B145,'[1]2022 Team'!$B$2:$G$33,2,FALSE))</f>
        <v>9.8148148148148151E-2</v>
      </c>
      <c r="K145" s="9">
        <v>58.5</v>
      </c>
      <c r="L145" s="5">
        <v>2</v>
      </c>
    </row>
    <row r="146" spans="1:12" x14ac:dyDescent="0.25">
      <c r="A146" s="5" t="s">
        <v>886</v>
      </c>
      <c r="B146" s="5" t="s">
        <v>22</v>
      </c>
      <c r="C146" s="7" t="s">
        <v>153</v>
      </c>
      <c r="D146" s="8">
        <v>42</v>
      </c>
      <c r="E146" s="8">
        <v>31</v>
      </c>
      <c r="F146" s="8">
        <v>239</v>
      </c>
      <c r="G146" s="5">
        <v>7.7</v>
      </c>
      <c r="H146" s="5">
        <v>1</v>
      </c>
      <c r="I146" s="6">
        <f t="shared" si="2"/>
        <v>3.2258064516129031E-2</v>
      </c>
      <c r="J146" s="6">
        <f>D146/(VLOOKUP(B146,'[1]2022 Team'!$B$2:$G$33,2,FALSE))</f>
        <v>7.7777777777777779E-2</v>
      </c>
      <c r="K146" s="9">
        <v>73.8</v>
      </c>
      <c r="L146" s="5">
        <v>0</v>
      </c>
    </row>
    <row r="147" spans="1:12" x14ac:dyDescent="0.25">
      <c r="A147" s="5" t="s">
        <v>995</v>
      </c>
      <c r="B147" s="5" t="s">
        <v>34</v>
      </c>
      <c r="C147" s="7" t="s">
        <v>153</v>
      </c>
      <c r="D147" s="8">
        <v>40</v>
      </c>
      <c r="E147" s="8">
        <v>31</v>
      </c>
      <c r="F147" s="8">
        <v>302</v>
      </c>
      <c r="G147" s="5">
        <v>9.6999999999999993</v>
      </c>
      <c r="H147" s="5">
        <v>0</v>
      </c>
      <c r="I147" s="6">
        <f t="shared" si="2"/>
        <v>0</v>
      </c>
      <c r="J147" s="6">
        <f>D147/(VLOOKUP(B147,'[1]2022 Team'!$B$2:$G$33,2,FALSE))</f>
        <v>6.6225165562913912E-2</v>
      </c>
      <c r="K147" s="9">
        <v>77.5</v>
      </c>
      <c r="L147" s="5">
        <v>1</v>
      </c>
    </row>
    <row r="148" spans="1:12" x14ac:dyDescent="0.25">
      <c r="A148" s="5" t="s">
        <v>520</v>
      </c>
      <c r="B148" s="5" t="s">
        <v>46</v>
      </c>
      <c r="C148" s="7" t="s">
        <v>159</v>
      </c>
      <c r="D148" s="8">
        <v>42</v>
      </c>
      <c r="E148" s="8">
        <v>31</v>
      </c>
      <c r="F148" s="8">
        <v>202</v>
      </c>
      <c r="G148" s="5">
        <v>6.5</v>
      </c>
      <c r="H148" s="5">
        <v>2</v>
      </c>
      <c r="I148" s="6">
        <f t="shared" si="2"/>
        <v>6.4516129032258063E-2</v>
      </c>
      <c r="J148" s="6">
        <f>D148/(VLOOKUP(B148,'[1]2022 Team'!$B$2:$G$33,2,FALSE))</f>
        <v>7.1917808219178078E-2</v>
      </c>
      <c r="K148" s="9">
        <v>73.8</v>
      </c>
      <c r="L148" s="5">
        <v>1</v>
      </c>
    </row>
    <row r="149" spans="1:12" x14ac:dyDescent="0.25">
      <c r="A149" s="5" t="s">
        <v>1829</v>
      </c>
      <c r="B149" s="5" t="s">
        <v>50</v>
      </c>
      <c r="C149" s="7" t="s">
        <v>163</v>
      </c>
      <c r="D149" s="8">
        <v>47</v>
      </c>
      <c r="E149" s="8">
        <v>31</v>
      </c>
      <c r="F149" s="8">
        <v>539</v>
      </c>
      <c r="G149" s="5">
        <v>17.399999999999999</v>
      </c>
      <c r="H149" s="5">
        <v>3</v>
      </c>
      <c r="I149" s="6">
        <f t="shared" si="2"/>
        <v>9.6774193548387094E-2</v>
      </c>
      <c r="J149" s="6">
        <f>D149/(VLOOKUP(B149,'[1]2022 Team'!$B$2:$G$33,2,FALSE))</f>
        <v>8.7037037037037038E-2</v>
      </c>
      <c r="K149" s="9">
        <v>66</v>
      </c>
      <c r="L149" s="5">
        <v>0</v>
      </c>
    </row>
    <row r="150" spans="1:12" x14ac:dyDescent="0.25">
      <c r="A150" s="5" t="s">
        <v>969</v>
      </c>
      <c r="B150" s="5" t="s">
        <v>54</v>
      </c>
      <c r="C150" s="7" t="s">
        <v>153</v>
      </c>
      <c r="D150" s="8">
        <v>35</v>
      </c>
      <c r="E150" s="8">
        <v>30</v>
      </c>
      <c r="F150" s="8">
        <v>268</v>
      </c>
      <c r="G150" s="5">
        <v>8.9</v>
      </c>
      <c r="H150" s="5">
        <v>2</v>
      </c>
      <c r="I150" s="6">
        <f t="shared" si="2"/>
        <v>6.6666666666666666E-2</v>
      </c>
      <c r="J150" s="6">
        <f>D150/(VLOOKUP(B150,'[1]2022 Team'!$B$2:$G$33,2,FALSE))</f>
        <v>6.7307692307692304E-2</v>
      </c>
      <c r="K150" s="9">
        <v>85.7</v>
      </c>
      <c r="L150" s="5">
        <v>1</v>
      </c>
    </row>
    <row r="151" spans="1:12" x14ac:dyDescent="0.25">
      <c r="A151" s="5" t="s">
        <v>1781</v>
      </c>
      <c r="B151" s="5" t="s">
        <v>28</v>
      </c>
      <c r="C151" s="7" t="s">
        <v>163</v>
      </c>
      <c r="D151" s="8">
        <v>52</v>
      </c>
      <c r="E151" s="8">
        <v>30</v>
      </c>
      <c r="F151" s="8">
        <v>502</v>
      </c>
      <c r="G151" s="5">
        <v>16.7</v>
      </c>
      <c r="H151" s="5">
        <v>3</v>
      </c>
      <c r="I151" s="6">
        <f t="shared" si="2"/>
        <v>0.1</v>
      </c>
      <c r="J151" s="6">
        <f>D151/(VLOOKUP(B151,'[1]2022 Team'!$B$2:$G$33,2,FALSE))</f>
        <v>8.8435374149659865E-2</v>
      </c>
      <c r="K151" s="9">
        <v>57.7</v>
      </c>
      <c r="L151" s="5">
        <v>0</v>
      </c>
    </row>
    <row r="152" spans="1:12" x14ac:dyDescent="0.25">
      <c r="A152" s="5" t="s">
        <v>1702</v>
      </c>
      <c r="B152" s="5" t="s">
        <v>34</v>
      </c>
      <c r="C152" s="7" t="s">
        <v>159</v>
      </c>
      <c r="D152" s="8">
        <v>34</v>
      </c>
      <c r="E152" s="8">
        <v>30</v>
      </c>
      <c r="F152" s="8">
        <v>209</v>
      </c>
      <c r="G152" s="5">
        <v>7</v>
      </c>
      <c r="H152" s="5">
        <v>1</v>
      </c>
      <c r="I152" s="6">
        <f t="shared" si="2"/>
        <v>3.3333333333333333E-2</v>
      </c>
      <c r="J152" s="6">
        <f>D152/(VLOOKUP(B152,'[1]2022 Team'!$B$2:$G$33,2,FALSE))</f>
        <v>5.6291390728476824E-2</v>
      </c>
      <c r="K152" s="9">
        <v>88.2</v>
      </c>
      <c r="L152" s="5">
        <v>1</v>
      </c>
    </row>
    <row r="153" spans="1:12" x14ac:dyDescent="0.25">
      <c r="A153" s="5" t="s">
        <v>602</v>
      </c>
      <c r="B153" s="5" t="s">
        <v>32</v>
      </c>
      <c r="C153" s="7" t="s">
        <v>159</v>
      </c>
      <c r="D153" s="8">
        <v>39</v>
      </c>
      <c r="E153" s="8">
        <v>30</v>
      </c>
      <c r="F153" s="8">
        <v>165</v>
      </c>
      <c r="G153" s="5">
        <v>5.5</v>
      </c>
      <c r="H153" s="5">
        <v>1</v>
      </c>
      <c r="I153" s="6">
        <f t="shared" si="2"/>
        <v>3.3333333333333333E-2</v>
      </c>
      <c r="J153" s="6">
        <f>D153/(VLOOKUP(B153,'[1]2022 Team'!$B$2:$G$33,2,FALSE))</f>
        <v>6.7357512953367879E-2</v>
      </c>
      <c r="K153" s="9">
        <v>76.900000000000006</v>
      </c>
      <c r="L153" s="5">
        <v>4</v>
      </c>
    </row>
    <row r="154" spans="1:12" x14ac:dyDescent="0.25">
      <c r="A154" s="5" t="s">
        <v>797</v>
      </c>
      <c r="B154" s="5" t="s">
        <v>46</v>
      </c>
      <c r="C154" s="7" t="s">
        <v>163</v>
      </c>
      <c r="D154" s="8">
        <v>51</v>
      </c>
      <c r="E154" s="8">
        <v>30</v>
      </c>
      <c r="F154" s="8">
        <v>417</v>
      </c>
      <c r="G154" s="5">
        <v>13.9</v>
      </c>
      <c r="H154" s="5">
        <v>2</v>
      </c>
      <c r="I154" s="6">
        <f t="shared" si="2"/>
        <v>6.6666666666666666E-2</v>
      </c>
      <c r="J154" s="6">
        <f>D154/(VLOOKUP(B154,'[1]2022 Team'!$B$2:$G$33,2,FALSE))</f>
        <v>8.7328767123287673E-2</v>
      </c>
      <c r="K154" s="9">
        <v>58.8</v>
      </c>
      <c r="L154" s="5">
        <v>0</v>
      </c>
    </row>
    <row r="155" spans="1:12" x14ac:dyDescent="0.25">
      <c r="A155" s="5" t="s">
        <v>713</v>
      </c>
      <c r="B155" s="5" t="s">
        <v>34</v>
      </c>
      <c r="C155" s="7" t="s">
        <v>159</v>
      </c>
      <c r="D155" s="8">
        <v>28</v>
      </c>
      <c r="E155" s="8">
        <v>25</v>
      </c>
      <c r="F155" s="8">
        <v>188</v>
      </c>
      <c r="G155" s="5">
        <v>7.5</v>
      </c>
      <c r="H155" s="5">
        <v>0</v>
      </c>
      <c r="I155" s="6">
        <f t="shared" si="2"/>
        <v>0</v>
      </c>
      <c r="J155" s="6">
        <f>D155/(VLOOKUP(B155,'[1]2022 Team'!$B$2:$G$33,2,FALSE))</f>
        <v>4.6357615894039736E-2</v>
      </c>
      <c r="K155" s="9">
        <v>89.3</v>
      </c>
      <c r="L155" s="5">
        <v>1</v>
      </c>
    </row>
    <row r="156" spans="1:12" x14ac:dyDescent="0.25">
      <c r="A156" s="5" t="s">
        <v>713</v>
      </c>
      <c r="B156" s="5" t="s">
        <v>14</v>
      </c>
      <c r="C156" s="7" t="s">
        <v>159</v>
      </c>
      <c r="D156" s="8">
        <v>9</v>
      </c>
      <c r="E156" s="8">
        <v>5</v>
      </c>
      <c r="F156" s="8">
        <v>53</v>
      </c>
      <c r="G156" s="5">
        <v>10.6</v>
      </c>
      <c r="H156" s="5">
        <v>1</v>
      </c>
      <c r="I156" s="6">
        <f t="shared" si="2"/>
        <v>0.2</v>
      </c>
      <c r="J156" s="6">
        <f>D156/(VLOOKUP(B156,'[1]2022 Team'!$B$2:$G$33,2,FALSE))</f>
        <v>1.5679442508710801E-2</v>
      </c>
      <c r="K156" s="9">
        <v>55.6</v>
      </c>
      <c r="L156" s="5">
        <v>1</v>
      </c>
    </row>
    <row r="157" spans="1:12" x14ac:dyDescent="0.25">
      <c r="A157" s="5" t="s">
        <v>795</v>
      </c>
      <c r="B157" s="5" t="s">
        <v>8</v>
      </c>
      <c r="C157" s="7" t="s">
        <v>153</v>
      </c>
      <c r="D157" s="8">
        <v>39</v>
      </c>
      <c r="E157" s="8">
        <v>29</v>
      </c>
      <c r="F157" s="8">
        <v>265</v>
      </c>
      <c r="G157" s="5">
        <v>9.1</v>
      </c>
      <c r="H157" s="5">
        <v>1</v>
      </c>
      <c r="I157" s="6">
        <f t="shared" si="2"/>
        <v>3.4482758620689655E-2</v>
      </c>
      <c r="J157" s="6">
        <f>D157/(VLOOKUP(B157,'[1]2022 Team'!$B$2:$G$33,2,FALSE))</f>
        <v>5.8734939759036146E-2</v>
      </c>
      <c r="K157" s="9">
        <v>74.400000000000006</v>
      </c>
      <c r="L157" s="5">
        <v>1</v>
      </c>
    </row>
    <row r="158" spans="1:12" x14ac:dyDescent="0.25">
      <c r="A158" s="5" t="s">
        <v>570</v>
      </c>
      <c r="B158" s="5" t="s">
        <v>30</v>
      </c>
      <c r="C158" s="7" t="s">
        <v>159</v>
      </c>
      <c r="D158" s="8">
        <v>43</v>
      </c>
      <c r="E158" s="8">
        <v>28</v>
      </c>
      <c r="F158" s="8">
        <v>206</v>
      </c>
      <c r="G158" s="5">
        <v>7.4</v>
      </c>
      <c r="H158" s="5">
        <v>0</v>
      </c>
      <c r="I158" s="6">
        <f t="shared" si="2"/>
        <v>0</v>
      </c>
      <c r="J158" s="6">
        <f>D158/(VLOOKUP(B158,'[1]2022 Team'!$B$2:$G$33,2,FALSE))</f>
        <v>7.6376554174067496E-2</v>
      </c>
      <c r="K158" s="9">
        <v>65.099999999999994</v>
      </c>
      <c r="L158" s="5">
        <v>1</v>
      </c>
    </row>
    <row r="159" spans="1:12" x14ac:dyDescent="0.25">
      <c r="A159" s="5" t="s">
        <v>909</v>
      </c>
      <c r="B159" s="5" t="s">
        <v>38</v>
      </c>
      <c r="C159" s="7" t="s">
        <v>153</v>
      </c>
      <c r="D159" s="8">
        <v>34</v>
      </c>
      <c r="E159" s="8">
        <v>28</v>
      </c>
      <c r="F159" s="8">
        <v>299</v>
      </c>
      <c r="G159" s="5">
        <v>10.7</v>
      </c>
      <c r="H159" s="5">
        <v>1</v>
      </c>
      <c r="I159" s="6">
        <f t="shared" si="2"/>
        <v>3.5714285714285712E-2</v>
      </c>
      <c r="J159" s="6">
        <f>D159/(VLOOKUP(B159,'[1]2022 Team'!$B$2:$G$33,2,FALSE))</f>
        <v>5.2227342549923193E-2</v>
      </c>
      <c r="K159" s="9">
        <v>82.4</v>
      </c>
      <c r="L159" s="5">
        <v>0</v>
      </c>
    </row>
    <row r="160" spans="1:12" x14ac:dyDescent="0.25">
      <c r="A160" s="5" t="s">
        <v>1821</v>
      </c>
      <c r="B160" s="5" t="s">
        <v>16</v>
      </c>
      <c r="C160" s="7" t="s">
        <v>163</v>
      </c>
      <c r="D160" s="8">
        <v>47</v>
      </c>
      <c r="E160" s="8">
        <v>28</v>
      </c>
      <c r="F160" s="8">
        <v>490</v>
      </c>
      <c r="G160" s="5">
        <v>17.5</v>
      </c>
      <c r="H160" s="5">
        <v>1</v>
      </c>
      <c r="I160" s="6">
        <f t="shared" si="2"/>
        <v>3.5714285714285712E-2</v>
      </c>
      <c r="J160" s="6">
        <f>D160/(VLOOKUP(B160,'[1]2022 Team'!$B$2:$G$33,2,FALSE))</f>
        <v>0.10284463894967177</v>
      </c>
      <c r="K160" s="9">
        <v>59.6</v>
      </c>
      <c r="L160" s="5">
        <v>2</v>
      </c>
    </row>
    <row r="161" spans="1:12" x14ac:dyDescent="0.25">
      <c r="A161" s="5" t="s">
        <v>808</v>
      </c>
      <c r="B161" s="5" t="s">
        <v>10</v>
      </c>
      <c r="C161" s="7" t="s">
        <v>153</v>
      </c>
      <c r="D161" s="8">
        <v>59</v>
      </c>
      <c r="E161" s="8">
        <v>28</v>
      </c>
      <c r="F161" s="8">
        <v>356</v>
      </c>
      <c r="G161" s="5">
        <v>12.7</v>
      </c>
      <c r="H161" s="5">
        <v>2</v>
      </c>
      <c r="I161" s="6">
        <f t="shared" si="2"/>
        <v>7.1428571428571425E-2</v>
      </c>
      <c r="J161" s="6">
        <f>D161/(VLOOKUP(B161,'[1]2022 Team'!$B$2:$G$33,2,FALSE))</f>
        <v>0.14216867469879518</v>
      </c>
      <c r="K161" s="9">
        <v>47.5</v>
      </c>
      <c r="L161" s="5">
        <v>0</v>
      </c>
    </row>
    <row r="162" spans="1:12" x14ac:dyDescent="0.25">
      <c r="A162" s="5" t="s">
        <v>621</v>
      </c>
      <c r="B162" s="5" t="s">
        <v>52</v>
      </c>
      <c r="C162" s="7" t="s">
        <v>163</v>
      </c>
      <c r="D162" s="8">
        <v>34</v>
      </c>
      <c r="E162" s="8">
        <v>28</v>
      </c>
      <c r="F162" s="8">
        <v>488</v>
      </c>
      <c r="G162" s="5">
        <v>17.399999999999999</v>
      </c>
      <c r="H162" s="5">
        <v>2</v>
      </c>
      <c r="I162" s="6">
        <f t="shared" si="2"/>
        <v>7.1428571428571425E-2</v>
      </c>
      <c r="J162" s="6">
        <f>D162/(VLOOKUP(B162,'[1]2022 Team'!$B$2:$G$33,2,FALSE))</f>
        <v>6.640625E-2</v>
      </c>
      <c r="K162" s="9">
        <v>82.4</v>
      </c>
      <c r="L162" s="5">
        <v>1</v>
      </c>
    </row>
    <row r="163" spans="1:12" x14ac:dyDescent="0.25">
      <c r="A163" s="5" t="s">
        <v>199</v>
      </c>
      <c r="B163" s="5" t="s">
        <v>34</v>
      </c>
      <c r="C163" s="7" t="s">
        <v>159</v>
      </c>
      <c r="D163" s="8">
        <v>40</v>
      </c>
      <c r="E163" s="8">
        <v>28</v>
      </c>
      <c r="F163" s="8">
        <v>143</v>
      </c>
      <c r="G163" s="5">
        <v>5.0999999999999996</v>
      </c>
      <c r="H163" s="5">
        <v>0</v>
      </c>
      <c r="I163" s="6">
        <f t="shared" si="2"/>
        <v>0</v>
      </c>
      <c r="J163" s="6">
        <f>D163/(VLOOKUP(B163,'[1]2022 Team'!$B$2:$G$33,2,FALSE))</f>
        <v>6.6225165562913912E-2</v>
      </c>
      <c r="K163" s="9">
        <v>70</v>
      </c>
      <c r="L163" s="5">
        <v>3</v>
      </c>
    </row>
    <row r="164" spans="1:12" x14ac:dyDescent="0.25">
      <c r="A164" s="5" t="s">
        <v>736</v>
      </c>
      <c r="B164" s="5" t="s">
        <v>40</v>
      </c>
      <c r="C164" s="7" t="s">
        <v>153</v>
      </c>
      <c r="D164" s="8">
        <v>43</v>
      </c>
      <c r="E164" s="8">
        <v>28</v>
      </c>
      <c r="F164" s="8">
        <v>388</v>
      </c>
      <c r="G164" s="5">
        <v>13.9</v>
      </c>
      <c r="H164" s="5">
        <v>3</v>
      </c>
      <c r="I164" s="6">
        <f t="shared" si="2"/>
        <v>0.10714285714285714</v>
      </c>
      <c r="J164" s="6">
        <f>D164/(VLOOKUP(B164,'[1]2022 Team'!$B$2:$G$33,2,FALSE))</f>
        <v>7.3378839590443681E-2</v>
      </c>
      <c r="K164" s="9">
        <v>65.099999999999994</v>
      </c>
      <c r="L164" s="5">
        <v>0</v>
      </c>
    </row>
    <row r="165" spans="1:12" x14ac:dyDescent="0.25">
      <c r="A165" s="5" t="s">
        <v>271</v>
      </c>
      <c r="B165" s="5" t="s">
        <v>60</v>
      </c>
      <c r="C165" s="7" t="s">
        <v>159</v>
      </c>
      <c r="D165" s="8">
        <v>33</v>
      </c>
      <c r="E165" s="8">
        <v>28</v>
      </c>
      <c r="F165" s="8">
        <v>214</v>
      </c>
      <c r="G165" s="5">
        <v>7.6</v>
      </c>
      <c r="H165" s="5">
        <v>0</v>
      </c>
      <c r="I165" s="6">
        <f t="shared" si="2"/>
        <v>0</v>
      </c>
      <c r="J165" s="6">
        <f>D165/(VLOOKUP(B165,'[1]2022 Team'!$B$2:$G$33,2,FALSE))</f>
        <v>5.7793345008756568E-2</v>
      </c>
      <c r="K165" s="9">
        <v>84.8</v>
      </c>
      <c r="L165" s="5">
        <v>1</v>
      </c>
    </row>
    <row r="166" spans="1:12" x14ac:dyDescent="0.25">
      <c r="A166" s="5" t="s">
        <v>356</v>
      </c>
      <c r="B166" s="5" t="s">
        <v>22</v>
      </c>
      <c r="C166" s="7" t="s">
        <v>159</v>
      </c>
      <c r="D166" s="8">
        <v>37</v>
      </c>
      <c r="E166" s="8">
        <v>27</v>
      </c>
      <c r="F166" s="8">
        <v>239</v>
      </c>
      <c r="G166" s="5">
        <v>8.9</v>
      </c>
      <c r="H166" s="5">
        <v>1</v>
      </c>
      <c r="I166" s="6">
        <f t="shared" si="2"/>
        <v>3.7037037037037035E-2</v>
      </c>
      <c r="J166" s="6">
        <f>D166/(VLOOKUP(B166,'[1]2022 Team'!$B$2:$G$33,2,FALSE))</f>
        <v>6.851851851851852E-2</v>
      </c>
      <c r="K166" s="9">
        <v>73</v>
      </c>
      <c r="L166" s="5">
        <v>1</v>
      </c>
    </row>
    <row r="167" spans="1:12" x14ac:dyDescent="0.25">
      <c r="A167" s="5" t="s">
        <v>1725</v>
      </c>
      <c r="B167" s="5" t="s">
        <v>64</v>
      </c>
      <c r="C167" s="7" t="s">
        <v>163</v>
      </c>
      <c r="D167" s="8">
        <v>42</v>
      </c>
      <c r="E167" s="8">
        <v>27</v>
      </c>
      <c r="F167" s="8">
        <v>387</v>
      </c>
      <c r="G167" s="5">
        <v>14.3</v>
      </c>
      <c r="H167" s="5">
        <v>4</v>
      </c>
      <c r="I167" s="6">
        <f t="shared" si="2"/>
        <v>0.14814814814814814</v>
      </c>
      <c r="J167" s="6">
        <f>D167/(VLOOKUP(B167,'[1]2022 Team'!$B$2:$G$33,2,FALSE))</f>
        <v>7.3298429319371722E-2</v>
      </c>
      <c r="K167" s="9">
        <v>64.3</v>
      </c>
      <c r="L167" s="5">
        <v>0</v>
      </c>
    </row>
    <row r="168" spans="1:12" x14ac:dyDescent="0.25">
      <c r="A168" s="5" t="s">
        <v>2414</v>
      </c>
      <c r="B168" s="5" t="s">
        <v>70</v>
      </c>
      <c r="C168" s="7" t="s">
        <v>159</v>
      </c>
      <c r="D168" s="8">
        <v>40</v>
      </c>
      <c r="E168" s="8">
        <v>27</v>
      </c>
      <c r="F168" s="8">
        <v>173</v>
      </c>
      <c r="G168" s="5">
        <v>6.4</v>
      </c>
      <c r="H168" s="5">
        <v>0</v>
      </c>
      <c r="I168" s="6">
        <f t="shared" si="2"/>
        <v>0</v>
      </c>
      <c r="J168" s="6">
        <f>D168/(VLOOKUP(B168,'[1]2022 Team'!$B$2:$G$33,2,FALSE))</f>
        <v>7.2202166064981949E-2</v>
      </c>
      <c r="K168" s="9">
        <v>67.5</v>
      </c>
      <c r="L168" s="5">
        <v>0</v>
      </c>
    </row>
    <row r="169" spans="1:12" x14ac:dyDescent="0.25">
      <c r="A169" s="5" t="s">
        <v>1705</v>
      </c>
      <c r="B169" s="5" t="s">
        <v>16</v>
      </c>
      <c r="C169" s="7" t="s">
        <v>163</v>
      </c>
      <c r="D169" s="8">
        <v>32</v>
      </c>
      <c r="E169" s="8">
        <v>27</v>
      </c>
      <c r="F169" s="8">
        <v>272</v>
      </c>
      <c r="G169" s="5">
        <v>10.1</v>
      </c>
      <c r="H169" s="5">
        <v>1</v>
      </c>
      <c r="I169" s="6">
        <f t="shared" si="2"/>
        <v>3.7037037037037035E-2</v>
      </c>
      <c r="J169" s="6">
        <f>D169/(VLOOKUP(B169,'[1]2022 Team'!$B$2:$G$33,2,FALSE))</f>
        <v>7.0021881838074396E-2</v>
      </c>
      <c r="K169" s="9">
        <v>84.4</v>
      </c>
      <c r="L169" s="5">
        <v>0</v>
      </c>
    </row>
    <row r="170" spans="1:12" x14ac:dyDescent="0.25">
      <c r="A170" s="5" t="s">
        <v>610</v>
      </c>
      <c r="B170" s="5" t="s">
        <v>50</v>
      </c>
      <c r="C170" s="7" t="s">
        <v>153</v>
      </c>
      <c r="D170" s="8">
        <v>38</v>
      </c>
      <c r="E170" s="8">
        <v>27</v>
      </c>
      <c r="F170" s="8">
        <v>245</v>
      </c>
      <c r="G170" s="5">
        <v>9.1</v>
      </c>
      <c r="H170" s="5">
        <v>0</v>
      </c>
      <c r="I170" s="6">
        <f t="shared" si="2"/>
        <v>0</v>
      </c>
      <c r="J170" s="6">
        <f>D170/(VLOOKUP(B170,'[1]2022 Team'!$B$2:$G$33,2,FALSE))</f>
        <v>7.0370370370370375E-2</v>
      </c>
      <c r="K170" s="9">
        <v>71.099999999999994</v>
      </c>
      <c r="L170" s="5">
        <v>1</v>
      </c>
    </row>
    <row r="171" spans="1:12" x14ac:dyDescent="0.25">
      <c r="A171" s="5" t="s">
        <v>240</v>
      </c>
      <c r="B171" s="5" t="s">
        <v>64</v>
      </c>
      <c r="C171" s="7" t="s">
        <v>159</v>
      </c>
      <c r="D171" s="8">
        <v>35</v>
      </c>
      <c r="E171" s="8">
        <v>27</v>
      </c>
      <c r="F171" s="8">
        <v>165</v>
      </c>
      <c r="G171" s="5">
        <v>6.1</v>
      </c>
      <c r="H171" s="5">
        <v>0</v>
      </c>
      <c r="I171" s="6">
        <f t="shared" si="2"/>
        <v>0</v>
      </c>
      <c r="J171" s="6">
        <f>D171/(VLOOKUP(B171,'[1]2022 Team'!$B$2:$G$33,2,FALSE))</f>
        <v>6.1082024432809773E-2</v>
      </c>
      <c r="K171" s="9">
        <v>77.099999999999994</v>
      </c>
      <c r="L171" s="5">
        <v>0</v>
      </c>
    </row>
    <row r="172" spans="1:12" x14ac:dyDescent="0.25">
      <c r="A172" s="5" t="s">
        <v>1662</v>
      </c>
      <c r="B172" s="5" t="s">
        <v>52</v>
      </c>
      <c r="C172" s="7" t="s">
        <v>159</v>
      </c>
      <c r="D172" s="8">
        <v>1</v>
      </c>
      <c r="E172" s="8">
        <v>1</v>
      </c>
      <c r="F172" s="8">
        <v>8</v>
      </c>
      <c r="G172" s="5">
        <v>8</v>
      </c>
      <c r="H172" s="5">
        <v>0</v>
      </c>
      <c r="I172" s="6">
        <f t="shared" si="2"/>
        <v>0</v>
      </c>
      <c r="J172" s="6">
        <f>D172/(VLOOKUP(B172,'[1]2022 Team'!$B$2:$G$33,2,FALSE))</f>
        <v>1.953125E-3</v>
      </c>
      <c r="K172" s="9">
        <v>100</v>
      </c>
      <c r="L172" s="5">
        <v>0</v>
      </c>
    </row>
    <row r="173" spans="1:12" x14ac:dyDescent="0.25">
      <c r="A173" s="5" t="s">
        <v>1662</v>
      </c>
      <c r="B173" s="5" t="s">
        <v>26</v>
      </c>
      <c r="C173" s="7" t="s">
        <v>159</v>
      </c>
      <c r="D173" s="8">
        <v>34</v>
      </c>
      <c r="E173" s="8">
        <v>26</v>
      </c>
      <c r="F173" s="8">
        <v>124</v>
      </c>
      <c r="G173" s="5">
        <v>4.8</v>
      </c>
      <c r="H173" s="5">
        <v>0</v>
      </c>
      <c r="I173" s="6">
        <f t="shared" si="2"/>
        <v>0</v>
      </c>
      <c r="J173" s="6">
        <f>D173/(VLOOKUP(B173,'[1]2022 Team'!$B$2:$G$33,2,FALSE))</f>
        <v>5.9544658493870403E-2</v>
      </c>
      <c r="K173" s="9">
        <v>76.5</v>
      </c>
      <c r="L173" s="5">
        <v>1</v>
      </c>
    </row>
    <row r="174" spans="1:12" x14ac:dyDescent="0.25">
      <c r="A174" s="5" t="s">
        <v>567</v>
      </c>
      <c r="B174" s="5" t="s">
        <v>40</v>
      </c>
      <c r="C174" s="7" t="s">
        <v>159</v>
      </c>
      <c r="D174" s="8">
        <v>32</v>
      </c>
      <c r="E174" s="8">
        <v>25</v>
      </c>
      <c r="F174" s="8">
        <v>211</v>
      </c>
      <c r="G174" s="5">
        <v>8.4</v>
      </c>
      <c r="H174" s="5">
        <v>1</v>
      </c>
      <c r="I174" s="6">
        <f t="shared" si="2"/>
        <v>0.04</v>
      </c>
      <c r="J174" s="6">
        <f>D174/(VLOOKUP(B174,'[1]2022 Team'!$B$2:$G$33,2,FALSE))</f>
        <v>5.4607508532423209E-2</v>
      </c>
      <c r="K174" s="9">
        <v>78.099999999999994</v>
      </c>
      <c r="L174" s="5">
        <v>0</v>
      </c>
    </row>
    <row r="175" spans="1:12" x14ac:dyDescent="0.25">
      <c r="A175" s="5" t="s">
        <v>1688</v>
      </c>
      <c r="B175" s="5" t="s">
        <v>26</v>
      </c>
      <c r="C175" s="7" t="s">
        <v>159</v>
      </c>
      <c r="D175" s="8">
        <v>32</v>
      </c>
      <c r="E175" s="8">
        <v>25</v>
      </c>
      <c r="F175" s="8">
        <v>223</v>
      </c>
      <c r="G175" s="5">
        <v>8.9</v>
      </c>
      <c r="H175" s="5">
        <v>0</v>
      </c>
      <c r="I175" s="6">
        <f t="shared" si="2"/>
        <v>0</v>
      </c>
      <c r="J175" s="6">
        <f>D175/(VLOOKUP(B175,'[1]2022 Team'!$B$2:$G$33,2,FALSE))</f>
        <v>5.6042031523642732E-2</v>
      </c>
      <c r="K175" s="9">
        <v>78.099999999999994</v>
      </c>
      <c r="L175" s="5">
        <v>5</v>
      </c>
    </row>
    <row r="176" spans="1:12" x14ac:dyDescent="0.25">
      <c r="A176" s="5" t="s">
        <v>822</v>
      </c>
      <c r="B176" s="5" t="s">
        <v>38</v>
      </c>
      <c r="C176" s="7" t="s">
        <v>163</v>
      </c>
      <c r="D176" s="8">
        <v>34</v>
      </c>
      <c r="E176" s="8">
        <v>25</v>
      </c>
      <c r="F176" s="8">
        <v>297</v>
      </c>
      <c r="G176" s="5">
        <v>11.9</v>
      </c>
      <c r="H176" s="5">
        <v>4</v>
      </c>
      <c r="I176" s="6">
        <f t="shared" si="2"/>
        <v>0.16</v>
      </c>
      <c r="J176" s="6">
        <f>D176/(VLOOKUP(B176,'[1]2022 Team'!$B$2:$G$33,2,FALSE))</f>
        <v>5.2227342549923193E-2</v>
      </c>
      <c r="K176" s="9">
        <v>73.5</v>
      </c>
      <c r="L176" s="5">
        <v>1</v>
      </c>
    </row>
    <row r="177" spans="1:12" x14ac:dyDescent="0.25">
      <c r="A177" s="5" t="s">
        <v>2403</v>
      </c>
      <c r="B177" s="5" t="s">
        <v>52</v>
      </c>
      <c r="C177" s="7" t="s">
        <v>163</v>
      </c>
      <c r="D177" s="8">
        <v>39</v>
      </c>
      <c r="E177" s="8">
        <v>25</v>
      </c>
      <c r="F177" s="8">
        <v>272</v>
      </c>
      <c r="G177" s="5">
        <v>10.9</v>
      </c>
      <c r="H177" s="5">
        <v>1</v>
      </c>
      <c r="I177" s="6">
        <f t="shared" si="2"/>
        <v>0.04</v>
      </c>
      <c r="J177" s="6">
        <f>D177/(VLOOKUP(B177,'[1]2022 Team'!$B$2:$G$33,2,FALSE))</f>
        <v>7.6171875E-2</v>
      </c>
      <c r="K177" s="9">
        <v>64.099999999999994</v>
      </c>
      <c r="L177" s="5">
        <v>1</v>
      </c>
    </row>
    <row r="178" spans="1:12" x14ac:dyDescent="0.25">
      <c r="A178" s="5" t="s">
        <v>929</v>
      </c>
      <c r="B178" s="5" t="s">
        <v>64</v>
      </c>
      <c r="C178" s="7" t="s">
        <v>153</v>
      </c>
      <c r="D178" s="8">
        <v>34</v>
      </c>
      <c r="E178" s="8">
        <v>25</v>
      </c>
      <c r="F178" s="8">
        <v>322</v>
      </c>
      <c r="G178" s="5">
        <v>12.9</v>
      </c>
      <c r="H178" s="5">
        <v>2</v>
      </c>
      <c r="I178" s="6">
        <f t="shared" si="2"/>
        <v>0.08</v>
      </c>
      <c r="J178" s="6">
        <f>D178/(VLOOKUP(B178,'[1]2022 Team'!$B$2:$G$33,2,FALSE))</f>
        <v>5.9336823734729496E-2</v>
      </c>
      <c r="K178" s="9">
        <v>73.5</v>
      </c>
      <c r="L178" s="5">
        <v>0</v>
      </c>
    </row>
    <row r="179" spans="1:12" x14ac:dyDescent="0.25">
      <c r="A179" s="5" t="s">
        <v>1844</v>
      </c>
      <c r="B179" s="5" t="s">
        <v>48</v>
      </c>
      <c r="C179" s="7" t="s">
        <v>153</v>
      </c>
      <c r="D179" s="8">
        <v>36</v>
      </c>
      <c r="E179" s="8">
        <v>25</v>
      </c>
      <c r="F179" s="8">
        <v>182</v>
      </c>
      <c r="G179" s="5">
        <v>7.3</v>
      </c>
      <c r="H179" s="5">
        <v>2</v>
      </c>
      <c r="I179" s="6">
        <f t="shared" si="2"/>
        <v>0.08</v>
      </c>
      <c r="J179" s="6">
        <f>D179/(VLOOKUP(B179,'[1]2022 Team'!$B$2:$G$33,2,FALSE))</f>
        <v>5.3571428571428568E-2</v>
      </c>
      <c r="K179" s="9">
        <v>69.400000000000006</v>
      </c>
      <c r="L179" s="5">
        <v>1</v>
      </c>
    </row>
    <row r="180" spans="1:12" x14ac:dyDescent="0.25">
      <c r="A180" s="5" t="s">
        <v>947</v>
      </c>
      <c r="B180" s="5" t="s">
        <v>68</v>
      </c>
      <c r="C180" s="7" t="s">
        <v>163</v>
      </c>
      <c r="D180" s="8">
        <v>50</v>
      </c>
      <c r="E180" s="8">
        <v>25</v>
      </c>
      <c r="F180" s="8">
        <v>397</v>
      </c>
      <c r="G180" s="5">
        <v>15.9</v>
      </c>
      <c r="H180" s="5">
        <v>3</v>
      </c>
      <c r="I180" s="6">
        <f t="shared" si="2"/>
        <v>0.12</v>
      </c>
      <c r="J180" s="6">
        <f>D180/(VLOOKUP(B180,'[1]2022 Team'!$B$2:$G$33,2,FALSE))</f>
        <v>0.10964912280701754</v>
      </c>
      <c r="K180" s="9">
        <v>50</v>
      </c>
      <c r="L180" s="5">
        <v>0</v>
      </c>
    </row>
    <row r="181" spans="1:12" x14ac:dyDescent="0.25">
      <c r="A181" s="5" t="s">
        <v>987</v>
      </c>
      <c r="B181" s="5" t="s">
        <v>34</v>
      </c>
      <c r="C181" s="7" t="s">
        <v>153</v>
      </c>
      <c r="D181" s="8">
        <v>40</v>
      </c>
      <c r="E181" s="8">
        <v>25</v>
      </c>
      <c r="F181" s="8">
        <v>312</v>
      </c>
      <c r="G181" s="5">
        <v>12.5</v>
      </c>
      <c r="H181" s="5">
        <v>3</v>
      </c>
      <c r="I181" s="6">
        <f t="shared" si="2"/>
        <v>0.12</v>
      </c>
      <c r="J181" s="6">
        <f>D181/(VLOOKUP(B181,'[1]2022 Team'!$B$2:$G$33,2,FALSE))</f>
        <v>6.6225165562913912E-2</v>
      </c>
      <c r="K181" s="9">
        <v>62.5</v>
      </c>
      <c r="L181" s="5">
        <v>1</v>
      </c>
    </row>
    <row r="182" spans="1:12" x14ac:dyDescent="0.25">
      <c r="A182" s="5" t="s">
        <v>2407</v>
      </c>
      <c r="B182" s="5" t="s">
        <v>8</v>
      </c>
      <c r="C182" s="7" t="s">
        <v>159</v>
      </c>
      <c r="D182" s="8">
        <v>33</v>
      </c>
      <c r="E182" s="8">
        <v>24</v>
      </c>
      <c r="F182" s="8">
        <v>184</v>
      </c>
      <c r="G182" s="5">
        <v>7.7</v>
      </c>
      <c r="H182" s="5">
        <v>0</v>
      </c>
      <c r="I182" s="6">
        <f t="shared" si="2"/>
        <v>0</v>
      </c>
      <c r="J182" s="6">
        <f>D182/(VLOOKUP(B182,'[1]2022 Team'!$B$2:$G$33,2,FALSE))</f>
        <v>4.9698795180722892E-2</v>
      </c>
      <c r="K182" s="9">
        <v>72.7</v>
      </c>
      <c r="L182" s="5">
        <v>0</v>
      </c>
    </row>
    <row r="183" spans="1:12" x14ac:dyDescent="0.25">
      <c r="A183" s="5" t="s">
        <v>2407</v>
      </c>
      <c r="B183" s="5" t="s">
        <v>32</v>
      </c>
      <c r="C183" s="7" t="s">
        <v>159</v>
      </c>
      <c r="D183" s="8">
        <v>0</v>
      </c>
      <c r="E183" s="8">
        <v>0</v>
      </c>
      <c r="F183" s="8">
        <v>0</v>
      </c>
      <c r="G183" s="5"/>
      <c r="H183" s="5">
        <v>0</v>
      </c>
      <c r="I183" s="6" t="e">
        <f t="shared" si="2"/>
        <v>#DIV/0!</v>
      </c>
      <c r="J183" s="6">
        <f>D183/(VLOOKUP(B183,'[1]2022 Team'!$B$2:$G$33,2,FALSE))</f>
        <v>0</v>
      </c>
      <c r="K183" s="9"/>
      <c r="L183" s="5">
        <v>0</v>
      </c>
    </row>
    <row r="184" spans="1:12" x14ac:dyDescent="0.25">
      <c r="A184" s="5" t="s">
        <v>2407</v>
      </c>
      <c r="B184" s="5" t="s">
        <v>52</v>
      </c>
      <c r="C184" s="7" t="s">
        <v>159</v>
      </c>
      <c r="D184" s="8">
        <v>1</v>
      </c>
      <c r="E184" s="8">
        <v>1</v>
      </c>
      <c r="F184" s="8">
        <v>9</v>
      </c>
      <c r="G184" s="5">
        <v>9</v>
      </c>
      <c r="H184" s="5">
        <v>0</v>
      </c>
      <c r="I184" s="6">
        <f t="shared" si="2"/>
        <v>0</v>
      </c>
      <c r="J184" s="6">
        <f>D184/(VLOOKUP(B184,'[1]2022 Team'!$B$2:$G$33,2,FALSE))</f>
        <v>1.953125E-3</v>
      </c>
      <c r="K184" s="9">
        <v>100</v>
      </c>
      <c r="L184" s="5">
        <v>0</v>
      </c>
    </row>
    <row r="185" spans="1:12" x14ac:dyDescent="0.25">
      <c r="A185" s="5" t="s">
        <v>1776</v>
      </c>
      <c r="B185" s="5" t="s">
        <v>22</v>
      </c>
      <c r="C185" s="7" t="s">
        <v>163</v>
      </c>
      <c r="D185" s="8">
        <v>35</v>
      </c>
      <c r="E185" s="8">
        <v>24</v>
      </c>
      <c r="F185" s="8">
        <v>214</v>
      </c>
      <c r="G185" s="5">
        <v>8.9</v>
      </c>
      <c r="H185" s="5">
        <v>0</v>
      </c>
      <c r="I185" s="6">
        <f t="shared" si="2"/>
        <v>0</v>
      </c>
      <c r="J185" s="6">
        <f>D185/(VLOOKUP(B185,'[1]2022 Team'!$B$2:$G$33,2,FALSE))</f>
        <v>6.4814814814814811E-2</v>
      </c>
      <c r="K185" s="9">
        <v>68.599999999999994</v>
      </c>
      <c r="L185" s="5">
        <v>0</v>
      </c>
    </row>
    <row r="186" spans="1:12" x14ac:dyDescent="0.25">
      <c r="A186" s="5" t="s">
        <v>2487</v>
      </c>
      <c r="B186" s="5" t="s">
        <v>8</v>
      </c>
      <c r="C186" s="7" t="s">
        <v>163</v>
      </c>
      <c r="D186" s="8">
        <v>47</v>
      </c>
      <c r="E186" s="8">
        <v>24</v>
      </c>
      <c r="F186" s="8">
        <v>236</v>
      </c>
      <c r="G186" s="5">
        <v>9.8000000000000007</v>
      </c>
      <c r="H186" s="5">
        <v>2</v>
      </c>
      <c r="I186" s="6">
        <f t="shared" si="2"/>
        <v>8.3333333333333329E-2</v>
      </c>
      <c r="J186" s="6">
        <f>D186/(VLOOKUP(B186,'[1]2022 Team'!$B$2:$G$33,2,FALSE))</f>
        <v>7.0783132530120488E-2</v>
      </c>
      <c r="K186" s="9">
        <v>51.1</v>
      </c>
      <c r="L186" s="5">
        <v>0</v>
      </c>
    </row>
    <row r="187" spans="1:12" x14ac:dyDescent="0.25">
      <c r="A187" s="5" t="s">
        <v>2397</v>
      </c>
      <c r="B187" s="5" t="s">
        <v>26</v>
      </c>
      <c r="C187" s="7" t="s">
        <v>163</v>
      </c>
      <c r="D187" s="8">
        <v>33</v>
      </c>
      <c r="E187" s="8">
        <v>24</v>
      </c>
      <c r="F187" s="8">
        <v>311</v>
      </c>
      <c r="G187" s="5">
        <v>13</v>
      </c>
      <c r="H187" s="5">
        <v>0</v>
      </c>
      <c r="I187" s="6">
        <f t="shared" ref="I187:I245" si="3">H187/E187</f>
        <v>0</v>
      </c>
      <c r="J187" s="6">
        <f>D187/(VLOOKUP(B187,'[1]2022 Team'!$B$2:$G$33,2,FALSE))</f>
        <v>5.7793345008756568E-2</v>
      </c>
      <c r="K187" s="9">
        <v>72.7</v>
      </c>
      <c r="L187" s="5">
        <v>0</v>
      </c>
    </row>
    <row r="188" spans="1:12" x14ac:dyDescent="0.25">
      <c r="A188" s="5" t="s">
        <v>1031</v>
      </c>
      <c r="B188" s="5" t="s">
        <v>44</v>
      </c>
      <c r="C188" s="7" t="s">
        <v>163</v>
      </c>
      <c r="D188" s="8">
        <v>44</v>
      </c>
      <c r="E188" s="8">
        <v>24</v>
      </c>
      <c r="F188" s="8">
        <v>369</v>
      </c>
      <c r="G188" s="5">
        <v>15.4</v>
      </c>
      <c r="H188" s="5">
        <v>3</v>
      </c>
      <c r="I188" s="6">
        <f t="shared" si="3"/>
        <v>0.125</v>
      </c>
      <c r="J188" s="6">
        <f>D188/(VLOOKUP(B188,'[1]2022 Team'!$B$2:$G$33,2,FALSE))</f>
        <v>8.2862523540489647E-2</v>
      </c>
      <c r="K188" s="9">
        <v>54.5</v>
      </c>
      <c r="L188" s="5">
        <v>0</v>
      </c>
    </row>
    <row r="189" spans="1:12" x14ac:dyDescent="0.25">
      <c r="A189" s="5" t="s">
        <v>1814</v>
      </c>
      <c r="B189" s="5" t="s">
        <v>66</v>
      </c>
      <c r="C189" s="7" t="s">
        <v>163</v>
      </c>
      <c r="D189" s="8">
        <v>43</v>
      </c>
      <c r="E189" s="8">
        <v>24</v>
      </c>
      <c r="F189" s="8">
        <v>299</v>
      </c>
      <c r="G189" s="5">
        <v>12.5</v>
      </c>
      <c r="H189" s="5">
        <v>2</v>
      </c>
      <c r="I189" s="6">
        <f t="shared" si="3"/>
        <v>8.3333333333333329E-2</v>
      </c>
      <c r="J189" s="6">
        <f>D189/(VLOOKUP(B189,'[1]2022 Team'!$B$2:$G$33,2,FALSE))</f>
        <v>5.7256990679094538E-2</v>
      </c>
      <c r="K189" s="9">
        <v>55.8</v>
      </c>
      <c r="L189" s="5">
        <v>0</v>
      </c>
    </row>
    <row r="190" spans="1:12" x14ac:dyDescent="0.25">
      <c r="A190" s="5" t="s">
        <v>1720</v>
      </c>
      <c r="B190" s="5" t="s">
        <v>44</v>
      </c>
      <c r="C190" s="7" t="s">
        <v>163</v>
      </c>
      <c r="D190" s="8">
        <v>32</v>
      </c>
      <c r="E190" s="8">
        <v>24</v>
      </c>
      <c r="F190" s="8">
        <v>156</v>
      </c>
      <c r="G190" s="5">
        <v>6.5</v>
      </c>
      <c r="H190" s="5">
        <v>0</v>
      </c>
      <c r="I190" s="6">
        <f t="shared" si="3"/>
        <v>0</v>
      </c>
      <c r="J190" s="6">
        <f>D190/(VLOOKUP(B190,'[1]2022 Team'!$B$2:$G$33,2,FALSE))</f>
        <v>6.0263653483992465E-2</v>
      </c>
      <c r="K190" s="9">
        <v>75</v>
      </c>
      <c r="L190" s="5">
        <v>1</v>
      </c>
    </row>
    <row r="191" spans="1:12" x14ac:dyDescent="0.25">
      <c r="A191" s="5" t="s">
        <v>1722</v>
      </c>
      <c r="B191" s="5" t="s">
        <v>36</v>
      </c>
      <c r="C191" s="7" t="s">
        <v>163</v>
      </c>
      <c r="D191" s="8">
        <v>30</v>
      </c>
      <c r="E191" s="8">
        <v>23</v>
      </c>
      <c r="F191" s="8">
        <v>187</v>
      </c>
      <c r="G191" s="5">
        <v>8.1</v>
      </c>
      <c r="H191" s="5">
        <v>3</v>
      </c>
      <c r="I191" s="6">
        <f t="shared" si="3"/>
        <v>0.13043478260869565</v>
      </c>
      <c r="J191" s="6">
        <f>D191/(VLOOKUP(B191,'[1]2022 Team'!$B$2:$G$33,2,FALSE))</f>
        <v>5.0335570469798654E-2</v>
      </c>
      <c r="K191" s="9">
        <v>76.7</v>
      </c>
      <c r="L191" s="5">
        <v>0</v>
      </c>
    </row>
    <row r="192" spans="1:12" x14ac:dyDescent="0.25">
      <c r="A192" s="5" t="s">
        <v>359</v>
      </c>
      <c r="B192" s="5" t="s">
        <v>58</v>
      </c>
      <c r="C192" s="7" t="s">
        <v>159</v>
      </c>
      <c r="D192" s="8">
        <v>29</v>
      </c>
      <c r="E192" s="8">
        <v>23</v>
      </c>
      <c r="F192" s="8">
        <v>169</v>
      </c>
      <c r="G192" s="5">
        <v>7.3</v>
      </c>
      <c r="H192" s="5">
        <v>0</v>
      </c>
      <c r="I192" s="6">
        <f t="shared" si="3"/>
        <v>0</v>
      </c>
      <c r="J192" s="6">
        <f>D192/(VLOOKUP(B192,'[1]2022 Team'!$B$2:$G$33,2,FALSE))</f>
        <v>5.4104477611940295E-2</v>
      </c>
      <c r="K192" s="9">
        <v>79.3</v>
      </c>
      <c r="L192" s="5">
        <v>0</v>
      </c>
    </row>
    <row r="193" spans="1:12" x14ac:dyDescent="0.25">
      <c r="A193" s="5" t="s">
        <v>1001</v>
      </c>
      <c r="B193" s="5" t="s">
        <v>66</v>
      </c>
      <c r="C193" s="7" t="s">
        <v>163</v>
      </c>
      <c r="D193" s="8">
        <v>40</v>
      </c>
      <c r="E193" s="8">
        <v>23</v>
      </c>
      <c r="F193" s="8">
        <v>185</v>
      </c>
      <c r="G193" s="5">
        <v>8</v>
      </c>
      <c r="H193" s="5">
        <v>0</v>
      </c>
      <c r="I193" s="6">
        <f t="shared" si="3"/>
        <v>0</v>
      </c>
      <c r="J193" s="6">
        <f>D193/(VLOOKUP(B193,'[1]2022 Team'!$B$2:$G$33,2,FALSE))</f>
        <v>5.3262316910785618E-2</v>
      </c>
      <c r="K193" s="9">
        <v>57.5</v>
      </c>
      <c r="L193" s="5">
        <v>0</v>
      </c>
    </row>
    <row r="194" spans="1:12" x14ac:dyDescent="0.25">
      <c r="A194" s="5" t="s">
        <v>681</v>
      </c>
      <c r="B194" s="5" t="s">
        <v>54</v>
      </c>
      <c r="C194" s="7" t="s">
        <v>163</v>
      </c>
      <c r="D194" s="8">
        <v>31</v>
      </c>
      <c r="E194" s="8">
        <v>23</v>
      </c>
      <c r="F194" s="8">
        <v>227</v>
      </c>
      <c r="G194" s="5">
        <v>9.9</v>
      </c>
      <c r="H194" s="5">
        <v>1</v>
      </c>
      <c r="I194" s="6">
        <f t="shared" si="3"/>
        <v>4.3478260869565216E-2</v>
      </c>
      <c r="J194" s="6">
        <f>D194/(VLOOKUP(B194,'[1]2022 Team'!$B$2:$G$33,2,FALSE))</f>
        <v>5.9615384615384619E-2</v>
      </c>
      <c r="K194" s="9">
        <v>74.2</v>
      </c>
      <c r="L194" s="5">
        <v>0</v>
      </c>
    </row>
    <row r="195" spans="1:12" x14ac:dyDescent="0.25">
      <c r="A195" s="5" t="s">
        <v>720</v>
      </c>
      <c r="B195" s="5" t="s">
        <v>38</v>
      </c>
      <c r="C195" s="7" t="s">
        <v>163</v>
      </c>
      <c r="D195" s="8">
        <v>33</v>
      </c>
      <c r="E195" s="8">
        <v>22</v>
      </c>
      <c r="F195" s="8">
        <v>250</v>
      </c>
      <c r="G195" s="5">
        <v>11.4</v>
      </c>
      <c r="H195" s="5">
        <v>0</v>
      </c>
      <c r="I195" s="6">
        <f t="shared" si="3"/>
        <v>0</v>
      </c>
      <c r="J195" s="6">
        <f>D195/(VLOOKUP(B195,'[1]2022 Team'!$B$2:$G$33,2,FALSE))</f>
        <v>5.0691244239631339E-2</v>
      </c>
      <c r="K195" s="9">
        <v>66.7</v>
      </c>
      <c r="L195" s="5">
        <v>3</v>
      </c>
    </row>
    <row r="196" spans="1:12" x14ac:dyDescent="0.25">
      <c r="A196" s="5" t="s">
        <v>2520</v>
      </c>
      <c r="B196" s="5" t="s">
        <v>16</v>
      </c>
      <c r="C196" s="7" t="s">
        <v>163</v>
      </c>
      <c r="D196" s="8">
        <v>41</v>
      </c>
      <c r="E196" s="8">
        <v>22</v>
      </c>
      <c r="F196" s="8">
        <v>296</v>
      </c>
      <c r="G196" s="5">
        <v>13.5</v>
      </c>
      <c r="H196" s="5">
        <v>2</v>
      </c>
      <c r="I196" s="6">
        <f t="shared" si="3"/>
        <v>9.0909090909090912E-2</v>
      </c>
      <c r="J196" s="6">
        <f>D196/(VLOOKUP(B196,'[1]2022 Team'!$B$2:$G$33,2,FALSE))</f>
        <v>8.9715536105032828E-2</v>
      </c>
      <c r="K196" s="9">
        <v>53.7</v>
      </c>
      <c r="L196" s="5">
        <v>4</v>
      </c>
    </row>
    <row r="197" spans="1:12" x14ac:dyDescent="0.25">
      <c r="A197" s="5" t="s">
        <v>913</v>
      </c>
      <c r="B197" s="5" t="s">
        <v>50</v>
      </c>
      <c r="C197" s="7" t="s">
        <v>163</v>
      </c>
      <c r="D197" s="8">
        <v>45</v>
      </c>
      <c r="E197" s="8">
        <v>22</v>
      </c>
      <c r="F197" s="8">
        <v>247</v>
      </c>
      <c r="G197" s="5">
        <v>11.2</v>
      </c>
      <c r="H197" s="5">
        <v>2</v>
      </c>
      <c r="I197" s="6">
        <f t="shared" si="3"/>
        <v>9.0909090909090912E-2</v>
      </c>
      <c r="J197" s="6">
        <f>D197/(VLOOKUP(B197,'[1]2022 Team'!$B$2:$G$33,2,FALSE))</f>
        <v>8.3333333333333329E-2</v>
      </c>
      <c r="K197" s="9">
        <v>48.9</v>
      </c>
      <c r="L197" s="5">
        <v>0</v>
      </c>
    </row>
    <row r="198" spans="1:12" x14ac:dyDescent="0.25">
      <c r="A198" s="5" t="s">
        <v>1678</v>
      </c>
      <c r="B198" s="5" t="s">
        <v>62</v>
      </c>
      <c r="C198" s="7" t="s">
        <v>159</v>
      </c>
      <c r="D198" s="8">
        <v>13</v>
      </c>
      <c r="E198" s="8">
        <v>10</v>
      </c>
      <c r="F198" s="8">
        <v>91</v>
      </c>
      <c r="G198" s="5">
        <v>9.1</v>
      </c>
      <c r="H198" s="5">
        <v>0</v>
      </c>
      <c r="I198" s="6">
        <f t="shared" si="3"/>
        <v>0</v>
      </c>
      <c r="J198" s="6">
        <f>D198/(VLOOKUP(B198,'[1]2022 Team'!$B$2:$G$33,2,FALSE))</f>
        <v>2.5390625E-2</v>
      </c>
      <c r="K198" s="9">
        <v>76.900000000000006</v>
      </c>
      <c r="L198" s="5">
        <v>2</v>
      </c>
    </row>
    <row r="199" spans="1:12" x14ac:dyDescent="0.25">
      <c r="A199" s="5" t="s">
        <v>1678</v>
      </c>
      <c r="B199" s="5" t="s">
        <v>46</v>
      </c>
      <c r="C199" s="7" t="s">
        <v>159</v>
      </c>
      <c r="D199" s="8">
        <v>24</v>
      </c>
      <c r="E199" s="8">
        <v>12</v>
      </c>
      <c r="F199" s="8">
        <v>94</v>
      </c>
      <c r="G199" s="5">
        <v>7.8</v>
      </c>
      <c r="H199" s="5">
        <v>1</v>
      </c>
      <c r="I199" s="6">
        <f t="shared" si="3"/>
        <v>8.3333333333333329E-2</v>
      </c>
      <c r="J199" s="6">
        <f>D199/(VLOOKUP(B199,'[1]2022 Team'!$B$2:$G$33,2,FALSE))</f>
        <v>4.1095890410958902E-2</v>
      </c>
      <c r="K199" s="9">
        <v>50</v>
      </c>
      <c r="L199" s="5">
        <v>1</v>
      </c>
    </row>
    <row r="200" spans="1:12" x14ac:dyDescent="0.25">
      <c r="A200" s="5" t="s">
        <v>195</v>
      </c>
      <c r="B200" s="5" t="s">
        <v>14</v>
      </c>
      <c r="C200" s="7" t="s">
        <v>159</v>
      </c>
      <c r="D200" s="8">
        <v>32</v>
      </c>
      <c r="E200" s="8">
        <v>21</v>
      </c>
      <c r="F200" s="8">
        <v>180</v>
      </c>
      <c r="G200" s="5">
        <v>8.6</v>
      </c>
      <c r="H200" s="5">
        <v>1</v>
      </c>
      <c r="I200" s="6">
        <f t="shared" si="3"/>
        <v>4.7619047619047616E-2</v>
      </c>
      <c r="J200" s="6">
        <f>D200/(VLOOKUP(B200,'[1]2022 Team'!$B$2:$G$33,2,FALSE))</f>
        <v>5.5749128919860627E-2</v>
      </c>
      <c r="K200" s="9">
        <v>65.599999999999994</v>
      </c>
      <c r="L200" s="5">
        <v>1</v>
      </c>
    </row>
    <row r="201" spans="1:12" x14ac:dyDescent="0.25">
      <c r="A201" s="5" t="s">
        <v>2413</v>
      </c>
      <c r="B201" s="5" t="s">
        <v>68</v>
      </c>
      <c r="C201" s="7" t="s">
        <v>159</v>
      </c>
      <c r="D201" s="8">
        <v>26</v>
      </c>
      <c r="E201" s="8">
        <v>21</v>
      </c>
      <c r="F201" s="8">
        <v>177</v>
      </c>
      <c r="G201" s="5">
        <v>8.4</v>
      </c>
      <c r="H201" s="5">
        <v>4</v>
      </c>
      <c r="I201" s="6">
        <f t="shared" si="3"/>
        <v>0.19047619047619047</v>
      </c>
      <c r="J201" s="6">
        <f>D201/(VLOOKUP(B201,'[1]2022 Team'!$B$2:$G$33,2,FALSE))</f>
        <v>5.701754385964912E-2</v>
      </c>
      <c r="K201" s="9">
        <v>80.8</v>
      </c>
      <c r="L201" s="5">
        <v>0</v>
      </c>
    </row>
    <row r="202" spans="1:12" x14ac:dyDescent="0.25">
      <c r="A202" s="5" t="s">
        <v>1674</v>
      </c>
      <c r="B202" s="5" t="s">
        <v>10</v>
      </c>
      <c r="C202" s="7" t="s">
        <v>159</v>
      </c>
      <c r="D202" s="8">
        <v>31</v>
      </c>
      <c r="E202" s="8">
        <v>21</v>
      </c>
      <c r="F202" s="8">
        <v>122</v>
      </c>
      <c r="G202" s="5">
        <v>5.8</v>
      </c>
      <c r="H202" s="5">
        <v>0</v>
      </c>
      <c r="I202" s="6">
        <f t="shared" si="3"/>
        <v>0</v>
      </c>
      <c r="J202" s="6">
        <f>D202/(VLOOKUP(B202,'[1]2022 Team'!$B$2:$G$33,2,FALSE))</f>
        <v>7.4698795180722893E-2</v>
      </c>
      <c r="K202" s="9">
        <v>67.7</v>
      </c>
      <c r="L202" s="5">
        <v>1</v>
      </c>
    </row>
    <row r="203" spans="1:12" x14ac:dyDescent="0.25">
      <c r="A203" s="5" t="s">
        <v>1847</v>
      </c>
      <c r="B203" s="5" t="s">
        <v>18</v>
      </c>
      <c r="C203" s="7" t="s">
        <v>163</v>
      </c>
      <c r="D203" s="8">
        <v>38</v>
      </c>
      <c r="E203" s="8">
        <v>21</v>
      </c>
      <c r="F203" s="8">
        <v>323</v>
      </c>
      <c r="G203" s="5">
        <v>15.4</v>
      </c>
      <c r="H203" s="5">
        <v>1</v>
      </c>
      <c r="I203" s="6">
        <f t="shared" si="3"/>
        <v>4.7619047619047616E-2</v>
      </c>
      <c r="J203" s="6">
        <f>D203/(VLOOKUP(B203,'[1]2022 Team'!$B$2:$G$33,2,FALSE))</f>
        <v>0.10079575596816977</v>
      </c>
      <c r="K203" s="9">
        <v>55.3</v>
      </c>
      <c r="L203" s="5">
        <v>1</v>
      </c>
    </row>
    <row r="204" spans="1:12" x14ac:dyDescent="0.25">
      <c r="A204" s="5" t="s">
        <v>939</v>
      </c>
      <c r="B204" s="5" t="s">
        <v>16</v>
      </c>
      <c r="C204" s="7" t="s">
        <v>153</v>
      </c>
      <c r="D204" s="8">
        <v>30</v>
      </c>
      <c r="E204" s="8">
        <v>21</v>
      </c>
      <c r="F204" s="8">
        <v>197</v>
      </c>
      <c r="G204" s="5">
        <v>9.4</v>
      </c>
      <c r="H204" s="5">
        <v>0</v>
      </c>
      <c r="I204" s="6">
        <f t="shared" si="3"/>
        <v>0</v>
      </c>
      <c r="J204" s="6">
        <f>D204/(VLOOKUP(B204,'[1]2022 Team'!$B$2:$G$33,2,FALSE))</f>
        <v>6.5645514223194742E-2</v>
      </c>
      <c r="K204" s="9">
        <v>70</v>
      </c>
      <c r="L204" s="5">
        <v>0</v>
      </c>
    </row>
    <row r="205" spans="1:12" x14ac:dyDescent="0.25">
      <c r="A205" s="5" t="s">
        <v>1857</v>
      </c>
      <c r="B205" s="5" t="s">
        <v>56</v>
      </c>
      <c r="C205" s="7" t="s">
        <v>153</v>
      </c>
      <c r="D205" s="8">
        <v>27</v>
      </c>
      <c r="E205" s="8">
        <v>21</v>
      </c>
      <c r="F205" s="8">
        <v>232</v>
      </c>
      <c r="G205" s="5">
        <v>11</v>
      </c>
      <c r="H205" s="5">
        <v>2</v>
      </c>
      <c r="I205" s="6">
        <f t="shared" si="3"/>
        <v>9.5238095238095233E-2</v>
      </c>
      <c r="J205" s="6">
        <f>D205/(VLOOKUP(B205,'[1]2022 Team'!$B$2:$G$33,2,FALSE))</f>
        <v>4.3062200956937802E-2</v>
      </c>
      <c r="K205" s="9">
        <v>77.8</v>
      </c>
      <c r="L205" s="5">
        <v>0</v>
      </c>
    </row>
    <row r="206" spans="1:12" x14ac:dyDescent="0.25">
      <c r="A206" s="5" t="s">
        <v>2467</v>
      </c>
      <c r="B206" s="5" t="s">
        <v>66</v>
      </c>
      <c r="C206" s="7" t="s">
        <v>153</v>
      </c>
      <c r="D206" s="8">
        <v>38</v>
      </c>
      <c r="E206" s="8">
        <v>20</v>
      </c>
      <c r="F206" s="8">
        <v>174</v>
      </c>
      <c r="G206" s="5">
        <v>8.6999999999999993</v>
      </c>
      <c r="H206" s="5">
        <v>0</v>
      </c>
      <c r="I206" s="6">
        <f t="shared" si="3"/>
        <v>0</v>
      </c>
      <c r="J206" s="6">
        <f>D206/(VLOOKUP(B206,'[1]2022 Team'!$B$2:$G$33,2,FALSE))</f>
        <v>5.0599201065246339E-2</v>
      </c>
      <c r="K206" s="9">
        <v>52.6</v>
      </c>
      <c r="L206" s="5">
        <v>0</v>
      </c>
    </row>
    <row r="207" spans="1:12" x14ac:dyDescent="0.25">
      <c r="A207" s="5" t="s">
        <v>1673</v>
      </c>
      <c r="B207" s="5" t="s">
        <v>54</v>
      </c>
      <c r="C207" s="7" t="s">
        <v>159</v>
      </c>
      <c r="D207" s="8">
        <v>25</v>
      </c>
      <c r="E207" s="8">
        <v>20</v>
      </c>
      <c r="F207" s="8">
        <v>118</v>
      </c>
      <c r="G207" s="5">
        <v>5.9</v>
      </c>
      <c r="H207" s="5">
        <v>0</v>
      </c>
      <c r="I207" s="6">
        <f t="shared" si="3"/>
        <v>0</v>
      </c>
      <c r="J207" s="6">
        <f>D207/(VLOOKUP(B207,'[1]2022 Team'!$B$2:$G$33,2,FALSE))</f>
        <v>4.807692307692308E-2</v>
      </c>
      <c r="K207" s="9">
        <v>80</v>
      </c>
      <c r="L207" s="5">
        <v>0</v>
      </c>
    </row>
    <row r="208" spans="1:12" x14ac:dyDescent="0.25">
      <c r="A208" s="5" t="s">
        <v>1790</v>
      </c>
      <c r="B208" s="5" t="s">
        <v>32</v>
      </c>
      <c r="C208" s="7" t="s">
        <v>163</v>
      </c>
      <c r="D208" s="8">
        <v>40</v>
      </c>
      <c r="E208" s="8">
        <v>20</v>
      </c>
      <c r="F208" s="8">
        <v>257</v>
      </c>
      <c r="G208" s="5">
        <v>12.9</v>
      </c>
      <c r="H208" s="5">
        <v>1</v>
      </c>
      <c r="I208" s="6">
        <f t="shared" si="3"/>
        <v>0.05</v>
      </c>
      <c r="J208" s="6">
        <f>D208/(VLOOKUP(B208,'[1]2022 Team'!$B$2:$G$33,2,FALSE))</f>
        <v>6.9084628670120898E-2</v>
      </c>
      <c r="K208" s="9">
        <v>50</v>
      </c>
      <c r="L208" s="5">
        <v>0</v>
      </c>
    </row>
    <row r="209" spans="1:12" x14ac:dyDescent="0.25">
      <c r="A209" s="5" t="s">
        <v>1803</v>
      </c>
      <c r="B209" s="5" t="s">
        <v>36</v>
      </c>
      <c r="C209" s="7" t="s">
        <v>159</v>
      </c>
      <c r="D209" s="8">
        <v>26</v>
      </c>
      <c r="E209" s="8">
        <v>20</v>
      </c>
      <c r="F209" s="8">
        <v>126</v>
      </c>
      <c r="G209" s="5">
        <v>6.3</v>
      </c>
      <c r="H209" s="5">
        <v>1</v>
      </c>
      <c r="I209" s="6">
        <f t="shared" si="3"/>
        <v>0.05</v>
      </c>
      <c r="J209" s="6">
        <f>D209/(VLOOKUP(B209,'[1]2022 Team'!$B$2:$G$33,2,FALSE))</f>
        <v>4.3624161073825503E-2</v>
      </c>
      <c r="K209" s="9">
        <v>76.900000000000006</v>
      </c>
      <c r="L209" s="5">
        <v>0</v>
      </c>
    </row>
    <row r="210" spans="1:12" x14ac:dyDescent="0.25">
      <c r="A210" s="5" t="s">
        <v>595</v>
      </c>
      <c r="B210" s="5" t="s">
        <v>32</v>
      </c>
      <c r="C210" s="7" t="s">
        <v>159</v>
      </c>
      <c r="D210" s="8">
        <v>26</v>
      </c>
      <c r="E210" s="8">
        <v>20</v>
      </c>
      <c r="F210" s="8">
        <v>104</v>
      </c>
      <c r="G210" s="5">
        <v>5.2</v>
      </c>
      <c r="H210" s="5">
        <v>0</v>
      </c>
      <c r="I210" s="6">
        <f t="shared" si="3"/>
        <v>0</v>
      </c>
      <c r="J210" s="6">
        <f>D210/(VLOOKUP(B210,'[1]2022 Team'!$B$2:$G$33,2,FALSE))</f>
        <v>4.4905008635578586E-2</v>
      </c>
      <c r="K210" s="9">
        <v>76.900000000000006</v>
      </c>
      <c r="L210" s="5">
        <v>0</v>
      </c>
    </row>
    <row r="211" spans="1:12" x14ac:dyDescent="0.25">
      <c r="A211" s="5" t="s">
        <v>545</v>
      </c>
      <c r="B211" s="5" t="s">
        <v>58</v>
      </c>
      <c r="C211" s="7" t="s">
        <v>159</v>
      </c>
      <c r="D211" s="8">
        <v>26</v>
      </c>
      <c r="E211" s="8">
        <v>20</v>
      </c>
      <c r="F211" s="8">
        <v>78</v>
      </c>
      <c r="G211" s="5">
        <v>3.9</v>
      </c>
      <c r="H211" s="5">
        <v>0</v>
      </c>
      <c r="I211" s="6">
        <f t="shared" si="3"/>
        <v>0</v>
      </c>
      <c r="J211" s="6">
        <f>D211/(VLOOKUP(B211,'[1]2022 Team'!$B$2:$G$33,2,FALSE))</f>
        <v>4.8507462686567165E-2</v>
      </c>
      <c r="K211" s="9">
        <v>76.900000000000006</v>
      </c>
      <c r="L211" s="5">
        <v>2</v>
      </c>
    </row>
    <row r="212" spans="1:12" x14ac:dyDescent="0.25">
      <c r="A212" s="5" t="s">
        <v>1043</v>
      </c>
      <c r="B212" s="5" t="s">
        <v>16</v>
      </c>
      <c r="C212" s="7" t="s">
        <v>163</v>
      </c>
      <c r="D212" s="8">
        <v>27</v>
      </c>
      <c r="E212" s="8">
        <v>13</v>
      </c>
      <c r="F212" s="8">
        <v>206</v>
      </c>
      <c r="G212" s="5">
        <v>15.8</v>
      </c>
      <c r="H212" s="5">
        <v>1</v>
      </c>
      <c r="I212" s="6">
        <f t="shared" si="3"/>
        <v>7.6923076923076927E-2</v>
      </c>
      <c r="J212" s="6">
        <f>D212/(VLOOKUP(B212,'[1]2022 Team'!$B$2:$G$33,2,FALSE))</f>
        <v>5.9080962800875277E-2</v>
      </c>
      <c r="K212" s="9">
        <v>48.1</v>
      </c>
      <c r="L212" s="5">
        <v>1</v>
      </c>
    </row>
    <row r="213" spans="1:12" x14ac:dyDescent="0.25">
      <c r="A213" s="5" t="s">
        <v>1043</v>
      </c>
      <c r="B213" s="5" t="s">
        <v>8</v>
      </c>
      <c r="C213" s="7" t="s">
        <v>163</v>
      </c>
      <c r="D213" s="8">
        <v>17</v>
      </c>
      <c r="E213" s="8">
        <v>7</v>
      </c>
      <c r="F213" s="8">
        <v>76</v>
      </c>
      <c r="G213" s="5">
        <v>10.9</v>
      </c>
      <c r="H213" s="5">
        <v>0</v>
      </c>
      <c r="I213" s="6">
        <f t="shared" si="3"/>
        <v>0</v>
      </c>
      <c r="J213" s="6">
        <f>D213/(VLOOKUP(B213,'[1]2022 Team'!$B$2:$G$33,2,FALSE))</f>
        <v>2.5602409638554216E-2</v>
      </c>
      <c r="K213" s="9">
        <v>41.2</v>
      </c>
      <c r="L213" s="5">
        <v>0</v>
      </c>
    </row>
    <row r="214" spans="1:12" x14ac:dyDescent="0.25">
      <c r="A214" s="5" t="s">
        <v>892</v>
      </c>
      <c r="B214" s="5" t="s">
        <v>34</v>
      </c>
      <c r="C214" s="7" t="s">
        <v>153</v>
      </c>
      <c r="D214" s="8">
        <v>28</v>
      </c>
      <c r="E214" s="8">
        <v>19</v>
      </c>
      <c r="F214" s="8">
        <v>189</v>
      </c>
      <c r="G214" s="5">
        <v>9.9</v>
      </c>
      <c r="H214" s="5">
        <v>3</v>
      </c>
      <c r="I214" s="6">
        <f t="shared" si="3"/>
        <v>0.15789473684210525</v>
      </c>
      <c r="J214" s="6">
        <f>D214/(VLOOKUP(B214,'[1]2022 Team'!$B$2:$G$33,2,FALSE))</f>
        <v>4.6357615894039736E-2</v>
      </c>
      <c r="K214" s="9">
        <v>67.900000000000006</v>
      </c>
      <c r="L214" s="5">
        <v>1</v>
      </c>
    </row>
    <row r="215" spans="1:12" x14ac:dyDescent="0.25">
      <c r="A215" s="5" t="s">
        <v>784</v>
      </c>
      <c r="B215" s="5" t="s">
        <v>24</v>
      </c>
      <c r="C215" s="7" t="s">
        <v>153</v>
      </c>
      <c r="D215" s="8">
        <v>22</v>
      </c>
      <c r="E215" s="8">
        <v>19</v>
      </c>
      <c r="F215" s="8">
        <v>174</v>
      </c>
      <c r="G215" s="5">
        <v>9.1999999999999993</v>
      </c>
      <c r="H215" s="5">
        <v>2</v>
      </c>
      <c r="I215" s="6">
        <f t="shared" si="3"/>
        <v>0.10526315789473684</v>
      </c>
      <c r="J215" s="6">
        <f>D215/(VLOOKUP(B215,'[1]2022 Team'!$B$2:$G$33,2,FALSE))</f>
        <v>3.9568345323741004E-2</v>
      </c>
      <c r="K215" s="9">
        <v>86.4</v>
      </c>
      <c r="L215" s="5">
        <v>0</v>
      </c>
    </row>
    <row r="216" spans="1:12" x14ac:dyDescent="0.25">
      <c r="A216" s="5" t="s">
        <v>2483</v>
      </c>
      <c r="B216" s="5" t="s">
        <v>60</v>
      </c>
      <c r="C216" s="7" t="s">
        <v>153</v>
      </c>
      <c r="D216" s="8">
        <v>23</v>
      </c>
      <c r="E216" s="8">
        <v>19</v>
      </c>
      <c r="F216" s="8">
        <v>132</v>
      </c>
      <c r="G216" s="5">
        <v>6.9</v>
      </c>
      <c r="H216" s="5">
        <v>0</v>
      </c>
      <c r="I216" s="6">
        <f t="shared" si="3"/>
        <v>0</v>
      </c>
      <c r="J216" s="6">
        <f>D216/(VLOOKUP(B216,'[1]2022 Team'!$B$2:$G$33,2,FALSE))</f>
        <v>4.0280210157618214E-2</v>
      </c>
      <c r="K216" s="9">
        <v>82.6</v>
      </c>
      <c r="L216" s="5">
        <v>0</v>
      </c>
    </row>
    <row r="217" spans="1:12" x14ac:dyDescent="0.25">
      <c r="A217" s="5" t="s">
        <v>178</v>
      </c>
      <c r="B217" s="5" t="s">
        <v>56</v>
      </c>
      <c r="C217" s="7" t="s">
        <v>159</v>
      </c>
      <c r="D217" s="8">
        <v>31</v>
      </c>
      <c r="E217" s="8">
        <v>19</v>
      </c>
      <c r="F217" s="8">
        <v>218</v>
      </c>
      <c r="G217" s="5">
        <v>11.5</v>
      </c>
      <c r="H217" s="5">
        <v>1</v>
      </c>
      <c r="I217" s="6">
        <f t="shared" si="3"/>
        <v>5.2631578947368418E-2</v>
      </c>
      <c r="J217" s="6">
        <f>D217/(VLOOKUP(B217,'[1]2022 Team'!$B$2:$G$33,2,FALSE))</f>
        <v>4.9441786283891544E-2</v>
      </c>
      <c r="K217" s="9">
        <v>61.3</v>
      </c>
      <c r="L217" s="5">
        <v>1</v>
      </c>
    </row>
    <row r="218" spans="1:12" x14ac:dyDescent="0.25">
      <c r="A218" s="5" t="s">
        <v>718</v>
      </c>
      <c r="B218" s="5" t="s">
        <v>62</v>
      </c>
      <c r="C218" s="7" t="s">
        <v>613</v>
      </c>
      <c r="D218" s="8">
        <v>23</v>
      </c>
      <c r="E218" s="8">
        <v>19</v>
      </c>
      <c r="F218" s="8">
        <v>200</v>
      </c>
      <c r="G218" s="5">
        <v>10.5</v>
      </c>
      <c r="H218" s="5">
        <v>1</v>
      </c>
      <c r="I218" s="6">
        <f t="shared" si="3"/>
        <v>5.2631578947368418E-2</v>
      </c>
      <c r="J218" s="6">
        <f>D218/(VLOOKUP(B218,'[1]2022 Team'!$B$2:$G$33,2,FALSE))</f>
        <v>4.4921875E-2</v>
      </c>
      <c r="K218" s="9">
        <v>82.6</v>
      </c>
      <c r="L218" s="5">
        <v>0</v>
      </c>
    </row>
    <row r="219" spans="1:12" x14ac:dyDescent="0.25">
      <c r="A219" s="5" t="s">
        <v>903</v>
      </c>
      <c r="B219" s="5" t="s">
        <v>48</v>
      </c>
      <c r="C219" s="7" t="s">
        <v>153</v>
      </c>
      <c r="D219" s="8">
        <v>21</v>
      </c>
      <c r="E219" s="8">
        <v>19</v>
      </c>
      <c r="F219" s="8">
        <v>140</v>
      </c>
      <c r="G219" s="5">
        <v>7.4</v>
      </c>
      <c r="H219" s="5">
        <v>1</v>
      </c>
      <c r="I219" s="6">
        <f t="shared" si="3"/>
        <v>5.2631578947368418E-2</v>
      </c>
      <c r="J219" s="6">
        <f>D219/(VLOOKUP(B219,'[1]2022 Team'!$B$2:$G$33,2,FALSE))</f>
        <v>3.125E-2</v>
      </c>
      <c r="K219" s="9">
        <v>90.5</v>
      </c>
      <c r="L219" s="5">
        <v>0</v>
      </c>
    </row>
    <row r="220" spans="1:12" x14ac:dyDescent="0.25">
      <c r="A220" s="5" t="s">
        <v>959</v>
      </c>
      <c r="B220" s="5" t="s">
        <v>18</v>
      </c>
      <c r="C220" s="7" t="s">
        <v>163</v>
      </c>
      <c r="D220" s="8">
        <v>41</v>
      </c>
      <c r="E220" s="8">
        <v>19</v>
      </c>
      <c r="F220" s="8">
        <v>245</v>
      </c>
      <c r="G220" s="5">
        <v>12.9</v>
      </c>
      <c r="H220" s="5">
        <v>3</v>
      </c>
      <c r="I220" s="6">
        <f t="shared" si="3"/>
        <v>0.15789473684210525</v>
      </c>
      <c r="J220" s="6">
        <f>D220/(VLOOKUP(B220,'[1]2022 Team'!$B$2:$G$33,2,FALSE))</f>
        <v>0.10875331564986737</v>
      </c>
      <c r="K220" s="9">
        <v>46.3</v>
      </c>
      <c r="L220" s="5">
        <v>1</v>
      </c>
    </row>
    <row r="221" spans="1:12" x14ac:dyDescent="0.25">
      <c r="A221" s="5" t="s">
        <v>2521</v>
      </c>
      <c r="B221" s="5" t="s">
        <v>52</v>
      </c>
      <c r="C221" s="7" t="s">
        <v>163</v>
      </c>
      <c r="D221" s="8">
        <v>27</v>
      </c>
      <c r="E221" s="8">
        <v>19</v>
      </c>
      <c r="F221" s="8">
        <v>278</v>
      </c>
      <c r="G221" s="5">
        <v>14.6</v>
      </c>
      <c r="H221" s="5">
        <v>1</v>
      </c>
      <c r="I221" s="6">
        <f t="shared" si="3"/>
        <v>5.2631578947368418E-2</v>
      </c>
      <c r="J221" s="6">
        <f>D221/(VLOOKUP(B221,'[1]2022 Team'!$B$2:$G$33,2,FALSE))</f>
        <v>5.2734375E-2</v>
      </c>
      <c r="K221" s="9">
        <v>70.400000000000006</v>
      </c>
      <c r="L221" s="5">
        <v>0</v>
      </c>
    </row>
    <row r="222" spans="1:12" x14ac:dyDescent="0.25">
      <c r="A222" s="5" t="s">
        <v>836</v>
      </c>
      <c r="B222" s="5" t="s">
        <v>16</v>
      </c>
      <c r="C222" s="7" t="s">
        <v>153</v>
      </c>
      <c r="D222" s="8">
        <v>32</v>
      </c>
      <c r="E222" s="8">
        <v>19</v>
      </c>
      <c r="F222" s="8">
        <v>174</v>
      </c>
      <c r="G222" s="5">
        <v>9.1999999999999993</v>
      </c>
      <c r="H222" s="5">
        <v>3</v>
      </c>
      <c r="I222" s="6">
        <f t="shared" si="3"/>
        <v>0.15789473684210525</v>
      </c>
      <c r="J222" s="6">
        <f>D222/(VLOOKUP(B222,'[1]2022 Team'!$B$2:$G$33,2,FALSE))</f>
        <v>7.0021881838074396E-2</v>
      </c>
      <c r="K222" s="9">
        <v>59.4</v>
      </c>
      <c r="L222" s="5">
        <v>1</v>
      </c>
    </row>
    <row r="223" spans="1:12" x14ac:dyDescent="0.25">
      <c r="A223" s="5" t="s">
        <v>926</v>
      </c>
      <c r="B223" s="5" t="s">
        <v>44</v>
      </c>
      <c r="C223" s="7" t="s">
        <v>163</v>
      </c>
      <c r="D223" s="8">
        <v>35</v>
      </c>
      <c r="E223" s="8">
        <v>18</v>
      </c>
      <c r="F223" s="8">
        <v>298</v>
      </c>
      <c r="G223" s="5">
        <v>16.600000000000001</v>
      </c>
      <c r="H223" s="5">
        <v>1</v>
      </c>
      <c r="I223" s="6">
        <f t="shared" si="3"/>
        <v>5.5555555555555552E-2</v>
      </c>
      <c r="J223" s="6">
        <f>D223/(VLOOKUP(B223,'[1]2022 Team'!$B$2:$G$33,2,FALSE))</f>
        <v>6.5913370998116755E-2</v>
      </c>
      <c r="K223" s="9">
        <v>51.4</v>
      </c>
      <c r="L223" s="5">
        <v>0</v>
      </c>
    </row>
    <row r="224" spans="1:12" x14ac:dyDescent="0.25">
      <c r="A224" s="5" t="s">
        <v>885</v>
      </c>
      <c r="B224" s="5" t="s">
        <v>56</v>
      </c>
      <c r="C224" s="7" t="s">
        <v>163</v>
      </c>
      <c r="D224" s="8">
        <v>32</v>
      </c>
      <c r="E224" s="8">
        <v>18</v>
      </c>
      <c r="F224" s="8">
        <v>145</v>
      </c>
      <c r="G224" s="5">
        <v>8.1</v>
      </c>
      <c r="H224" s="5">
        <v>0</v>
      </c>
      <c r="I224" s="6">
        <f t="shared" si="3"/>
        <v>0</v>
      </c>
      <c r="J224" s="6">
        <f>D224/(VLOOKUP(B224,'[1]2022 Team'!$B$2:$G$33,2,FALSE))</f>
        <v>5.1036682615629984E-2</v>
      </c>
      <c r="K224" s="9">
        <v>56.3</v>
      </c>
      <c r="L224" s="5">
        <v>1</v>
      </c>
    </row>
    <row r="225" spans="1:12" x14ac:dyDescent="0.25">
      <c r="A225" s="5" t="s">
        <v>869</v>
      </c>
      <c r="B225" s="5" t="s">
        <v>52</v>
      </c>
      <c r="C225" s="7" t="s">
        <v>153</v>
      </c>
      <c r="D225" s="8">
        <v>22</v>
      </c>
      <c r="E225" s="8">
        <v>18</v>
      </c>
      <c r="F225" s="8">
        <v>207</v>
      </c>
      <c r="G225" s="5">
        <v>11.5</v>
      </c>
      <c r="H225" s="5">
        <v>1</v>
      </c>
      <c r="I225" s="6">
        <f t="shared" si="3"/>
        <v>5.5555555555555552E-2</v>
      </c>
      <c r="J225" s="6">
        <f>D225/(VLOOKUP(B225,'[1]2022 Team'!$B$2:$G$33,2,FALSE))</f>
        <v>4.296875E-2</v>
      </c>
      <c r="K225" s="9">
        <v>81.8</v>
      </c>
      <c r="L225" s="5">
        <v>0</v>
      </c>
    </row>
    <row r="226" spans="1:12" x14ac:dyDescent="0.25">
      <c r="A226" s="5" t="s">
        <v>876</v>
      </c>
      <c r="B226" s="5" t="s">
        <v>28</v>
      </c>
      <c r="C226" s="7" t="s">
        <v>153</v>
      </c>
      <c r="D226" s="8">
        <v>24</v>
      </c>
      <c r="E226" s="8">
        <v>18</v>
      </c>
      <c r="F226" s="8">
        <v>216</v>
      </c>
      <c r="G226" s="5">
        <v>12</v>
      </c>
      <c r="H226" s="5">
        <v>4</v>
      </c>
      <c r="I226" s="6">
        <f t="shared" si="3"/>
        <v>0.22222222222222221</v>
      </c>
      <c r="J226" s="6">
        <f>D226/(VLOOKUP(B226,'[1]2022 Team'!$B$2:$G$33,2,FALSE))</f>
        <v>4.0816326530612242E-2</v>
      </c>
      <c r="K226" s="9">
        <v>75</v>
      </c>
      <c r="L226" s="5">
        <v>0</v>
      </c>
    </row>
    <row r="227" spans="1:12" x14ac:dyDescent="0.25">
      <c r="A227" s="5" t="s">
        <v>710</v>
      </c>
      <c r="B227" s="5" t="s">
        <v>64</v>
      </c>
      <c r="C227" s="7" t="s">
        <v>159</v>
      </c>
      <c r="D227" s="8">
        <v>19</v>
      </c>
      <c r="E227" s="8">
        <v>17</v>
      </c>
      <c r="F227" s="8">
        <v>126</v>
      </c>
      <c r="G227" s="5">
        <v>7.4</v>
      </c>
      <c r="H227" s="5">
        <v>0</v>
      </c>
      <c r="I227" s="6">
        <f t="shared" si="3"/>
        <v>0</v>
      </c>
      <c r="J227" s="6">
        <f>D227/(VLOOKUP(B227,'[1]2022 Team'!$B$2:$G$33,2,FALSE))</f>
        <v>3.3158813263525308E-2</v>
      </c>
      <c r="K227" s="9">
        <v>89.5</v>
      </c>
      <c r="L227" s="5">
        <v>1</v>
      </c>
    </row>
    <row r="228" spans="1:12" x14ac:dyDescent="0.25">
      <c r="A228" s="5" t="s">
        <v>1741</v>
      </c>
      <c r="B228" s="5" t="s">
        <v>12</v>
      </c>
      <c r="C228" s="7" t="s">
        <v>159</v>
      </c>
      <c r="D228" s="8">
        <v>26</v>
      </c>
      <c r="E228" s="8">
        <v>17</v>
      </c>
      <c r="F228" s="8">
        <v>89</v>
      </c>
      <c r="G228" s="5">
        <v>5.2</v>
      </c>
      <c r="H228" s="5">
        <v>1</v>
      </c>
      <c r="I228" s="6">
        <f t="shared" si="3"/>
        <v>5.8823529411764705E-2</v>
      </c>
      <c r="J228" s="6">
        <f>D228/(VLOOKUP(B228,'[1]2022 Team'!$B$2:$G$33,2,FALSE))</f>
        <v>5.3278688524590161E-2</v>
      </c>
      <c r="K228" s="9">
        <v>65.400000000000006</v>
      </c>
      <c r="L228" s="5">
        <v>1</v>
      </c>
    </row>
    <row r="229" spans="1:12" x14ac:dyDescent="0.25">
      <c r="A229" s="5" t="s">
        <v>635</v>
      </c>
      <c r="B229" s="5" t="s">
        <v>38</v>
      </c>
      <c r="C229" s="7" t="s">
        <v>159</v>
      </c>
      <c r="D229" s="8">
        <v>23</v>
      </c>
      <c r="E229" s="8">
        <v>17</v>
      </c>
      <c r="F229" s="8">
        <v>151</v>
      </c>
      <c r="G229" s="5">
        <v>8.9</v>
      </c>
      <c r="H229" s="5">
        <v>3</v>
      </c>
      <c r="I229" s="6">
        <f t="shared" si="3"/>
        <v>0.17647058823529413</v>
      </c>
      <c r="J229" s="6">
        <f>D229/(VLOOKUP(B229,'[1]2022 Team'!$B$2:$G$33,2,FALSE))</f>
        <v>3.5330261136712747E-2</v>
      </c>
      <c r="K229" s="9">
        <v>73.900000000000006</v>
      </c>
      <c r="L229" s="5">
        <v>0</v>
      </c>
    </row>
    <row r="230" spans="1:12" x14ac:dyDescent="0.25">
      <c r="A230" s="5" t="s">
        <v>1627</v>
      </c>
      <c r="B230" s="5" t="s">
        <v>24</v>
      </c>
      <c r="C230" s="7" t="s">
        <v>159</v>
      </c>
      <c r="D230" s="8">
        <v>23</v>
      </c>
      <c r="E230" s="8">
        <v>17</v>
      </c>
      <c r="F230" s="8">
        <v>92</v>
      </c>
      <c r="G230" s="5">
        <v>5.4</v>
      </c>
      <c r="H230" s="5">
        <v>0</v>
      </c>
      <c r="I230" s="6">
        <f t="shared" si="3"/>
        <v>0</v>
      </c>
      <c r="J230" s="6">
        <f>D230/(VLOOKUP(B230,'[1]2022 Team'!$B$2:$G$33,2,FALSE))</f>
        <v>4.1366906474820143E-2</v>
      </c>
      <c r="K230" s="9">
        <v>73.900000000000006</v>
      </c>
      <c r="L230" s="5">
        <v>0</v>
      </c>
    </row>
    <row r="231" spans="1:12" x14ac:dyDescent="0.25">
      <c r="A231" s="5" t="s">
        <v>1692</v>
      </c>
      <c r="B231" s="5" t="s">
        <v>50</v>
      </c>
      <c r="C231" s="7" t="s">
        <v>159</v>
      </c>
      <c r="D231" s="8">
        <v>23</v>
      </c>
      <c r="E231" s="8">
        <v>17</v>
      </c>
      <c r="F231" s="8">
        <v>97</v>
      </c>
      <c r="G231" s="5">
        <v>5.7</v>
      </c>
      <c r="H231" s="5">
        <v>0</v>
      </c>
      <c r="I231" s="6">
        <f t="shared" si="3"/>
        <v>0</v>
      </c>
      <c r="J231" s="6">
        <f>D231/(VLOOKUP(B231,'[1]2022 Team'!$B$2:$G$33,2,FALSE))</f>
        <v>4.2592592592592592E-2</v>
      </c>
      <c r="K231" s="9">
        <v>73.900000000000006</v>
      </c>
      <c r="L231" s="5">
        <v>0</v>
      </c>
    </row>
    <row r="232" spans="1:12" x14ac:dyDescent="0.25">
      <c r="A232" s="5" t="s">
        <v>1676</v>
      </c>
      <c r="B232" s="5" t="s">
        <v>44</v>
      </c>
      <c r="C232" s="7" t="s">
        <v>159</v>
      </c>
      <c r="D232" s="8">
        <v>22</v>
      </c>
      <c r="E232" s="8">
        <v>17</v>
      </c>
      <c r="F232" s="8">
        <v>102</v>
      </c>
      <c r="G232" s="5">
        <v>6</v>
      </c>
      <c r="H232" s="5">
        <v>0</v>
      </c>
      <c r="I232" s="6">
        <f t="shared" si="3"/>
        <v>0</v>
      </c>
      <c r="J232" s="6">
        <f>D232/(VLOOKUP(B232,'[1]2022 Team'!$B$2:$G$33,2,FALSE))</f>
        <v>4.1431261770244823E-2</v>
      </c>
      <c r="K232" s="9">
        <v>77.3</v>
      </c>
      <c r="L232" s="5">
        <v>0</v>
      </c>
    </row>
    <row r="233" spans="1:12" x14ac:dyDescent="0.25">
      <c r="A233" s="5" t="s">
        <v>1863</v>
      </c>
      <c r="B233" s="5" t="s">
        <v>20</v>
      </c>
      <c r="C233" s="7" t="s">
        <v>153</v>
      </c>
      <c r="D233" s="8">
        <v>18</v>
      </c>
      <c r="E233" s="8">
        <v>17</v>
      </c>
      <c r="F233" s="8">
        <v>139</v>
      </c>
      <c r="G233" s="5">
        <v>8.1999999999999993</v>
      </c>
      <c r="H233" s="5">
        <v>1</v>
      </c>
      <c r="I233" s="6">
        <f t="shared" si="3"/>
        <v>5.8823529411764705E-2</v>
      </c>
      <c r="J233" s="6">
        <f>D233/(VLOOKUP(B233,'[1]2022 Team'!$B$2:$G$33,2,FALSE))</f>
        <v>2.9508196721311476E-2</v>
      </c>
      <c r="K233" s="9">
        <v>94.4</v>
      </c>
      <c r="L233" s="5">
        <v>0</v>
      </c>
    </row>
    <row r="234" spans="1:12" x14ac:dyDescent="0.25">
      <c r="A234" s="5" t="s">
        <v>317</v>
      </c>
      <c r="B234" s="5" t="s">
        <v>10</v>
      </c>
      <c r="C234" s="7" t="s">
        <v>159</v>
      </c>
      <c r="D234" s="8">
        <v>17</v>
      </c>
      <c r="E234" s="8">
        <v>16</v>
      </c>
      <c r="F234" s="8">
        <v>139</v>
      </c>
      <c r="G234" s="5">
        <v>8.6999999999999993</v>
      </c>
      <c r="H234" s="5">
        <v>1</v>
      </c>
      <c r="I234" s="6">
        <f t="shared" si="3"/>
        <v>6.25E-2</v>
      </c>
      <c r="J234" s="6">
        <f>D234/(VLOOKUP(B234,'[1]2022 Team'!$B$2:$G$33,2,FALSE))</f>
        <v>4.0963855421686748E-2</v>
      </c>
      <c r="K234" s="9">
        <v>94.1</v>
      </c>
      <c r="L234" s="5">
        <v>0</v>
      </c>
    </row>
    <row r="235" spans="1:12" x14ac:dyDescent="0.25">
      <c r="A235" s="5" t="s">
        <v>2469</v>
      </c>
      <c r="B235" s="5" t="s">
        <v>52</v>
      </c>
      <c r="C235" s="7" t="s">
        <v>163</v>
      </c>
      <c r="D235" s="8">
        <v>32</v>
      </c>
      <c r="E235" s="8">
        <v>16</v>
      </c>
      <c r="F235" s="8">
        <v>158</v>
      </c>
      <c r="G235" s="5">
        <v>9.9</v>
      </c>
      <c r="H235" s="5">
        <v>1</v>
      </c>
      <c r="I235" s="6">
        <f t="shared" si="3"/>
        <v>6.25E-2</v>
      </c>
      <c r="J235" s="6">
        <f>D235/(VLOOKUP(B235,'[1]2022 Team'!$B$2:$G$33,2,FALSE))</f>
        <v>6.25E-2</v>
      </c>
      <c r="K235" s="9">
        <v>50</v>
      </c>
      <c r="L235" s="5">
        <v>0</v>
      </c>
    </row>
    <row r="236" spans="1:12" x14ac:dyDescent="0.25">
      <c r="A236" s="5" t="s">
        <v>767</v>
      </c>
      <c r="B236" s="5" t="s">
        <v>64</v>
      </c>
      <c r="C236" s="7" t="s">
        <v>159</v>
      </c>
      <c r="D236" s="8">
        <v>18</v>
      </c>
      <c r="E236" s="8">
        <v>16</v>
      </c>
      <c r="F236" s="8">
        <v>157</v>
      </c>
      <c r="G236" s="5">
        <v>9.8000000000000007</v>
      </c>
      <c r="H236" s="5">
        <v>1</v>
      </c>
      <c r="I236" s="6">
        <f t="shared" si="3"/>
        <v>6.25E-2</v>
      </c>
      <c r="J236" s="6">
        <f>D236/(VLOOKUP(B236,'[1]2022 Team'!$B$2:$G$33,2,FALSE))</f>
        <v>3.1413612565445025E-2</v>
      </c>
      <c r="K236" s="9">
        <v>88.9</v>
      </c>
      <c r="L236" s="5">
        <v>1</v>
      </c>
    </row>
    <row r="237" spans="1:12" x14ac:dyDescent="0.25">
      <c r="A237" s="5" t="s">
        <v>2409</v>
      </c>
      <c r="B237" s="5" t="s">
        <v>52</v>
      </c>
      <c r="C237" s="7" t="s">
        <v>159</v>
      </c>
      <c r="D237" s="8">
        <v>18</v>
      </c>
      <c r="E237" s="8">
        <v>16</v>
      </c>
      <c r="F237" s="8">
        <v>68</v>
      </c>
      <c r="G237" s="5">
        <v>4.3</v>
      </c>
      <c r="H237" s="5">
        <v>0</v>
      </c>
      <c r="I237" s="6">
        <f t="shared" si="3"/>
        <v>0</v>
      </c>
      <c r="J237" s="6">
        <f>D237/(VLOOKUP(B237,'[1]2022 Team'!$B$2:$G$33,2,FALSE))</f>
        <v>3.515625E-2</v>
      </c>
      <c r="K237" s="9">
        <v>88.9</v>
      </c>
      <c r="L237" s="5">
        <v>2</v>
      </c>
    </row>
    <row r="238" spans="1:12" x14ac:dyDescent="0.25">
      <c r="A238" s="5" t="s">
        <v>1835</v>
      </c>
      <c r="B238" s="5" t="s">
        <v>10</v>
      </c>
      <c r="C238" s="7" t="s">
        <v>153</v>
      </c>
      <c r="D238" s="8">
        <v>21</v>
      </c>
      <c r="E238" s="8">
        <v>16</v>
      </c>
      <c r="F238" s="8">
        <v>150</v>
      </c>
      <c r="G238" s="5">
        <v>9.4</v>
      </c>
      <c r="H238" s="5">
        <v>4</v>
      </c>
      <c r="I238" s="6">
        <f t="shared" si="3"/>
        <v>0.25</v>
      </c>
      <c r="J238" s="6">
        <f>D238/(VLOOKUP(B238,'[1]2022 Team'!$B$2:$G$33,2,FALSE))</f>
        <v>5.0602409638554217E-2</v>
      </c>
      <c r="K238" s="9">
        <v>76.2</v>
      </c>
      <c r="L238" s="5">
        <v>0</v>
      </c>
    </row>
    <row r="239" spans="1:12" x14ac:dyDescent="0.25">
      <c r="A239" s="5" t="s">
        <v>1853</v>
      </c>
      <c r="B239" s="5" t="s">
        <v>52</v>
      </c>
      <c r="C239" s="7" t="s">
        <v>163</v>
      </c>
      <c r="D239" s="8">
        <v>22</v>
      </c>
      <c r="E239" s="8">
        <v>16</v>
      </c>
      <c r="F239" s="8">
        <v>171</v>
      </c>
      <c r="G239" s="5">
        <v>10.7</v>
      </c>
      <c r="H239" s="5">
        <v>3</v>
      </c>
      <c r="I239" s="6">
        <f t="shared" si="3"/>
        <v>0.1875</v>
      </c>
      <c r="J239" s="6">
        <f>D239/(VLOOKUP(B239,'[1]2022 Team'!$B$2:$G$33,2,FALSE))</f>
        <v>4.296875E-2</v>
      </c>
      <c r="K239" s="9">
        <v>72.7</v>
      </c>
      <c r="L239" s="5">
        <v>0</v>
      </c>
    </row>
    <row r="240" spans="1:12" x14ac:dyDescent="0.25">
      <c r="A240" s="5" t="s">
        <v>263</v>
      </c>
      <c r="B240" s="5" t="s">
        <v>26</v>
      </c>
      <c r="C240" s="7" t="s">
        <v>159</v>
      </c>
      <c r="D240" s="8">
        <v>22</v>
      </c>
      <c r="E240" s="8">
        <v>16</v>
      </c>
      <c r="F240" s="8">
        <v>76</v>
      </c>
      <c r="G240" s="5">
        <v>4.8</v>
      </c>
      <c r="H240" s="5">
        <v>0</v>
      </c>
      <c r="I240" s="6">
        <f t="shared" si="3"/>
        <v>0</v>
      </c>
      <c r="J240" s="6">
        <f>D240/(VLOOKUP(B240,'[1]2022 Team'!$B$2:$G$33,2,FALSE))</f>
        <v>3.8528896672504379E-2</v>
      </c>
      <c r="K240" s="9">
        <v>72.7</v>
      </c>
      <c r="L240" s="5">
        <v>1</v>
      </c>
    </row>
    <row r="241" spans="1:12" x14ac:dyDescent="0.25">
      <c r="A241" s="5" t="s">
        <v>1586</v>
      </c>
      <c r="B241" s="5" t="s">
        <v>54</v>
      </c>
      <c r="C241" s="7" t="s">
        <v>163</v>
      </c>
      <c r="D241" s="8">
        <v>3</v>
      </c>
      <c r="E241" s="8">
        <v>2</v>
      </c>
      <c r="F241" s="8">
        <v>0</v>
      </c>
      <c r="G241" s="5">
        <v>0</v>
      </c>
      <c r="H241" s="5">
        <v>0</v>
      </c>
      <c r="I241" s="6">
        <f t="shared" si="3"/>
        <v>0</v>
      </c>
      <c r="J241" s="6">
        <f>D241/(VLOOKUP(B241,'[1]2022 Team'!$B$2:$G$33,2,FALSE))</f>
        <v>5.7692307692307696E-3</v>
      </c>
      <c r="K241" s="9">
        <v>66.7</v>
      </c>
      <c r="L241" s="5">
        <v>0</v>
      </c>
    </row>
    <row r="242" spans="1:12" x14ac:dyDescent="0.25">
      <c r="A242" s="5" t="s">
        <v>1586</v>
      </c>
      <c r="B242" s="5" t="s">
        <v>38</v>
      </c>
      <c r="C242" s="7" t="s">
        <v>163</v>
      </c>
      <c r="D242" s="8">
        <v>17</v>
      </c>
      <c r="E242" s="8">
        <v>14</v>
      </c>
      <c r="F242" s="8">
        <v>171</v>
      </c>
      <c r="G242" s="5">
        <v>12.2</v>
      </c>
      <c r="H242" s="5">
        <v>2</v>
      </c>
      <c r="I242" s="6">
        <f t="shared" si="3"/>
        <v>0.14285714285714285</v>
      </c>
      <c r="J242" s="6">
        <f>D242/(VLOOKUP(B242,'[1]2022 Team'!$B$2:$G$33,2,FALSE))</f>
        <v>2.6113671274961597E-2</v>
      </c>
      <c r="K242" s="9">
        <v>82.4</v>
      </c>
      <c r="L242" s="5">
        <v>1</v>
      </c>
    </row>
    <row r="243" spans="1:12" x14ac:dyDescent="0.25">
      <c r="A243" s="5" t="s">
        <v>2528</v>
      </c>
      <c r="B243" s="5" t="s">
        <v>30</v>
      </c>
      <c r="C243" s="7" t="s">
        <v>163</v>
      </c>
      <c r="D243" s="8">
        <v>22</v>
      </c>
      <c r="E243" s="8">
        <v>13</v>
      </c>
      <c r="F243" s="8">
        <v>206</v>
      </c>
      <c r="G243" s="5">
        <v>15.8</v>
      </c>
      <c r="H243" s="5">
        <v>0</v>
      </c>
      <c r="I243" s="6">
        <f t="shared" si="3"/>
        <v>0</v>
      </c>
      <c r="J243" s="6">
        <f>D243/(VLOOKUP(B243,'[1]2022 Team'!$B$2:$G$33,2,FALSE))</f>
        <v>3.9076376554174071E-2</v>
      </c>
      <c r="K243" s="9">
        <v>59.1</v>
      </c>
      <c r="L243" s="5">
        <v>0</v>
      </c>
    </row>
    <row r="244" spans="1:12" x14ac:dyDescent="0.25">
      <c r="A244" s="5" t="s">
        <v>2528</v>
      </c>
      <c r="B244" s="5" t="s">
        <v>12</v>
      </c>
      <c r="C244" s="7" t="s">
        <v>163</v>
      </c>
      <c r="D244" s="8">
        <v>5</v>
      </c>
      <c r="E244" s="8">
        <v>3</v>
      </c>
      <c r="F244" s="8">
        <v>119</v>
      </c>
      <c r="G244" s="5">
        <v>39.700000000000003</v>
      </c>
      <c r="H244" s="5">
        <v>0</v>
      </c>
      <c r="I244" s="6">
        <f t="shared" si="3"/>
        <v>0</v>
      </c>
      <c r="J244" s="6">
        <f>D244/(VLOOKUP(B244,'[1]2022 Team'!$B$2:$G$33,2,FALSE))</f>
        <v>1.0245901639344262E-2</v>
      </c>
      <c r="K244" s="9">
        <v>60</v>
      </c>
      <c r="L244" s="5">
        <v>1</v>
      </c>
    </row>
    <row r="245" spans="1:12" x14ac:dyDescent="0.25">
      <c r="A245" s="5" t="s">
        <v>1839</v>
      </c>
      <c r="B245" s="5" t="s">
        <v>30</v>
      </c>
      <c r="C245" s="7" t="s">
        <v>163</v>
      </c>
      <c r="D245" s="8">
        <v>8</v>
      </c>
      <c r="E245" s="8">
        <v>4</v>
      </c>
      <c r="F245" s="8">
        <v>50</v>
      </c>
      <c r="G245" s="5">
        <v>12.5</v>
      </c>
      <c r="H245" s="5">
        <v>0</v>
      </c>
      <c r="I245" s="6">
        <f t="shared" si="3"/>
        <v>0</v>
      </c>
      <c r="J245" s="6">
        <f>D245/(VLOOKUP(B245,'[1]2022 Team'!$B$2:$G$33,2,FALSE))</f>
        <v>1.4209591474245116E-2</v>
      </c>
      <c r="K245" s="9">
        <v>50</v>
      </c>
      <c r="L245" s="5">
        <v>5</v>
      </c>
    </row>
    <row r="246" spans="1:12" x14ac:dyDescent="0.25">
      <c r="A246" s="5" t="s">
        <v>1839</v>
      </c>
      <c r="B246" s="5" t="s">
        <v>32</v>
      </c>
      <c r="C246" s="7" t="s">
        <v>163</v>
      </c>
      <c r="D246" s="8">
        <v>17</v>
      </c>
      <c r="E246" s="8">
        <v>12</v>
      </c>
      <c r="F246" s="8">
        <v>154</v>
      </c>
      <c r="G246" s="5">
        <v>12.8</v>
      </c>
      <c r="H246" s="5">
        <v>1</v>
      </c>
      <c r="I246" s="6">
        <f t="shared" ref="I246:I304" si="4">H246/E246</f>
        <v>8.3333333333333329E-2</v>
      </c>
      <c r="J246" s="6">
        <f>D246/(VLOOKUP(B246,'[1]2022 Team'!$B$2:$G$33,2,FALSE))</f>
        <v>2.9360967184801381E-2</v>
      </c>
      <c r="K246" s="9">
        <v>70.599999999999994</v>
      </c>
      <c r="L246" s="5">
        <v>1</v>
      </c>
    </row>
    <row r="247" spans="1:12" x14ac:dyDescent="0.25">
      <c r="A247" s="5" t="s">
        <v>1675</v>
      </c>
      <c r="B247" s="5" t="s">
        <v>46</v>
      </c>
      <c r="C247" s="7" t="s">
        <v>159</v>
      </c>
      <c r="D247" s="8">
        <v>17</v>
      </c>
      <c r="E247" s="8">
        <v>10</v>
      </c>
      <c r="F247" s="8">
        <v>96</v>
      </c>
      <c r="G247" s="5">
        <v>9.6</v>
      </c>
      <c r="H247" s="5">
        <v>1</v>
      </c>
      <c r="I247" s="6">
        <f t="shared" si="4"/>
        <v>0.1</v>
      </c>
      <c r="J247" s="6">
        <f>D247/(VLOOKUP(B247,'[1]2022 Team'!$B$2:$G$33,2,FALSE))</f>
        <v>2.9109589041095889E-2</v>
      </c>
      <c r="K247" s="9">
        <v>58.8</v>
      </c>
      <c r="L247" s="5">
        <v>0</v>
      </c>
    </row>
    <row r="248" spans="1:12" x14ac:dyDescent="0.25">
      <c r="A248" s="5" t="s">
        <v>1675</v>
      </c>
      <c r="B248" s="5" t="s">
        <v>26</v>
      </c>
      <c r="C248" s="7" t="s">
        <v>159</v>
      </c>
      <c r="D248" s="8">
        <v>7</v>
      </c>
      <c r="E248" s="8">
        <v>6</v>
      </c>
      <c r="F248" s="8">
        <v>61</v>
      </c>
      <c r="G248" s="5">
        <v>10.199999999999999</v>
      </c>
      <c r="H248" s="5">
        <v>0</v>
      </c>
      <c r="I248" s="6">
        <f t="shared" si="4"/>
        <v>0</v>
      </c>
      <c r="J248" s="6">
        <f>D248/(VLOOKUP(B248,'[1]2022 Team'!$B$2:$G$33,2,FALSE))</f>
        <v>1.2259194395796848E-2</v>
      </c>
      <c r="K248" s="9">
        <v>85.7</v>
      </c>
      <c r="L248" s="5">
        <v>0</v>
      </c>
    </row>
    <row r="249" spans="1:12" x14ac:dyDescent="0.25">
      <c r="A249" s="5" t="s">
        <v>812</v>
      </c>
      <c r="B249" s="5" t="s">
        <v>12</v>
      </c>
      <c r="C249" s="7" t="s">
        <v>163</v>
      </c>
      <c r="D249" s="8">
        <v>28</v>
      </c>
      <c r="E249" s="8">
        <v>15</v>
      </c>
      <c r="F249" s="8">
        <v>285</v>
      </c>
      <c r="G249" s="5">
        <v>19</v>
      </c>
      <c r="H249" s="5">
        <v>2</v>
      </c>
      <c r="I249" s="6">
        <f t="shared" si="4"/>
        <v>0.13333333333333333</v>
      </c>
      <c r="J249" s="6">
        <f>D249/(VLOOKUP(B249,'[1]2022 Team'!$B$2:$G$33,2,FALSE))</f>
        <v>5.737704918032787E-2</v>
      </c>
      <c r="K249" s="9">
        <v>53.6</v>
      </c>
      <c r="L249" s="5">
        <v>1</v>
      </c>
    </row>
    <row r="250" spans="1:12" x14ac:dyDescent="0.25">
      <c r="A250" s="5" t="s">
        <v>682</v>
      </c>
      <c r="B250" s="5" t="s">
        <v>34</v>
      </c>
      <c r="C250" s="7" t="s">
        <v>163</v>
      </c>
      <c r="D250" s="8">
        <v>22</v>
      </c>
      <c r="E250" s="8">
        <v>15</v>
      </c>
      <c r="F250" s="8">
        <v>207</v>
      </c>
      <c r="G250" s="5">
        <v>13.8</v>
      </c>
      <c r="H250" s="5">
        <v>1</v>
      </c>
      <c r="I250" s="6">
        <f t="shared" si="4"/>
        <v>6.6666666666666666E-2</v>
      </c>
      <c r="J250" s="6">
        <f>D250/(VLOOKUP(B250,'[1]2022 Team'!$B$2:$G$33,2,FALSE))</f>
        <v>3.6423841059602648E-2</v>
      </c>
      <c r="K250" s="9">
        <v>68.2</v>
      </c>
      <c r="L250" s="5">
        <v>0</v>
      </c>
    </row>
    <row r="251" spans="1:12" x14ac:dyDescent="0.25">
      <c r="A251" s="5" t="s">
        <v>695</v>
      </c>
      <c r="B251" s="5" t="s">
        <v>46</v>
      </c>
      <c r="C251" s="7" t="s">
        <v>613</v>
      </c>
      <c r="D251" s="8">
        <v>23</v>
      </c>
      <c r="E251" s="8">
        <v>15</v>
      </c>
      <c r="F251" s="8">
        <v>105</v>
      </c>
      <c r="G251" s="5">
        <v>7</v>
      </c>
      <c r="H251" s="5">
        <v>1</v>
      </c>
      <c r="I251" s="6">
        <f t="shared" si="4"/>
        <v>6.6666666666666666E-2</v>
      </c>
      <c r="J251" s="6">
        <f>D251/(VLOOKUP(B251,'[1]2022 Team'!$B$2:$G$33,2,FALSE))</f>
        <v>3.9383561643835614E-2</v>
      </c>
      <c r="K251" s="9">
        <v>65.2</v>
      </c>
      <c r="L251" s="5">
        <v>0</v>
      </c>
    </row>
    <row r="252" spans="1:12" x14ac:dyDescent="0.25">
      <c r="A252" s="5" t="s">
        <v>1807</v>
      </c>
      <c r="B252" s="5" t="s">
        <v>20</v>
      </c>
      <c r="C252" s="7" t="s">
        <v>163</v>
      </c>
      <c r="D252" s="8">
        <v>23</v>
      </c>
      <c r="E252" s="8">
        <v>15</v>
      </c>
      <c r="F252" s="8">
        <v>231</v>
      </c>
      <c r="G252" s="5">
        <v>15.4</v>
      </c>
      <c r="H252" s="5">
        <v>4</v>
      </c>
      <c r="I252" s="6">
        <f t="shared" si="4"/>
        <v>0.26666666666666666</v>
      </c>
      <c r="J252" s="6">
        <f>D252/(VLOOKUP(B252,'[1]2022 Team'!$B$2:$G$33,2,FALSE))</f>
        <v>3.7704918032786888E-2</v>
      </c>
      <c r="K252" s="9">
        <v>65.2</v>
      </c>
      <c r="L252" s="5">
        <v>0</v>
      </c>
    </row>
    <row r="253" spans="1:12" x14ac:dyDescent="0.25">
      <c r="A253" s="5" t="s">
        <v>1634</v>
      </c>
      <c r="B253" s="5" t="s">
        <v>48</v>
      </c>
      <c r="C253" s="7" t="s">
        <v>159</v>
      </c>
      <c r="D253" s="8">
        <v>18</v>
      </c>
      <c r="E253" s="8">
        <v>15</v>
      </c>
      <c r="F253" s="8">
        <v>91</v>
      </c>
      <c r="G253" s="5">
        <v>6.1</v>
      </c>
      <c r="H253" s="5">
        <v>1</v>
      </c>
      <c r="I253" s="6">
        <f t="shared" si="4"/>
        <v>6.6666666666666666E-2</v>
      </c>
      <c r="J253" s="6">
        <f>D253/(VLOOKUP(B253,'[1]2022 Team'!$B$2:$G$33,2,FALSE))</f>
        <v>2.6785714285714284E-2</v>
      </c>
      <c r="K253" s="9">
        <v>83.3</v>
      </c>
      <c r="L253" s="5">
        <v>0</v>
      </c>
    </row>
    <row r="254" spans="1:12" x14ac:dyDescent="0.25">
      <c r="A254" s="5" t="s">
        <v>1830</v>
      </c>
      <c r="B254" s="5" t="s">
        <v>58</v>
      </c>
      <c r="C254" s="7" t="s">
        <v>163</v>
      </c>
      <c r="D254" s="8">
        <v>19</v>
      </c>
      <c r="E254" s="8">
        <v>15</v>
      </c>
      <c r="F254" s="8">
        <v>150</v>
      </c>
      <c r="G254" s="5">
        <v>10</v>
      </c>
      <c r="H254" s="5">
        <v>1</v>
      </c>
      <c r="I254" s="6">
        <f t="shared" si="4"/>
        <v>6.6666666666666666E-2</v>
      </c>
      <c r="J254" s="6">
        <f>D254/(VLOOKUP(B254,'[1]2022 Team'!$B$2:$G$33,2,FALSE))</f>
        <v>3.5447761194029849E-2</v>
      </c>
      <c r="K254" s="9">
        <v>78.900000000000006</v>
      </c>
      <c r="L254" s="5">
        <v>0</v>
      </c>
    </row>
    <row r="255" spans="1:12" x14ac:dyDescent="0.25">
      <c r="A255" s="5" t="s">
        <v>1011</v>
      </c>
      <c r="B255" s="5" t="s">
        <v>26</v>
      </c>
      <c r="C255" s="7" t="s">
        <v>153</v>
      </c>
      <c r="D255" s="8">
        <v>24</v>
      </c>
      <c r="E255" s="8">
        <v>15</v>
      </c>
      <c r="F255" s="8">
        <v>148</v>
      </c>
      <c r="G255" s="5">
        <v>9.9</v>
      </c>
      <c r="H255" s="5">
        <v>1</v>
      </c>
      <c r="I255" s="6">
        <f t="shared" si="4"/>
        <v>6.6666666666666666E-2</v>
      </c>
      <c r="J255" s="6">
        <f>D255/(VLOOKUP(B255,'[1]2022 Team'!$B$2:$G$33,2,FALSE))</f>
        <v>4.2031523642732049E-2</v>
      </c>
      <c r="K255" s="9">
        <v>62.5</v>
      </c>
      <c r="L255" s="5">
        <v>0</v>
      </c>
    </row>
    <row r="256" spans="1:12" x14ac:dyDescent="0.25">
      <c r="A256" s="5" t="s">
        <v>839</v>
      </c>
      <c r="B256" s="5" t="s">
        <v>46</v>
      </c>
      <c r="C256" s="7" t="s">
        <v>153</v>
      </c>
      <c r="D256" s="8">
        <v>20</v>
      </c>
      <c r="E256" s="8">
        <v>15</v>
      </c>
      <c r="F256" s="8">
        <v>129</v>
      </c>
      <c r="G256" s="5">
        <v>8.6</v>
      </c>
      <c r="H256" s="5">
        <v>1</v>
      </c>
      <c r="I256" s="6">
        <f t="shared" si="4"/>
        <v>6.6666666666666666E-2</v>
      </c>
      <c r="J256" s="6">
        <f>D256/(VLOOKUP(B256,'[1]2022 Team'!$B$2:$G$33,2,FALSE))</f>
        <v>3.4246575342465752E-2</v>
      </c>
      <c r="K256" s="9">
        <v>75</v>
      </c>
      <c r="L256" s="5">
        <v>0</v>
      </c>
    </row>
    <row r="257" spans="1:12" x14ac:dyDescent="0.25">
      <c r="A257" s="5" t="s">
        <v>890</v>
      </c>
      <c r="B257" s="5" t="s">
        <v>38</v>
      </c>
      <c r="C257" s="7" t="s">
        <v>163</v>
      </c>
      <c r="D257" s="8">
        <v>34</v>
      </c>
      <c r="E257" s="8">
        <v>15</v>
      </c>
      <c r="F257" s="8">
        <v>315</v>
      </c>
      <c r="G257" s="5">
        <v>21</v>
      </c>
      <c r="H257" s="5">
        <v>2</v>
      </c>
      <c r="I257" s="6">
        <f t="shared" si="4"/>
        <v>0.13333333333333333</v>
      </c>
      <c r="J257" s="6">
        <f>D257/(VLOOKUP(B257,'[1]2022 Team'!$B$2:$G$33,2,FALSE))</f>
        <v>5.2227342549923193E-2</v>
      </c>
      <c r="K257" s="9">
        <v>44.1</v>
      </c>
      <c r="L257" s="5">
        <v>0</v>
      </c>
    </row>
    <row r="258" spans="1:12" x14ac:dyDescent="0.25">
      <c r="A258" s="5" t="s">
        <v>1041</v>
      </c>
      <c r="B258" s="5" t="s">
        <v>70</v>
      </c>
      <c r="C258" s="7" t="s">
        <v>153</v>
      </c>
      <c r="D258" s="8">
        <v>22</v>
      </c>
      <c r="E258" s="8">
        <v>14</v>
      </c>
      <c r="F258" s="8">
        <v>108</v>
      </c>
      <c r="G258" s="5">
        <v>7.7</v>
      </c>
      <c r="H258" s="5">
        <v>1</v>
      </c>
      <c r="I258" s="6">
        <f t="shared" si="4"/>
        <v>7.1428571428571425E-2</v>
      </c>
      <c r="J258" s="6">
        <f>D258/(VLOOKUP(B258,'[1]2022 Team'!$B$2:$G$33,2,FALSE))</f>
        <v>3.9711191335740074E-2</v>
      </c>
      <c r="K258" s="9">
        <v>63.6</v>
      </c>
      <c r="L258" s="5">
        <v>1</v>
      </c>
    </row>
    <row r="259" spans="1:12" x14ac:dyDescent="0.25">
      <c r="A259" s="5" t="s">
        <v>320</v>
      </c>
      <c r="B259" s="5" t="s">
        <v>16</v>
      </c>
      <c r="C259" s="7" t="s">
        <v>159</v>
      </c>
      <c r="D259" s="8">
        <v>17</v>
      </c>
      <c r="E259" s="8">
        <v>14</v>
      </c>
      <c r="F259" s="8">
        <v>171</v>
      </c>
      <c r="G259" s="5">
        <v>12.2</v>
      </c>
      <c r="H259" s="5">
        <v>0</v>
      </c>
      <c r="I259" s="6">
        <f t="shared" si="4"/>
        <v>0</v>
      </c>
      <c r="J259" s="6">
        <f>D259/(VLOOKUP(B259,'[1]2022 Team'!$B$2:$G$33,2,FALSE))</f>
        <v>3.7199124726477024E-2</v>
      </c>
      <c r="K259" s="9">
        <v>82.4</v>
      </c>
      <c r="L259" s="5">
        <v>2</v>
      </c>
    </row>
    <row r="260" spans="1:12" x14ac:dyDescent="0.25">
      <c r="A260" s="5" t="s">
        <v>1816</v>
      </c>
      <c r="B260" s="5" t="s">
        <v>32</v>
      </c>
      <c r="C260" s="7" t="s">
        <v>153</v>
      </c>
      <c r="D260" s="8">
        <v>28</v>
      </c>
      <c r="E260" s="8">
        <v>14</v>
      </c>
      <c r="F260" s="8">
        <v>128</v>
      </c>
      <c r="G260" s="5">
        <v>9.1</v>
      </c>
      <c r="H260" s="5">
        <v>0</v>
      </c>
      <c r="I260" s="6">
        <f t="shared" si="4"/>
        <v>0</v>
      </c>
      <c r="J260" s="6">
        <f>D260/(VLOOKUP(B260,'[1]2022 Team'!$B$2:$G$33,2,FALSE))</f>
        <v>4.8359240069084632E-2</v>
      </c>
      <c r="K260" s="9">
        <v>50</v>
      </c>
      <c r="L260" s="5">
        <v>0</v>
      </c>
    </row>
    <row r="261" spans="1:12" x14ac:dyDescent="0.25">
      <c r="A261" s="5" t="s">
        <v>1653</v>
      </c>
      <c r="B261" s="5" t="s">
        <v>42</v>
      </c>
      <c r="C261" s="7" t="s">
        <v>159</v>
      </c>
      <c r="D261" s="8">
        <v>25</v>
      </c>
      <c r="E261" s="8">
        <v>14</v>
      </c>
      <c r="F261" s="8">
        <v>101</v>
      </c>
      <c r="G261" s="5">
        <v>7.2</v>
      </c>
      <c r="H261" s="5">
        <v>0</v>
      </c>
      <c r="I261" s="6">
        <f t="shared" si="4"/>
        <v>0</v>
      </c>
      <c r="J261" s="6">
        <f>D261/(VLOOKUP(B261,'[1]2022 Team'!$B$2:$G$33,2,FALSE))</f>
        <v>3.5161744022503515E-2</v>
      </c>
      <c r="K261" s="9">
        <v>56</v>
      </c>
      <c r="L261" s="5">
        <v>0</v>
      </c>
    </row>
    <row r="262" spans="1:12" x14ac:dyDescent="0.25">
      <c r="A262" s="5" t="s">
        <v>806</v>
      </c>
      <c r="B262" s="5" t="s">
        <v>62</v>
      </c>
      <c r="C262" s="7" t="s">
        <v>163</v>
      </c>
      <c r="D262" s="8">
        <v>25</v>
      </c>
      <c r="E262" s="8">
        <v>14</v>
      </c>
      <c r="F262" s="8">
        <v>243</v>
      </c>
      <c r="G262" s="5">
        <v>17.399999999999999</v>
      </c>
      <c r="H262" s="5">
        <v>1</v>
      </c>
      <c r="I262" s="6">
        <f t="shared" si="4"/>
        <v>7.1428571428571425E-2</v>
      </c>
      <c r="J262" s="6">
        <f>D262/(VLOOKUP(B262,'[1]2022 Team'!$B$2:$G$33,2,FALSE))</f>
        <v>4.8828125E-2</v>
      </c>
      <c r="K262" s="9">
        <v>56</v>
      </c>
      <c r="L262" s="5">
        <v>2</v>
      </c>
    </row>
    <row r="263" spans="1:12" x14ac:dyDescent="0.25">
      <c r="A263" s="5" t="s">
        <v>950</v>
      </c>
      <c r="B263" s="5" t="s">
        <v>12</v>
      </c>
      <c r="C263" s="7" t="s">
        <v>153</v>
      </c>
      <c r="D263" s="8">
        <v>25</v>
      </c>
      <c r="E263" s="8">
        <v>14</v>
      </c>
      <c r="F263" s="8">
        <v>149</v>
      </c>
      <c r="G263" s="5">
        <v>10.6</v>
      </c>
      <c r="H263" s="5">
        <v>2</v>
      </c>
      <c r="I263" s="6">
        <f t="shared" si="4"/>
        <v>0.14285714285714285</v>
      </c>
      <c r="J263" s="6">
        <f>D263/(VLOOKUP(B263,'[1]2022 Team'!$B$2:$G$33,2,FALSE))</f>
        <v>5.1229508196721313E-2</v>
      </c>
      <c r="K263" s="9">
        <v>56</v>
      </c>
      <c r="L263" s="5">
        <v>0</v>
      </c>
    </row>
    <row r="264" spans="1:12" x14ac:dyDescent="0.25">
      <c r="A264" s="5" t="s">
        <v>798</v>
      </c>
      <c r="B264" s="5" t="s">
        <v>60</v>
      </c>
      <c r="C264" s="7" t="s">
        <v>163</v>
      </c>
      <c r="D264" s="8">
        <v>23</v>
      </c>
      <c r="E264" s="8">
        <v>14</v>
      </c>
      <c r="F264" s="8">
        <v>104</v>
      </c>
      <c r="G264" s="5">
        <v>7.4</v>
      </c>
      <c r="H264" s="5">
        <v>0</v>
      </c>
      <c r="I264" s="6">
        <f t="shared" si="4"/>
        <v>0</v>
      </c>
      <c r="J264" s="6">
        <f>D264/(VLOOKUP(B264,'[1]2022 Team'!$B$2:$G$33,2,FALSE))</f>
        <v>4.0280210157618214E-2</v>
      </c>
      <c r="K264" s="9">
        <v>60.9</v>
      </c>
      <c r="L264" s="5">
        <v>3</v>
      </c>
    </row>
    <row r="265" spans="1:12" x14ac:dyDescent="0.25">
      <c r="A265" s="5" t="s">
        <v>176</v>
      </c>
      <c r="B265" s="5" t="s">
        <v>44</v>
      </c>
      <c r="C265" s="7" t="s">
        <v>159</v>
      </c>
      <c r="D265" s="8">
        <v>18</v>
      </c>
      <c r="E265" s="8">
        <v>13</v>
      </c>
      <c r="F265" s="8">
        <v>117</v>
      </c>
      <c r="G265" s="5">
        <v>9</v>
      </c>
      <c r="H265" s="5">
        <v>0</v>
      </c>
      <c r="I265" s="6">
        <f t="shared" si="4"/>
        <v>0</v>
      </c>
      <c r="J265" s="6">
        <f>D265/(VLOOKUP(B265,'[1]2022 Team'!$B$2:$G$33,2,FALSE))</f>
        <v>3.3898305084745763E-2</v>
      </c>
      <c r="K265" s="9">
        <v>72.2</v>
      </c>
      <c r="L265" s="5">
        <v>2</v>
      </c>
    </row>
    <row r="266" spans="1:12" x14ac:dyDescent="0.25">
      <c r="A266" s="5" t="s">
        <v>1779</v>
      </c>
      <c r="B266" s="5" t="s">
        <v>10</v>
      </c>
      <c r="C266" s="7" t="s">
        <v>163</v>
      </c>
      <c r="D266" s="8">
        <v>23</v>
      </c>
      <c r="E266" s="8">
        <v>13</v>
      </c>
      <c r="F266" s="8">
        <v>268</v>
      </c>
      <c r="G266" s="5">
        <v>20.6</v>
      </c>
      <c r="H266" s="5">
        <v>2</v>
      </c>
      <c r="I266" s="6">
        <f t="shared" si="4"/>
        <v>0.15384615384615385</v>
      </c>
      <c r="J266" s="6">
        <f>D266/(VLOOKUP(B266,'[1]2022 Team'!$B$2:$G$33,2,FALSE))</f>
        <v>5.5421686746987948E-2</v>
      </c>
      <c r="K266" s="9">
        <v>56.5</v>
      </c>
      <c r="L266" s="5">
        <v>0</v>
      </c>
    </row>
    <row r="267" spans="1:12" x14ac:dyDescent="0.25">
      <c r="A267" s="5" t="s">
        <v>1780</v>
      </c>
      <c r="B267" s="5" t="s">
        <v>56</v>
      </c>
      <c r="C267" s="7" t="s">
        <v>163</v>
      </c>
      <c r="D267" s="8">
        <v>1</v>
      </c>
      <c r="E267" s="8">
        <v>0</v>
      </c>
      <c r="F267" s="8">
        <v>0</v>
      </c>
      <c r="G267" s="5"/>
      <c r="H267" s="5">
        <v>0</v>
      </c>
      <c r="I267" s="6" t="e">
        <f t="shared" si="4"/>
        <v>#DIV/0!</v>
      </c>
      <c r="J267" s="6">
        <f>D267/(VLOOKUP(B267,'[1]2022 Team'!$B$2:$G$33,2,FALSE))</f>
        <v>1.594896331738437E-3</v>
      </c>
      <c r="K267" s="9">
        <v>0</v>
      </c>
      <c r="L267" s="5">
        <v>0</v>
      </c>
    </row>
    <row r="268" spans="1:12" x14ac:dyDescent="0.25">
      <c r="A268" s="5" t="s">
        <v>1780</v>
      </c>
      <c r="B268" s="5" t="s">
        <v>54</v>
      </c>
      <c r="C268" s="7" t="s">
        <v>163</v>
      </c>
      <c r="D268" s="8">
        <v>18</v>
      </c>
      <c r="E268" s="8">
        <v>13</v>
      </c>
      <c r="F268" s="8">
        <v>118</v>
      </c>
      <c r="G268" s="5">
        <v>9.1</v>
      </c>
      <c r="H268" s="5">
        <v>1</v>
      </c>
      <c r="I268" s="6">
        <f t="shared" si="4"/>
        <v>7.6923076923076927E-2</v>
      </c>
      <c r="J268" s="6">
        <f>D268/(VLOOKUP(B268,'[1]2022 Team'!$B$2:$G$33,2,FALSE))</f>
        <v>3.4615384615384617E-2</v>
      </c>
      <c r="K268" s="9">
        <v>72.2</v>
      </c>
      <c r="L268" s="5">
        <v>0</v>
      </c>
    </row>
    <row r="269" spans="1:12" x14ac:dyDescent="0.25">
      <c r="A269" s="5" t="s">
        <v>791</v>
      </c>
      <c r="B269" s="5" t="s">
        <v>30</v>
      </c>
      <c r="C269" s="7" t="s">
        <v>153</v>
      </c>
      <c r="D269" s="8">
        <v>15</v>
      </c>
      <c r="E269" s="8">
        <v>13</v>
      </c>
      <c r="F269" s="8">
        <v>114</v>
      </c>
      <c r="G269" s="5">
        <v>8.8000000000000007</v>
      </c>
      <c r="H269" s="5">
        <v>0</v>
      </c>
      <c r="I269" s="6">
        <f t="shared" si="4"/>
        <v>0</v>
      </c>
      <c r="J269" s="6">
        <f>D269/(VLOOKUP(B269,'[1]2022 Team'!$B$2:$G$33,2,FALSE))</f>
        <v>2.664298401420959E-2</v>
      </c>
      <c r="K269" s="9">
        <v>86.7</v>
      </c>
      <c r="L269" s="5">
        <v>0</v>
      </c>
    </row>
    <row r="270" spans="1:12" x14ac:dyDescent="0.25">
      <c r="A270" s="5" t="s">
        <v>802</v>
      </c>
      <c r="B270" s="5" t="s">
        <v>10</v>
      </c>
      <c r="C270" s="7" t="s">
        <v>163</v>
      </c>
      <c r="D270" s="8">
        <v>20</v>
      </c>
      <c r="E270" s="8">
        <v>13</v>
      </c>
      <c r="F270" s="8">
        <v>202</v>
      </c>
      <c r="G270" s="5">
        <v>15.5</v>
      </c>
      <c r="H270" s="5">
        <v>1</v>
      </c>
      <c r="I270" s="6">
        <f t="shared" si="4"/>
        <v>7.6923076923076927E-2</v>
      </c>
      <c r="J270" s="6">
        <f>D270/(VLOOKUP(B270,'[1]2022 Team'!$B$2:$G$33,2,FALSE))</f>
        <v>4.8192771084337352E-2</v>
      </c>
      <c r="K270" s="9">
        <v>65</v>
      </c>
      <c r="L270" s="5">
        <v>0</v>
      </c>
    </row>
    <row r="271" spans="1:12" x14ac:dyDescent="0.25">
      <c r="A271" s="5" t="s">
        <v>407</v>
      </c>
      <c r="B271" s="5" t="s">
        <v>56</v>
      </c>
      <c r="C271" s="7" t="s">
        <v>159</v>
      </c>
      <c r="D271" s="8">
        <v>14</v>
      </c>
      <c r="E271" s="8">
        <v>13</v>
      </c>
      <c r="F271" s="8">
        <v>100</v>
      </c>
      <c r="G271" s="5">
        <v>7.7</v>
      </c>
      <c r="H271" s="5">
        <v>0</v>
      </c>
      <c r="I271" s="6">
        <f t="shared" si="4"/>
        <v>0</v>
      </c>
      <c r="J271" s="6">
        <f>D271/(VLOOKUP(B271,'[1]2022 Team'!$B$2:$G$33,2,FALSE))</f>
        <v>2.2328548644338118E-2</v>
      </c>
      <c r="K271" s="9">
        <v>92.9</v>
      </c>
      <c r="L271" s="5">
        <v>2</v>
      </c>
    </row>
    <row r="272" spans="1:12" x14ac:dyDescent="0.25">
      <c r="A272" s="5" t="s">
        <v>365</v>
      </c>
      <c r="B272" s="5" t="s">
        <v>38</v>
      </c>
      <c r="C272" s="7" t="s">
        <v>159</v>
      </c>
      <c r="D272" s="8">
        <v>14</v>
      </c>
      <c r="E272" s="8">
        <v>13</v>
      </c>
      <c r="F272" s="8">
        <v>130</v>
      </c>
      <c r="G272" s="5">
        <v>10</v>
      </c>
      <c r="H272" s="5">
        <v>0</v>
      </c>
      <c r="I272" s="6">
        <f t="shared" si="4"/>
        <v>0</v>
      </c>
      <c r="J272" s="6">
        <f>D272/(VLOOKUP(B272,'[1]2022 Team'!$B$2:$G$33,2,FALSE))</f>
        <v>2.1505376344086023E-2</v>
      </c>
      <c r="K272" s="9">
        <v>92.9</v>
      </c>
      <c r="L272" s="5">
        <v>4</v>
      </c>
    </row>
    <row r="273" spans="1:12" x14ac:dyDescent="0.25">
      <c r="A273" s="5" t="s">
        <v>665</v>
      </c>
      <c r="B273" s="5" t="s">
        <v>54</v>
      </c>
      <c r="C273" s="7" t="s">
        <v>163</v>
      </c>
      <c r="D273" s="8">
        <v>24</v>
      </c>
      <c r="E273" s="8">
        <v>13</v>
      </c>
      <c r="F273" s="8">
        <v>154</v>
      </c>
      <c r="G273" s="5">
        <v>11.8</v>
      </c>
      <c r="H273" s="5">
        <v>1</v>
      </c>
      <c r="I273" s="6">
        <f t="shared" si="4"/>
        <v>7.6923076923076927E-2</v>
      </c>
      <c r="J273" s="6">
        <f>D273/(VLOOKUP(B273,'[1]2022 Team'!$B$2:$G$33,2,FALSE))</f>
        <v>4.6153846153846156E-2</v>
      </c>
      <c r="K273" s="9">
        <v>54.2</v>
      </c>
      <c r="L273" s="5">
        <v>0</v>
      </c>
    </row>
    <row r="274" spans="1:12" x14ac:dyDescent="0.25">
      <c r="A274" s="5" t="s">
        <v>2415</v>
      </c>
      <c r="B274" s="5" t="s">
        <v>10</v>
      </c>
      <c r="C274" s="7" t="s">
        <v>159</v>
      </c>
      <c r="D274" s="8">
        <v>14</v>
      </c>
      <c r="E274" s="8">
        <v>13</v>
      </c>
      <c r="F274" s="8">
        <v>61</v>
      </c>
      <c r="G274" s="5">
        <v>4.7</v>
      </c>
      <c r="H274" s="5">
        <v>0</v>
      </c>
      <c r="I274" s="6">
        <f t="shared" si="4"/>
        <v>0</v>
      </c>
      <c r="J274" s="6">
        <f>D274/(VLOOKUP(B274,'[1]2022 Team'!$B$2:$G$33,2,FALSE))</f>
        <v>3.3734939759036145E-2</v>
      </c>
      <c r="K274" s="9">
        <v>92.9</v>
      </c>
      <c r="L274" s="5">
        <v>1</v>
      </c>
    </row>
    <row r="275" spans="1:12" x14ac:dyDescent="0.25">
      <c r="A275" s="5" t="s">
        <v>556</v>
      </c>
      <c r="B275" s="5" t="s">
        <v>60</v>
      </c>
      <c r="C275" s="7" t="s">
        <v>153</v>
      </c>
      <c r="D275" s="8">
        <v>17</v>
      </c>
      <c r="E275" s="8">
        <v>12</v>
      </c>
      <c r="F275" s="8">
        <v>151</v>
      </c>
      <c r="G275" s="5">
        <v>12.6</v>
      </c>
      <c r="H275" s="5">
        <v>1</v>
      </c>
      <c r="I275" s="6">
        <f t="shared" si="4"/>
        <v>8.3333333333333329E-2</v>
      </c>
      <c r="J275" s="6">
        <f>D275/(VLOOKUP(B275,'[1]2022 Team'!$B$2:$G$33,2,FALSE))</f>
        <v>2.9772329246935202E-2</v>
      </c>
      <c r="K275" s="9">
        <v>70.599999999999994</v>
      </c>
      <c r="L275" s="5">
        <v>0</v>
      </c>
    </row>
    <row r="276" spans="1:12" x14ac:dyDescent="0.25">
      <c r="A276" s="5" t="s">
        <v>522</v>
      </c>
      <c r="B276" s="5" t="s">
        <v>12</v>
      </c>
      <c r="C276" s="7" t="s">
        <v>159</v>
      </c>
      <c r="D276" s="8">
        <v>12</v>
      </c>
      <c r="E276" s="8">
        <v>12</v>
      </c>
      <c r="F276" s="8">
        <v>58</v>
      </c>
      <c r="G276" s="5">
        <v>4.8</v>
      </c>
      <c r="H276" s="5">
        <v>0</v>
      </c>
      <c r="I276" s="6">
        <f t="shared" si="4"/>
        <v>0</v>
      </c>
      <c r="J276" s="6">
        <f>D276/(VLOOKUP(B276,'[1]2022 Team'!$B$2:$G$33,2,FALSE))</f>
        <v>2.4590163934426229E-2</v>
      </c>
      <c r="K276" s="9">
        <v>100</v>
      </c>
      <c r="L276" s="5">
        <v>2</v>
      </c>
    </row>
    <row r="277" spans="1:12" x14ac:dyDescent="0.25">
      <c r="A277" s="5" t="s">
        <v>2410</v>
      </c>
      <c r="B277" s="5" t="s">
        <v>28</v>
      </c>
      <c r="C277" s="7" t="s">
        <v>159</v>
      </c>
      <c r="D277" s="8">
        <v>19</v>
      </c>
      <c r="E277" s="8">
        <v>12</v>
      </c>
      <c r="F277" s="8">
        <v>101</v>
      </c>
      <c r="G277" s="5">
        <v>8.4</v>
      </c>
      <c r="H277" s="5">
        <v>1</v>
      </c>
      <c r="I277" s="6">
        <f t="shared" si="4"/>
        <v>8.3333333333333329E-2</v>
      </c>
      <c r="J277" s="6">
        <f>D277/(VLOOKUP(B277,'[1]2022 Team'!$B$2:$G$33,2,FALSE))</f>
        <v>3.2312925170068028E-2</v>
      </c>
      <c r="K277" s="9">
        <v>63.2</v>
      </c>
      <c r="L277" s="5">
        <v>0</v>
      </c>
    </row>
    <row r="278" spans="1:12" x14ac:dyDescent="0.25">
      <c r="A278" s="5" t="s">
        <v>431</v>
      </c>
      <c r="B278" s="5" t="s">
        <v>56</v>
      </c>
      <c r="C278" s="7" t="s">
        <v>159</v>
      </c>
      <c r="D278" s="8">
        <v>24</v>
      </c>
      <c r="E278" s="8">
        <v>12</v>
      </c>
      <c r="F278" s="8">
        <v>88</v>
      </c>
      <c r="G278" s="5">
        <v>7.3</v>
      </c>
      <c r="H278" s="5">
        <v>0</v>
      </c>
      <c r="I278" s="6">
        <f t="shared" si="4"/>
        <v>0</v>
      </c>
      <c r="J278" s="6">
        <f>D278/(VLOOKUP(B278,'[1]2022 Team'!$B$2:$G$33,2,FALSE))</f>
        <v>3.8277511961722487E-2</v>
      </c>
      <c r="K278" s="9">
        <v>50</v>
      </c>
      <c r="L278" s="5">
        <v>0</v>
      </c>
    </row>
    <row r="279" spans="1:12" x14ac:dyDescent="0.25">
      <c r="A279" s="5" t="s">
        <v>1851</v>
      </c>
      <c r="B279" s="5" t="s">
        <v>68</v>
      </c>
      <c r="C279" s="7" t="s">
        <v>153</v>
      </c>
      <c r="D279" s="8">
        <v>16</v>
      </c>
      <c r="E279" s="8">
        <v>12</v>
      </c>
      <c r="F279" s="8">
        <v>58</v>
      </c>
      <c r="G279" s="5">
        <v>4.8</v>
      </c>
      <c r="H279" s="5">
        <v>1</v>
      </c>
      <c r="I279" s="6">
        <f t="shared" si="4"/>
        <v>8.3333333333333329E-2</v>
      </c>
      <c r="J279" s="6">
        <f>D279/(VLOOKUP(B279,'[1]2022 Team'!$B$2:$G$33,2,FALSE))</f>
        <v>3.5087719298245612E-2</v>
      </c>
      <c r="K279" s="9">
        <v>75</v>
      </c>
      <c r="L279" s="5">
        <v>0</v>
      </c>
    </row>
    <row r="280" spans="1:12" x14ac:dyDescent="0.25">
      <c r="A280" s="5" t="s">
        <v>1655</v>
      </c>
      <c r="B280" s="5" t="s">
        <v>28</v>
      </c>
      <c r="C280" s="7" t="s">
        <v>159</v>
      </c>
      <c r="D280" s="8">
        <v>16</v>
      </c>
      <c r="E280" s="8">
        <v>12</v>
      </c>
      <c r="F280" s="8">
        <v>73</v>
      </c>
      <c r="G280" s="5">
        <v>6.1</v>
      </c>
      <c r="H280" s="5">
        <v>0</v>
      </c>
      <c r="I280" s="6">
        <f t="shared" si="4"/>
        <v>0</v>
      </c>
      <c r="J280" s="6">
        <f>D280/(VLOOKUP(B280,'[1]2022 Team'!$B$2:$G$33,2,FALSE))</f>
        <v>2.7210884353741496E-2</v>
      </c>
      <c r="K280" s="9">
        <v>75</v>
      </c>
      <c r="L280" s="5">
        <v>3</v>
      </c>
    </row>
    <row r="281" spans="1:12" x14ac:dyDescent="0.25">
      <c r="A281" s="5" t="s">
        <v>948</v>
      </c>
      <c r="B281" s="5" t="s">
        <v>46</v>
      </c>
      <c r="C281" s="7" t="s">
        <v>163</v>
      </c>
      <c r="D281" s="8">
        <v>18</v>
      </c>
      <c r="E281" s="8">
        <v>12</v>
      </c>
      <c r="F281" s="8">
        <v>136</v>
      </c>
      <c r="G281" s="5">
        <v>11.3</v>
      </c>
      <c r="H281" s="5">
        <v>0</v>
      </c>
      <c r="I281" s="6">
        <f t="shared" si="4"/>
        <v>0</v>
      </c>
      <c r="J281" s="6">
        <f>D281/(VLOOKUP(B281,'[1]2022 Team'!$B$2:$G$33,2,FALSE))</f>
        <v>3.0821917808219176E-2</v>
      </c>
      <c r="K281" s="9">
        <v>66.7</v>
      </c>
      <c r="L281" s="5">
        <v>0</v>
      </c>
    </row>
    <row r="282" spans="1:12" x14ac:dyDescent="0.25">
      <c r="A282" s="5" t="s">
        <v>790</v>
      </c>
      <c r="B282" s="5" t="s">
        <v>32</v>
      </c>
      <c r="C282" s="7" t="s">
        <v>153</v>
      </c>
      <c r="D282" s="8">
        <v>10</v>
      </c>
      <c r="E282" s="8">
        <v>7</v>
      </c>
      <c r="F282" s="8">
        <v>72</v>
      </c>
      <c r="G282" s="5">
        <v>10.3</v>
      </c>
      <c r="H282" s="5">
        <v>0</v>
      </c>
      <c r="I282" s="6">
        <f t="shared" si="4"/>
        <v>0</v>
      </c>
      <c r="J282" s="6">
        <f>D282/(VLOOKUP(B282,'[1]2022 Team'!$B$2:$G$33,2,FALSE))</f>
        <v>1.7271157167530225E-2</v>
      </c>
      <c r="K282" s="9">
        <v>70</v>
      </c>
      <c r="L282" s="5">
        <v>0</v>
      </c>
    </row>
    <row r="283" spans="1:12" x14ac:dyDescent="0.25">
      <c r="A283" s="5" t="s">
        <v>790</v>
      </c>
      <c r="B283" s="5" t="s">
        <v>22</v>
      </c>
      <c r="C283" s="7" t="s">
        <v>153</v>
      </c>
      <c r="D283" s="8">
        <v>10</v>
      </c>
      <c r="E283" s="8">
        <v>5</v>
      </c>
      <c r="F283" s="8">
        <v>45</v>
      </c>
      <c r="G283" s="5">
        <v>9</v>
      </c>
      <c r="H283" s="5">
        <v>0</v>
      </c>
      <c r="I283" s="6">
        <f t="shared" si="4"/>
        <v>0</v>
      </c>
      <c r="J283" s="6">
        <f>D283/(VLOOKUP(B283,'[1]2022 Team'!$B$2:$G$33,2,FALSE))</f>
        <v>1.8518518518518517E-2</v>
      </c>
      <c r="K283" s="9">
        <v>50</v>
      </c>
      <c r="L283" s="5">
        <v>0</v>
      </c>
    </row>
    <row r="284" spans="1:12" x14ac:dyDescent="0.25">
      <c r="A284" s="5" t="s">
        <v>547</v>
      </c>
      <c r="B284" s="5" t="s">
        <v>68</v>
      </c>
      <c r="C284" s="7" t="s">
        <v>159</v>
      </c>
      <c r="D284" s="8">
        <v>12</v>
      </c>
      <c r="E284" s="8">
        <v>11</v>
      </c>
      <c r="F284" s="8">
        <v>57</v>
      </c>
      <c r="G284" s="5">
        <v>5.2</v>
      </c>
      <c r="H284" s="5">
        <v>0</v>
      </c>
      <c r="I284" s="6">
        <f t="shared" si="4"/>
        <v>0</v>
      </c>
      <c r="J284" s="6">
        <f>D284/(VLOOKUP(B284,'[1]2022 Team'!$B$2:$G$33,2,FALSE))</f>
        <v>2.6315789473684209E-2</v>
      </c>
      <c r="K284" s="9">
        <v>91.7</v>
      </c>
      <c r="L284" s="5">
        <v>0</v>
      </c>
    </row>
    <row r="285" spans="1:12" x14ac:dyDescent="0.25">
      <c r="A285" s="5" t="s">
        <v>1748</v>
      </c>
      <c r="B285" s="5" t="s">
        <v>24</v>
      </c>
      <c r="C285" s="7" t="s">
        <v>153</v>
      </c>
      <c r="D285" s="8">
        <v>16</v>
      </c>
      <c r="E285" s="8">
        <v>11</v>
      </c>
      <c r="F285" s="8">
        <v>103</v>
      </c>
      <c r="G285" s="5">
        <v>9.4</v>
      </c>
      <c r="H285" s="5">
        <v>2</v>
      </c>
      <c r="I285" s="6">
        <f t="shared" si="4"/>
        <v>0.18181818181818182</v>
      </c>
      <c r="J285" s="6">
        <f>D285/(VLOOKUP(B285,'[1]2022 Team'!$B$2:$G$33,2,FALSE))</f>
        <v>2.8776978417266189E-2</v>
      </c>
      <c r="K285" s="9">
        <v>68.8</v>
      </c>
      <c r="L285" s="5">
        <v>1</v>
      </c>
    </row>
    <row r="286" spans="1:12" x14ac:dyDescent="0.25">
      <c r="A286" s="5" t="s">
        <v>2509</v>
      </c>
      <c r="B286" s="5" t="s">
        <v>56</v>
      </c>
      <c r="C286" s="7" t="s">
        <v>163</v>
      </c>
      <c r="D286" s="8">
        <v>25</v>
      </c>
      <c r="E286" s="8">
        <v>11</v>
      </c>
      <c r="F286" s="8">
        <v>186</v>
      </c>
      <c r="G286" s="5">
        <v>16.899999999999999</v>
      </c>
      <c r="H286" s="5">
        <v>0</v>
      </c>
      <c r="I286" s="6">
        <f t="shared" si="4"/>
        <v>0</v>
      </c>
      <c r="J286" s="6">
        <f>D286/(VLOOKUP(B286,'[1]2022 Team'!$B$2:$G$33,2,FALSE))</f>
        <v>3.9872408293460927E-2</v>
      </c>
      <c r="K286" s="9">
        <v>44</v>
      </c>
      <c r="L286" s="5">
        <v>0</v>
      </c>
    </row>
    <row r="287" spans="1:12" x14ac:dyDescent="0.25">
      <c r="A287" s="5" t="s">
        <v>832</v>
      </c>
      <c r="B287" s="5" t="s">
        <v>28</v>
      </c>
      <c r="C287" s="7" t="s">
        <v>153</v>
      </c>
      <c r="D287" s="8">
        <v>11</v>
      </c>
      <c r="E287" s="8">
        <v>11</v>
      </c>
      <c r="F287" s="8">
        <v>113</v>
      </c>
      <c r="G287" s="5">
        <v>10.3</v>
      </c>
      <c r="H287" s="5">
        <v>1</v>
      </c>
      <c r="I287" s="6">
        <f t="shared" si="4"/>
        <v>9.0909090909090912E-2</v>
      </c>
      <c r="J287" s="6">
        <f>D287/(VLOOKUP(B287,'[1]2022 Team'!$B$2:$G$33,2,FALSE))</f>
        <v>1.8707482993197279E-2</v>
      </c>
      <c r="K287" s="9">
        <v>100</v>
      </c>
      <c r="L287" s="5">
        <v>0</v>
      </c>
    </row>
    <row r="288" spans="1:12" x14ac:dyDescent="0.25">
      <c r="A288" s="5" t="s">
        <v>729</v>
      </c>
      <c r="B288" s="5" t="s">
        <v>12</v>
      </c>
      <c r="C288" s="7" t="s">
        <v>613</v>
      </c>
      <c r="D288" s="8">
        <v>13</v>
      </c>
      <c r="E288" s="8">
        <v>11</v>
      </c>
      <c r="F288" s="8">
        <v>74</v>
      </c>
      <c r="G288" s="5">
        <v>6.7</v>
      </c>
      <c r="H288" s="5">
        <v>0</v>
      </c>
      <c r="I288" s="6">
        <f t="shared" si="4"/>
        <v>0</v>
      </c>
      <c r="J288" s="6">
        <f>D288/(VLOOKUP(B288,'[1]2022 Team'!$B$2:$G$33,2,FALSE))</f>
        <v>2.663934426229508E-2</v>
      </c>
      <c r="K288" s="9">
        <v>84.6</v>
      </c>
      <c r="L288" s="5">
        <v>0</v>
      </c>
    </row>
    <row r="289" spans="1:12" x14ac:dyDescent="0.25">
      <c r="A289" s="5" t="s">
        <v>809</v>
      </c>
      <c r="B289" s="5" t="s">
        <v>54</v>
      </c>
      <c r="C289" s="7" t="s">
        <v>163</v>
      </c>
      <c r="D289" s="8">
        <v>17</v>
      </c>
      <c r="E289" s="8">
        <v>11</v>
      </c>
      <c r="F289" s="8">
        <v>106</v>
      </c>
      <c r="G289" s="5">
        <v>9.6</v>
      </c>
      <c r="H289" s="5">
        <v>0</v>
      </c>
      <c r="I289" s="6">
        <f t="shared" si="4"/>
        <v>0</v>
      </c>
      <c r="J289" s="6">
        <f>D289/(VLOOKUP(B289,'[1]2022 Team'!$B$2:$G$33,2,FALSE))</f>
        <v>3.2692307692307694E-2</v>
      </c>
      <c r="K289" s="9">
        <v>64.7</v>
      </c>
      <c r="L289" s="5">
        <v>0</v>
      </c>
    </row>
    <row r="290" spans="1:12" x14ac:dyDescent="0.25">
      <c r="A290" s="5" t="s">
        <v>960</v>
      </c>
      <c r="B290" s="5" t="s">
        <v>58</v>
      </c>
      <c r="C290" s="7" t="s">
        <v>153</v>
      </c>
      <c r="D290" s="8">
        <v>14</v>
      </c>
      <c r="E290" s="8">
        <v>11</v>
      </c>
      <c r="F290" s="8">
        <v>123</v>
      </c>
      <c r="G290" s="5">
        <v>11.2</v>
      </c>
      <c r="H290" s="5">
        <v>0</v>
      </c>
      <c r="I290" s="6">
        <f t="shared" si="4"/>
        <v>0</v>
      </c>
      <c r="J290" s="6">
        <f>D290/(VLOOKUP(B290,'[1]2022 Team'!$B$2:$G$33,2,FALSE))</f>
        <v>2.6119402985074626E-2</v>
      </c>
      <c r="K290" s="9">
        <v>78.599999999999994</v>
      </c>
      <c r="L290" s="5">
        <v>0</v>
      </c>
    </row>
    <row r="291" spans="1:12" x14ac:dyDescent="0.25">
      <c r="A291" s="5" t="s">
        <v>877</v>
      </c>
      <c r="B291" s="5" t="s">
        <v>28</v>
      </c>
      <c r="C291" s="7" t="s">
        <v>153</v>
      </c>
      <c r="D291" s="8">
        <v>15</v>
      </c>
      <c r="E291" s="8">
        <v>11</v>
      </c>
      <c r="F291" s="8">
        <v>60</v>
      </c>
      <c r="G291" s="5">
        <v>5.5</v>
      </c>
      <c r="H291" s="5">
        <v>4</v>
      </c>
      <c r="I291" s="6">
        <f t="shared" si="4"/>
        <v>0.36363636363636365</v>
      </c>
      <c r="J291" s="6">
        <f>D291/(VLOOKUP(B291,'[1]2022 Team'!$B$2:$G$33,2,FALSE))</f>
        <v>2.5510204081632654E-2</v>
      </c>
      <c r="K291" s="9">
        <v>73.3</v>
      </c>
      <c r="L291" s="5">
        <v>0</v>
      </c>
    </row>
    <row r="292" spans="1:12" x14ac:dyDescent="0.25">
      <c r="A292" s="5" t="s">
        <v>1760</v>
      </c>
      <c r="B292" s="5" t="s">
        <v>36</v>
      </c>
      <c r="C292" s="7" t="s">
        <v>159</v>
      </c>
      <c r="D292" s="8">
        <v>11</v>
      </c>
      <c r="E292" s="8">
        <v>9</v>
      </c>
      <c r="F292" s="8">
        <v>46</v>
      </c>
      <c r="G292" s="5">
        <v>5.0999999999999996</v>
      </c>
      <c r="H292" s="5">
        <v>1</v>
      </c>
      <c r="I292" s="6">
        <f t="shared" si="4"/>
        <v>0.1111111111111111</v>
      </c>
      <c r="J292" s="6">
        <f>D292/(VLOOKUP(B292,'[1]2022 Team'!$B$2:$G$33,2,FALSE))</f>
        <v>1.8456375838926176E-2</v>
      </c>
      <c r="K292" s="9">
        <v>81.8</v>
      </c>
      <c r="L292" s="5">
        <v>1</v>
      </c>
    </row>
    <row r="293" spans="1:12" x14ac:dyDescent="0.25">
      <c r="A293" s="5" t="s">
        <v>1760</v>
      </c>
      <c r="B293" s="5" t="s">
        <v>56</v>
      </c>
      <c r="C293" s="7" t="s">
        <v>159</v>
      </c>
      <c r="D293" s="8">
        <v>3</v>
      </c>
      <c r="E293" s="8">
        <v>2</v>
      </c>
      <c r="F293" s="8">
        <v>5</v>
      </c>
      <c r="G293" s="5">
        <v>2.5</v>
      </c>
      <c r="H293" s="5">
        <v>1</v>
      </c>
      <c r="I293" s="6">
        <f t="shared" si="4"/>
        <v>0.5</v>
      </c>
      <c r="J293" s="6">
        <f>D293/(VLOOKUP(B293,'[1]2022 Team'!$B$2:$G$33,2,FALSE))</f>
        <v>4.7846889952153108E-3</v>
      </c>
      <c r="K293" s="9">
        <v>66.7</v>
      </c>
      <c r="L293" s="5">
        <v>0</v>
      </c>
    </row>
    <row r="294" spans="1:12" x14ac:dyDescent="0.25">
      <c r="A294" s="5" t="s">
        <v>1629</v>
      </c>
      <c r="B294" s="5" t="s">
        <v>14</v>
      </c>
      <c r="C294" s="7" t="s">
        <v>159</v>
      </c>
      <c r="D294" s="8">
        <v>8</v>
      </c>
      <c r="E294" s="8">
        <v>7</v>
      </c>
      <c r="F294" s="8">
        <v>27</v>
      </c>
      <c r="G294" s="5">
        <v>3.9</v>
      </c>
      <c r="H294" s="5">
        <v>0</v>
      </c>
      <c r="I294" s="6">
        <f t="shared" si="4"/>
        <v>0</v>
      </c>
      <c r="J294" s="6">
        <f>D294/(VLOOKUP(B294,'[1]2022 Team'!$B$2:$G$33,2,FALSE))</f>
        <v>1.3937282229965157E-2</v>
      </c>
      <c r="K294" s="9">
        <v>87.5</v>
      </c>
      <c r="L294" s="5">
        <v>1</v>
      </c>
    </row>
    <row r="295" spans="1:12" x14ac:dyDescent="0.25">
      <c r="A295" s="5" t="s">
        <v>1629</v>
      </c>
      <c r="B295" s="5" t="s">
        <v>34</v>
      </c>
      <c r="C295" s="7" t="s">
        <v>159</v>
      </c>
      <c r="D295" s="8">
        <v>5</v>
      </c>
      <c r="E295" s="8">
        <v>4</v>
      </c>
      <c r="F295" s="8">
        <v>12</v>
      </c>
      <c r="G295" s="5">
        <v>3</v>
      </c>
      <c r="H295" s="5">
        <v>0</v>
      </c>
      <c r="I295" s="6">
        <f t="shared" si="4"/>
        <v>0</v>
      </c>
      <c r="J295" s="6">
        <f>D295/(VLOOKUP(B295,'[1]2022 Team'!$B$2:$G$33,2,FALSE))</f>
        <v>8.2781456953642391E-3</v>
      </c>
      <c r="K295" s="9">
        <v>80</v>
      </c>
      <c r="L295" s="5">
        <v>0</v>
      </c>
    </row>
    <row r="296" spans="1:12" x14ac:dyDescent="0.25">
      <c r="A296" s="5" t="s">
        <v>864</v>
      </c>
      <c r="B296" s="5" t="s">
        <v>42</v>
      </c>
      <c r="C296" s="7" t="s">
        <v>163</v>
      </c>
      <c r="D296" s="8">
        <v>21</v>
      </c>
      <c r="E296" s="8">
        <v>10</v>
      </c>
      <c r="F296" s="8">
        <v>89</v>
      </c>
      <c r="G296" s="5">
        <v>8.9</v>
      </c>
      <c r="H296" s="5">
        <v>0</v>
      </c>
      <c r="I296" s="6">
        <f t="shared" si="4"/>
        <v>0</v>
      </c>
      <c r="J296" s="6">
        <f>D296/(VLOOKUP(B296,'[1]2022 Team'!$B$2:$G$33,2,FALSE))</f>
        <v>2.9535864978902954E-2</v>
      </c>
      <c r="K296" s="9">
        <v>47.6</v>
      </c>
      <c r="L296" s="5">
        <v>0</v>
      </c>
    </row>
    <row r="297" spans="1:12" x14ac:dyDescent="0.25">
      <c r="A297" s="5" t="s">
        <v>1701</v>
      </c>
      <c r="B297" s="5" t="s">
        <v>16</v>
      </c>
      <c r="C297" s="7" t="s">
        <v>159</v>
      </c>
      <c r="D297" s="8">
        <v>12</v>
      </c>
      <c r="E297" s="8">
        <v>10</v>
      </c>
      <c r="F297" s="8">
        <v>93</v>
      </c>
      <c r="G297" s="5">
        <v>9.3000000000000007</v>
      </c>
      <c r="H297" s="5">
        <v>0</v>
      </c>
      <c r="I297" s="6">
        <f t="shared" si="4"/>
        <v>0</v>
      </c>
      <c r="J297" s="6">
        <f>D297/(VLOOKUP(B297,'[1]2022 Team'!$B$2:$G$33,2,FALSE))</f>
        <v>2.6258205689277898E-2</v>
      </c>
      <c r="K297" s="9">
        <v>83.3</v>
      </c>
      <c r="L297" s="5">
        <v>1</v>
      </c>
    </row>
    <row r="298" spans="1:12" x14ac:dyDescent="0.25">
      <c r="A298" s="5" t="s">
        <v>2401</v>
      </c>
      <c r="B298" s="5" t="s">
        <v>40</v>
      </c>
      <c r="C298" s="7" t="s">
        <v>163</v>
      </c>
      <c r="D298" s="8">
        <v>21</v>
      </c>
      <c r="E298" s="8">
        <v>10</v>
      </c>
      <c r="F298" s="8">
        <v>141</v>
      </c>
      <c r="G298" s="5">
        <v>14.1</v>
      </c>
      <c r="H298" s="5">
        <v>1</v>
      </c>
      <c r="I298" s="6">
        <f t="shared" si="4"/>
        <v>0.1</v>
      </c>
      <c r="J298" s="6">
        <f>D298/(VLOOKUP(B298,'[1]2022 Team'!$B$2:$G$33,2,FALSE))</f>
        <v>3.5836177474402729E-2</v>
      </c>
      <c r="K298" s="9">
        <v>47.6</v>
      </c>
      <c r="L298" s="5">
        <v>1</v>
      </c>
    </row>
    <row r="299" spans="1:12" x14ac:dyDescent="0.25">
      <c r="A299" s="5" t="s">
        <v>674</v>
      </c>
      <c r="B299" s="5" t="s">
        <v>48</v>
      </c>
      <c r="C299" s="7" t="s">
        <v>613</v>
      </c>
      <c r="D299" s="8">
        <v>12</v>
      </c>
      <c r="E299" s="8">
        <v>10</v>
      </c>
      <c r="F299" s="8">
        <v>86</v>
      </c>
      <c r="G299" s="5">
        <v>8.6</v>
      </c>
      <c r="H299" s="5">
        <v>0</v>
      </c>
      <c r="I299" s="6">
        <f t="shared" si="4"/>
        <v>0</v>
      </c>
      <c r="J299" s="6">
        <f>D299/(VLOOKUP(B299,'[1]2022 Team'!$B$2:$G$33,2,FALSE))</f>
        <v>1.7857142857142856E-2</v>
      </c>
      <c r="K299" s="9">
        <v>83.3</v>
      </c>
      <c r="L299" s="5">
        <v>0</v>
      </c>
    </row>
    <row r="300" spans="1:12" x14ac:dyDescent="0.25">
      <c r="A300" s="5" t="s">
        <v>2498</v>
      </c>
      <c r="B300" s="5" t="s">
        <v>32</v>
      </c>
      <c r="C300" s="7" t="s">
        <v>153</v>
      </c>
      <c r="D300" s="8">
        <v>23</v>
      </c>
      <c r="E300" s="8">
        <v>10</v>
      </c>
      <c r="F300" s="8">
        <v>145</v>
      </c>
      <c r="G300" s="5">
        <v>14.5</v>
      </c>
      <c r="H300" s="5">
        <v>2</v>
      </c>
      <c r="I300" s="6">
        <f t="shared" si="4"/>
        <v>0.2</v>
      </c>
      <c r="J300" s="6">
        <f>D300/(VLOOKUP(B300,'[1]2022 Team'!$B$2:$G$33,2,FALSE))</f>
        <v>3.9723661485319514E-2</v>
      </c>
      <c r="K300" s="9">
        <v>43.5</v>
      </c>
      <c r="L300" s="5">
        <v>0</v>
      </c>
    </row>
    <row r="301" spans="1:12" x14ac:dyDescent="0.25">
      <c r="A301" s="5" t="s">
        <v>847</v>
      </c>
      <c r="B301" s="5" t="s">
        <v>54</v>
      </c>
      <c r="C301" s="7" t="s">
        <v>153</v>
      </c>
      <c r="D301" s="8">
        <v>15</v>
      </c>
      <c r="E301" s="8">
        <v>10</v>
      </c>
      <c r="F301" s="8">
        <v>132</v>
      </c>
      <c r="G301" s="5">
        <v>13.2</v>
      </c>
      <c r="H301" s="5">
        <v>0</v>
      </c>
      <c r="I301" s="6">
        <f t="shared" si="4"/>
        <v>0</v>
      </c>
      <c r="J301" s="6">
        <f>D301/(VLOOKUP(B301,'[1]2022 Team'!$B$2:$G$33,2,FALSE))</f>
        <v>2.8846153846153848E-2</v>
      </c>
      <c r="K301" s="9">
        <v>66.7</v>
      </c>
      <c r="L301" s="5">
        <v>0</v>
      </c>
    </row>
    <row r="302" spans="1:12" x14ac:dyDescent="0.25">
      <c r="A302" s="5" t="s">
        <v>2507</v>
      </c>
      <c r="B302" s="5" t="s">
        <v>42</v>
      </c>
      <c r="C302" s="7" t="s">
        <v>153</v>
      </c>
      <c r="D302" s="8">
        <v>18</v>
      </c>
      <c r="E302" s="8">
        <v>10</v>
      </c>
      <c r="F302" s="8">
        <v>72</v>
      </c>
      <c r="G302" s="5">
        <v>7.2</v>
      </c>
      <c r="H302" s="5">
        <v>0</v>
      </c>
      <c r="I302" s="6">
        <f t="shared" si="4"/>
        <v>0</v>
      </c>
      <c r="J302" s="6">
        <f>D302/(VLOOKUP(B302,'[1]2022 Team'!$B$2:$G$33,2,FALSE))</f>
        <v>2.5316455696202531E-2</v>
      </c>
      <c r="K302" s="9">
        <v>55.6</v>
      </c>
      <c r="L302" s="5">
        <v>1</v>
      </c>
    </row>
    <row r="303" spans="1:12" x14ac:dyDescent="0.25">
      <c r="A303" s="5" t="s">
        <v>937</v>
      </c>
      <c r="B303" s="5" t="s">
        <v>26</v>
      </c>
      <c r="C303" s="7" t="s">
        <v>153</v>
      </c>
      <c r="D303" s="8">
        <v>18</v>
      </c>
      <c r="E303" s="8">
        <v>10</v>
      </c>
      <c r="F303" s="8">
        <v>95</v>
      </c>
      <c r="G303" s="5">
        <v>9.5</v>
      </c>
      <c r="H303" s="5">
        <v>1</v>
      </c>
      <c r="I303" s="6">
        <f t="shared" si="4"/>
        <v>0.1</v>
      </c>
      <c r="J303" s="6">
        <f>D303/(VLOOKUP(B303,'[1]2022 Team'!$B$2:$G$33,2,FALSE))</f>
        <v>3.1523642732049037E-2</v>
      </c>
      <c r="K303" s="9">
        <v>55.6</v>
      </c>
      <c r="L303" s="5">
        <v>0</v>
      </c>
    </row>
    <row r="304" spans="1:12" x14ac:dyDescent="0.25">
      <c r="A304" s="5" t="s">
        <v>1828</v>
      </c>
      <c r="B304" s="5" t="s">
        <v>42</v>
      </c>
      <c r="C304" s="7" t="s">
        <v>153</v>
      </c>
      <c r="D304" s="8">
        <v>12</v>
      </c>
      <c r="E304" s="8">
        <v>10</v>
      </c>
      <c r="F304" s="8">
        <v>130</v>
      </c>
      <c r="G304" s="5">
        <v>13</v>
      </c>
      <c r="H304" s="5">
        <v>1</v>
      </c>
      <c r="I304" s="6">
        <f t="shared" si="4"/>
        <v>0.1</v>
      </c>
      <c r="J304" s="6">
        <f>D304/(VLOOKUP(B304,'[1]2022 Team'!$B$2:$G$33,2,FALSE))</f>
        <v>1.6877637130801686E-2</v>
      </c>
      <c r="K304" s="9">
        <v>83.3</v>
      </c>
      <c r="L304" s="5">
        <v>0</v>
      </c>
    </row>
    <row r="305" spans="1:12" x14ac:dyDescent="0.25">
      <c r="A305" s="5" t="s">
        <v>1834</v>
      </c>
      <c r="B305" s="5" t="s">
        <v>18</v>
      </c>
      <c r="C305" s="7" t="s">
        <v>163</v>
      </c>
      <c r="D305" s="8">
        <v>16</v>
      </c>
      <c r="E305" s="8">
        <v>10</v>
      </c>
      <c r="F305" s="8">
        <v>135</v>
      </c>
      <c r="G305" s="5">
        <v>13.5</v>
      </c>
      <c r="H305" s="5">
        <v>2</v>
      </c>
      <c r="I305" s="6">
        <f t="shared" ref="I305:I366" si="5">H305/E305</f>
        <v>0.2</v>
      </c>
      <c r="J305" s="6">
        <f>D305/(VLOOKUP(B305,'[1]2022 Team'!$B$2:$G$33,2,FALSE))</f>
        <v>4.2440318302387266E-2</v>
      </c>
      <c r="K305" s="9">
        <v>62.5</v>
      </c>
      <c r="L305" s="5">
        <v>0</v>
      </c>
    </row>
    <row r="306" spans="1:12" x14ac:dyDescent="0.25">
      <c r="A306" s="5" t="s">
        <v>744</v>
      </c>
      <c r="B306" s="5" t="s">
        <v>14</v>
      </c>
      <c r="C306" s="7" t="s">
        <v>163</v>
      </c>
      <c r="D306" s="8">
        <v>20</v>
      </c>
      <c r="E306" s="8">
        <v>10</v>
      </c>
      <c r="F306" s="8">
        <v>161</v>
      </c>
      <c r="G306" s="5">
        <v>16.100000000000001</v>
      </c>
      <c r="H306" s="5">
        <v>1</v>
      </c>
      <c r="I306" s="6">
        <f t="shared" si="5"/>
        <v>0.1</v>
      </c>
      <c r="J306" s="6">
        <f>D306/(VLOOKUP(B306,'[1]2022 Team'!$B$2:$G$33,2,FALSE))</f>
        <v>3.484320557491289E-2</v>
      </c>
      <c r="K306" s="9">
        <v>50</v>
      </c>
      <c r="L306" s="5">
        <v>0</v>
      </c>
    </row>
    <row r="307" spans="1:12" x14ac:dyDescent="0.25">
      <c r="A307" s="5" t="s">
        <v>2461</v>
      </c>
      <c r="B307" s="5" t="s">
        <v>36</v>
      </c>
      <c r="C307" s="7" t="s">
        <v>153</v>
      </c>
      <c r="D307" s="8">
        <v>13</v>
      </c>
      <c r="E307" s="8">
        <v>9</v>
      </c>
      <c r="F307" s="8">
        <v>135</v>
      </c>
      <c r="G307" s="5">
        <v>15</v>
      </c>
      <c r="H307" s="5">
        <v>0</v>
      </c>
      <c r="I307" s="6">
        <f t="shared" si="5"/>
        <v>0</v>
      </c>
      <c r="J307" s="6">
        <f>D307/(VLOOKUP(B307,'[1]2022 Team'!$B$2:$G$33,2,FALSE))</f>
        <v>2.1812080536912751E-2</v>
      </c>
      <c r="K307" s="9">
        <v>69.2</v>
      </c>
      <c r="L307" s="5">
        <v>0</v>
      </c>
    </row>
    <row r="308" spans="1:12" x14ac:dyDescent="0.25">
      <c r="A308" s="5" t="s">
        <v>1723</v>
      </c>
      <c r="B308" s="5" t="s">
        <v>40</v>
      </c>
      <c r="C308" s="7" t="s">
        <v>159</v>
      </c>
      <c r="D308" s="8">
        <v>9</v>
      </c>
      <c r="E308" s="8">
        <v>9</v>
      </c>
      <c r="F308" s="8">
        <v>57</v>
      </c>
      <c r="G308" s="5">
        <v>6.3</v>
      </c>
      <c r="H308" s="5">
        <v>1</v>
      </c>
      <c r="I308" s="6">
        <f t="shared" si="5"/>
        <v>0.1111111111111111</v>
      </c>
      <c r="J308" s="6">
        <f>D308/(VLOOKUP(B308,'[1]2022 Team'!$B$2:$G$33,2,FALSE))</f>
        <v>1.5358361774744027E-2</v>
      </c>
      <c r="K308" s="9">
        <v>100</v>
      </c>
      <c r="L308" s="5">
        <v>0</v>
      </c>
    </row>
    <row r="309" spans="1:12" x14ac:dyDescent="0.25">
      <c r="A309" s="5" t="s">
        <v>1717</v>
      </c>
      <c r="B309" s="5" t="s">
        <v>26</v>
      </c>
      <c r="C309" s="7" t="s">
        <v>159</v>
      </c>
      <c r="D309" s="8">
        <v>15</v>
      </c>
      <c r="E309" s="8">
        <v>9</v>
      </c>
      <c r="F309" s="8">
        <v>96</v>
      </c>
      <c r="G309" s="5">
        <v>10.7</v>
      </c>
      <c r="H309" s="5">
        <v>0</v>
      </c>
      <c r="I309" s="6">
        <f t="shared" si="5"/>
        <v>0</v>
      </c>
      <c r="J309" s="6">
        <f>D309/(VLOOKUP(B309,'[1]2022 Team'!$B$2:$G$33,2,FALSE))</f>
        <v>2.6269702276707531E-2</v>
      </c>
      <c r="K309" s="9">
        <v>60</v>
      </c>
      <c r="L309" s="5">
        <v>0</v>
      </c>
    </row>
    <row r="310" spans="1:12" x14ac:dyDescent="0.25">
      <c r="A310" s="5" t="s">
        <v>1788</v>
      </c>
      <c r="B310" s="5" t="s">
        <v>46</v>
      </c>
      <c r="C310" s="7" t="s">
        <v>163</v>
      </c>
      <c r="D310" s="8">
        <v>14</v>
      </c>
      <c r="E310" s="8">
        <v>9</v>
      </c>
      <c r="F310" s="8">
        <v>102</v>
      </c>
      <c r="G310" s="5">
        <v>11.3</v>
      </c>
      <c r="H310" s="5">
        <v>2</v>
      </c>
      <c r="I310" s="6">
        <f t="shared" si="5"/>
        <v>0.22222222222222221</v>
      </c>
      <c r="J310" s="6">
        <f>D310/(VLOOKUP(B310,'[1]2022 Team'!$B$2:$G$33,2,FALSE))</f>
        <v>2.3972602739726026E-2</v>
      </c>
      <c r="K310" s="9">
        <v>64.3</v>
      </c>
      <c r="L310" s="5">
        <v>0</v>
      </c>
    </row>
    <row r="311" spans="1:12" x14ac:dyDescent="0.25">
      <c r="A311" s="5" t="s">
        <v>871</v>
      </c>
      <c r="B311" s="5" t="s">
        <v>10</v>
      </c>
      <c r="C311" s="7" t="s">
        <v>613</v>
      </c>
      <c r="D311" s="8">
        <v>13</v>
      </c>
      <c r="E311" s="8">
        <v>9</v>
      </c>
      <c r="F311" s="8">
        <v>100</v>
      </c>
      <c r="G311" s="5">
        <v>11.1</v>
      </c>
      <c r="H311" s="5">
        <v>0</v>
      </c>
      <c r="I311" s="6">
        <f t="shared" si="5"/>
        <v>0</v>
      </c>
      <c r="J311" s="6">
        <f>D311/(VLOOKUP(B311,'[1]2022 Team'!$B$2:$G$33,2,FALSE))</f>
        <v>3.1325301204819279E-2</v>
      </c>
      <c r="K311" s="9">
        <v>69.2</v>
      </c>
      <c r="L311" s="5">
        <v>0</v>
      </c>
    </row>
    <row r="312" spans="1:12" x14ac:dyDescent="0.25">
      <c r="A312" s="5" t="s">
        <v>2186</v>
      </c>
      <c r="B312" s="5" t="s">
        <v>38</v>
      </c>
      <c r="C312" s="7" t="s">
        <v>153</v>
      </c>
      <c r="D312" s="8">
        <v>13</v>
      </c>
      <c r="E312" s="8">
        <v>9</v>
      </c>
      <c r="F312" s="8">
        <v>108</v>
      </c>
      <c r="G312" s="5">
        <v>12</v>
      </c>
      <c r="H312" s="5">
        <v>2</v>
      </c>
      <c r="I312" s="6">
        <f t="shared" si="5"/>
        <v>0.22222222222222221</v>
      </c>
      <c r="J312" s="6">
        <f>D312/(VLOOKUP(B312,'[1]2022 Team'!$B$2:$G$33,2,FALSE))</f>
        <v>1.9969278033794162E-2</v>
      </c>
      <c r="K312" s="9">
        <v>69.2</v>
      </c>
      <c r="L312" s="5">
        <v>1</v>
      </c>
    </row>
    <row r="313" spans="1:12" x14ac:dyDescent="0.25">
      <c r="A313" s="5" t="s">
        <v>543</v>
      </c>
      <c r="B313" s="5" t="s">
        <v>18</v>
      </c>
      <c r="C313" s="7" t="s">
        <v>159</v>
      </c>
      <c r="D313" s="8">
        <v>12</v>
      </c>
      <c r="E313" s="8">
        <v>9</v>
      </c>
      <c r="F313" s="8">
        <v>57</v>
      </c>
      <c r="G313" s="5">
        <v>6.3</v>
      </c>
      <c r="H313" s="5">
        <v>1</v>
      </c>
      <c r="I313" s="6">
        <f t="shared" si="5"/>
        <v>0.1111111111111111</v>
      </c>
      <c r="J313" s="6">
        <f>D313/(VLOOKUP(B313,'[1]2022 Team'!$B$2:$G$33,2,FALSE))</f>
        <v>3.1830238726790451E-2</v>
      </c>
      <c r="K313" s="9">
        <v>75</v>
      </c>
      <c r="L313" s="5">
        <v>0</v>
      </c>
    </row>
    <row r="314" spans="1:12" x14ac:dyDescent="0.25">
      <c r="A314" s="5" t="s">
        <v>2494</v>
      </c>
      <c r="B314" s="5" t="s">
        <v>10</v>
      </c>
      <c r="C314" s="7" t="s">
        <v>153</v>
      </c>
      <c r="D314" s="8">
        <v>11</v>
      </c>
      <c r="E314" s="8">
        <v>9</v>
      </c>
      <c r="F314" s="8">
        <v>89</v>
      </c>
      <c r="G314" s="5">
        <v>9.9</v>
      </c>
      <c r="H314" s="5">
        <v>0</v>
      </c>
      <c r="I314" s="6">
        <f t="shared" si="5"/>
        <v>0</v>
      </c>
      <c r="J314" s="6">
        <f>D314/(VLOOKUP(B314,'[1]2022 Team'!$B$2:$G$33,2,FALSE))</f>
        <v>2.6506024096385541E-2</v>
      </c>
      <c r="K314" s="9">
        <v>81.8</v>
      </c>
      <c r="L314" s="5">
        <v>0</v>
      </c>
    </row>
    <row r="315" spans="1:12" x14ac:dyDescent="0.25">
      <c r="A315" s="5" t="s">
        <v>152</v>
      </c>
      <c r="B315" s="5" t="s">
        <v>52</v>
      </c>
      <c r="C315" s="7" t="s">
        <v>1571</v>
      </c>
      <c r="D315" s="8">
        <v>13</v>
      </c>
      <c r="E315" s="8">
        <v>9</v>
      </c>
      <c r="F315" s="8">
        <v>77</v>
      </c>
      <c r="G315" s="5">
        <v>8.6</v>
      </c>
      <c r="H315" s="5">
        <v>2</v>
      </c>
      <c r="I315" s="6">
        <f t="shared" si="5"/>
        <v>0.22222222222222221</v>
      </c>
      <c r="J315" s="6">
        <f>D315/(VLOOKUP(B315,'[1]2022 Team'!$B$2:$G$33,2,FALSE))</f>
        <v>2.5390625E-2</v>
      </c>
      <c r="K315" s="9">
        <v>69.2</v>
      </c>
      <c r="L315" s="5">
        <v>2</v>
      </c>
    </row>
    <row r="316" spans="1:12" x14ac:dyDescent="0.25">
      <c r="A316" s="5" t="s">
        <v>2499</v>
      </c>
      <c r="B316" s="5" t="s">
        <v>12</v>
      </c>
      <c r="C316" s="7" t="s">
        <v>163</v>
      </c>
      <c r="D316" s="8">
        <v>17</v>
      </c>
      <c r="E316" s="8">
        <v>9</v>
      </c>
      <c r="F316" s="8">
        <v>153</v>
      </c>
      <c r="G316" s="5">
        <v>17</v>
      </c>
      <c r="H316" s="5">
        <v>0</v>
      </c>
      <c r="I316" s="6">
        <f t="shared" si="5"/>
        <v>0</v>
      </c>
      <c r="J316" s="6">
        <f>D316/(VLOOKUP(B316,'[1]2022 Team'!$B$2:$G$33,2,FALSE))</f>
        <v>3.4836065573770489E-2</v>
      </c>
      <c r="K316" s="9">
        <v>52.9</v>
      </c>
      <c r="L316" s="5">
        <v>0</v>
      </c>
    </row>
    <row r="317" spans="1:12" x14ac:dyDescent="0.25">
      <c r="A317" s="5" t="s">
        <v>2501</v>
      </c>
      <c r="B317" s="5" t="s">
        <v>54</v>
      </c>
      <c r="C317" s="7" t="s">
        <v>163</v>
      </c>
      <c r="D317" s="8">
        <v>22</v>
      </c>
      <c r="E317" s="8">
        <v>9</v>
      </c>
      <c r="F317" s="8">
        <v>99</v>
      </c>
      <c r="G317" s="5">
        <v>11</v>
      </c>
      <c r="H317" s="5">
        <v>0</v>
      </c>
      <c r="I317" s="6">
        <f t="shared" si="5"/>
        <v>0</v>
      </c>
      <c r="J317" s="6">
        <f>D317/(VLOOKUP(B317,'[1]2022 Team'!$B$2:$G$33,2,FALSE))</f>
        <v>4.230769230769231E-2</v>
      </c>
      <c r="K317" s="9">
        <v>40.9</v>
      </c>
      <c r="L317" s="5">
        <v>0</v>
      </c>
    </row>
    <row r="318" spans="1:12" x14ac:dyDescent="0.25">
      <c r="A318" s="5" t="s">
        <v>2411</v>
      </c>
      <c r="B318" s="5" t="s">
        <v>42</v>
      </c>
      <c r="C318" s="7" t="s">
        <v>159</v>
      </c>
      <c r="D318" s="8">
        <v>13</v>
      </c>
      <c r="E318" s="8">
        <v>9</v>
      </c>
      <c r="F318" s="8">
        <v>53</v>
      </c>
      <c r="G318" s="5">
        <v>5.9</v>
      </c>
      <c r="H318" s="5">
        <v>0</v>
      </c>
      <c r="I318" s="6">
        <f t="shared" si="5"/>
        <v>0</v>
      </c>
      <c r="J318" s="6">
        <f>D318/(VLOOKUP(B318,'[1]2022 Team'!$B$2:$G$33,2,FALSE))</f>
        <v>1.8284106891701828E-2</v>
      </c>
      <c r="K318" s="9">
        <v>69.2</v>
      </c>
      <c r="L318" s="5">
        <v>0</v>
      </c>
    </row>
    <row r="319" spans="1:12" x14ac:dyDescent="0.25">
      <c r="A319" s="5" t="s">
        <v>701</v>
      </c>
      <c r="B319" s="5" t="s">
        <v>48</v>
      </c>
      <c r="C319" s="7" t="s">
        <v>163</v>
      </c>
      <c r="D319" s="8">
        <v>13</v>
      </c>
      <c r="E319" s="8">
        <v>9</v>
      </c>
      <c r="F319" s="8">
        <v>179</v>
      </c>
      <c r="G319" s="5">
        <v>19.899999999999999</v>
      </c>
      <c r="H319" s="5">
        <v>1</v>
      </c>
      <c r="I319" s="6">
        <f t="shared" si="5"/>
        <v>0.1111111111111111</v>
      </c>
      <c r="J319" s="6">
        <f>D319/(VLOOKUP(B319,'[1]2022 Team'!$B$2:$G$33,2,FALSE))</f>
        <v>1.9345238095238096E-2</v>
      </c>
      <c r="K319" s="9">
        <v>69.2</v>
      </c>
      <c r="L319" s="5">
        <v>0</v>
      </c>
    </row>
    <row r="320" spans="1:12" x14ac:dyDescent="0.25">
      <c r="A320" s="5" t="s">
        <v>2443</v>
      </c>
      <c r="B320" s="5" t="s">
        <v>66</v>
      </c>
      <c r="C320" s="7" t="s">
        <v>163</v>
      </c>
      <c r="D320" s="8">
        <v>19</v>
      </c>
      <c r="E320" s="8">
        <v>9</v>
      </c>
      <c r="F320" s="8">
        <v>110</v>
      </c>
      <c r="G320" s="5">
        <v>12.2</v>
      </c>
      <c r="H320" s="5">
        <v>1</v>
      </c>
      <c r="I320" s="6">
        <f t="shared" si="5"/>
        <v>0.1111111111111111</v>
      </c>
      <c r="J320" s="6">
        <f>D320/(VLOOKUP(B320,'[1]2022 Team'!$B$2:$G$33,2,FALSE))</f>
        <v>2.529960053262317E-2</v>
      </c>
      <c r="K320" s="9">
        <v>47.4</v>
      </c>
      <c r="L320" s="5">
        <v>2</v>
      </c>
    </row>
    <row r="321" spans="1:12" x14ac:dyDescent="0.25">
      <c r="A321" s="5" t="s">
        <v>688</v>
      </c>
      <c r="B321" s="5" t="s">
        <v>28</v>
      </c>
      <c r="C321" s="7" t="s">
        <v>159</v>
      </c>
      <c r="D321" s="8">
        <v>10</v>
      </c>
      <c r="E321" s="8">
        <v>9</v>
      </c>
      <c r="F321" s="8">
        <v>116</v>
      </c>
      <c r="G321" s="5">
        <v>12.9</v>
      </c>
      <c r="H321" s="5">
        <v>0</v>
      </c>
      <c r="I321" s="6">
        <f t="shared" si="5"/>
        <v>0</v>
      </c>
      <c r="J321" s="6">
        <f>D321/(VLOOKUP(B321,'[1]2022 Team'!$B$2:$G$33,2,FALSE))</f>
        <v>1.7006802721088437E-2</v>
      </c>
      <c r="K321" s="9">
        <v>90</v>
      </c>
      <c r="L321" s="5">
        <v>0</v>
      </c>
    </row>
    <row r="322" spans="1:12" x14ac:dyDescent="0.25">
      <c r="A322" s="5" t="s">
        <v>373</v>
      </c>
      <c r="B322" s="5" t="s">
        <v>70</v>
      </c>
      <c r="C322" s="7" t="s">
        <v>159</v>
      </c>
      <c r="D322" s="8">
        <v>12</v>
      </c>
      <c r="E322" s="8">
        <v>9</v>
      </c>
      <c r="F322" s="8">
        <v>60</v>
      </c>
      <c r="G322" s="5">
        <v>6.7</v>
      </c>
      <c r="H322" s="5">
        <v>1</v>
      </c>
      <c r="I322" s="6">
        <f t="shared" si="5"/>
        <v>0.1111111111111111</v>
      </c>
      <c r="J322" s="6">
        <f>D322/(VLOOKUP(B322,'[1]2022 Team'!$B$2:$G$33,2,FALSE))</f>
        <v>2.1660649819494584E-2</v>
      </c>
      <c r="K322" s="9">
        <v>75</v>
      </c>
      <c r="L322" s="5">
        <v>2</v>
      </c>
    </row>
    <row r="323" spans="1:12" x14ac:dyDescent="0.25">
      <c r="A323" s="5" t="s">
        <v>2212</v>
      </c>
      <c r="B323" s="5" t="s">
        <v>26</v>
      </c>
      <c r="C323" s="7" t="s">
        <v>153</v>
      </c>
      <c r="D323" s="8">
        <v>13</v>
      </c>
      <c r="E323" s="8">
        <v>9</v>
      </c>
      <c r="F323" s="8">
        <v>79</v>
      </c>
      <c r="G323" s="5">
        <v>8.8000000000000007</v>
      </c>
      <c r="H323" s="5">
        <v>2</v>
      </c>
      <c r="I323" s="6">
        <f t="shared" si="5"/>
        <v>0.22222222222222221</v>
      </c>
      <c r="J323" s="6">
        <f>D323/(VLOOKUP(B323,'[1]2022 Team'!$B$2:$G$33,2,FALSE))</f>
        <v>2.276707530647986E-2</v>
      </c>
      <c r="K323" s="9">
        <v>69.2</v>
      </c>
      <c r="L323" s="5">
        <v>0</v>
      </c>
    </row>
    <row r="324" spans="1:12" x14ac:dyDescent="0.25">
      <c r="A324" s="5" t="s">
        <v>248</v>
      </c>
      <c r="B324" s="5" t="s">
        <v>44</v>
      </c>
      <c r="C324" s="7" t="s">
        <v>159</v>
      </c>
      <c r="D324" s="8">
        <v>12</v>
      </c>
      <c r="E324" s="8">
        <v>9</v>
      </c>
      <c r="F324" s="8">
        <v>76</v>
      </c>
      <c r="G324" s="5">
        <v>8.4</v>
      </c>
      <c r="H324" s="5">
        <v>0</v>
      </c>
      <c r="I324" s="6">
        <f t="shared" si="5"/>
        <v>0</v>
      </c>
      <c r="J324" s="6">
        <f>D324/(VLOOKUP(B324,'[1]2022 Team'!$B$2:$G$33,2,FALSE))</f>
        <v>2.2598870056497175E-2</v>
      </c>
      <c r="K324" s="9">
        <v>75</v>
      </c>
      <c r="L324" s="5">
        <v>0</v>
      </c>
    </row>
    <row r="325" spans="1:12" x14ac:dyDescent="0.25">
      <c r="A325" s="5" t="s">
        <v>702</v>
      </c>
      <c r="B325" s="5" t="s">
        <v>14</v>
      </c>
      <c r="C325" s="7" t="s">
        <v>613</v>
      </c>
      <c r="D325" s="8">
        <v>10</v>
      </c>
      <c r="E325" s="8">
        <v>8</v>
      </c>
      <c r="F325" s="8">
        <v>69</v>
      </c>
      <c r="G325" s="5">
        <v>8.6</v>
      </c>
      <c r="H325" s="5">
        <v>1</v>
      </c>
      <c r="I325" s="6">
        <f t="shared" si="5"/>
        <v>0.125</v>
      </c>
      <c r="J325" s="6">
        <f>D325/(VLOOKUP(B325,'[1]2022 Team'!$B$2:$G$33,2,FALSE))</f>
        <v>1.7421602787456445E-2</v>
      </c>
      <c r="K325" s="9">
        <v>80</v>
      </c>
      <c r="L325" s="5">
        <v>0</v>
      </c>
    </row>
    <row r="326" spans="1:12" x14ac:dyDescent="0.25">
      <c r="A326" s="5" t="s">
        <v>872</v>
      </c>
      <c r="B326" s="5" t="s">
        <v>28</v>
      </c>
      <c r="C326" s="7" t="s">
        <v>163</v>
      </c>
      <c r="D326" s="8">
        <v>15</v>
      </c>
      <c r="E326" s="8">
        <v>8</v>
      </c>
      <c r="F326" s="8">
        <v>141</v>
      </c>
      <c r="G326" s="5">
        <v>17.600000000000001</v>
      </c>
      <c r="H326" s="5">
        <v>0</v>
      </c>
      <c r="I326" s="6">
        <f t="shared" si="5"/>
        <v>0</v>
      </c>
      <c r="J326" s="6">
        <f>D326/(VLOOKUP(B326,'[1]2022 Team'!$B$2:$G$33,2,FALSE))</f>
        <v>2.5510204081632654E-2</v>
      </c>
      <c r="K326" s="9">
        <v>53.3</v>
      </c>
      <c r="L326" s="5">
        <v>0</v>
      </c>
    </row>
    <row r="327" spans="1:12" x14ac:dyDescent="0.25">
      <c r="A327" s="5" t="s">
        <v>2420</v>
      </c>
      <c r="B327" s="5" t="s">
        <v>26</v>
      </c>
      <c r="C327" s="7" t="s">
        <v>159</v>
      </c>
      <c r="D327" s="8">
        <v>10</v>
      </c>
      <c r="E327" s="8">
        <v>8</v>
      </c>
      <c r="F327" s="8">
        <v>99</v>
      </c>
      <c r="G327" s="5">
        <v>12.4</v>
      </c>
      <c r="H327" s="5">
        <v>1</v>
      </c>
      <c r="I327" s="6">
        <f t="shared" si="5"/>
        <v>0.125</v>
      </c>
      <c r="J327" s="6">
        <f>D327/(VLOOKUP(B327,'[1]2022 Team'!$B$2:$G$33,2,FALSE))</f>
        <v>1.7513134851138354E-2</v>
      </c>
      <c r="K327" s="9">
        <v>80</v>
      </c>
      <c r="L327" s="5">
        <v>0</v>
      </c>
    </row>
    <row r="328" spans="1:12" x14ac:dyDescent="0.25">
      <c r="A328" s="5" t="s">
        <v>902</v>
      </c>
      <c r="B328" s="5" t="s">
        <v>14</v>
      </c>
      <c r="C328" s="7" t="s">
        <v>153</v>
      </c>
      <c r="D328" s="8">
        <v>11</v>
      </c>
      <c r="E328" s="8">
        <v>8</v>
      </c>
      <c r="F328" s="8">
        <v>84</v>
      </c>
      <c r="G328" s="5">
        <v>10.5</v>
      </c>
      <c r="H328" s="5">
        <v>1</v>
      </c>
      <c r="I328" s="6">
        <f t="shared" si="5"/>
        <v>0.125</v>
      </c>
      <c r="J328" s="6">
        <f>D328/(VLOOKUP(B328,'[1]2022 Team'!$B$2:$G$33,2,FALSE))</f>
        <v>1.9163763066202089E-2</v>
      </c>
      <c r="K328" s="9">
        <v>72.7</v>
      </c>
      <c r="L328" s="5">
        <v>1</v>
      </c>
    </row>
    <row r="329" spans="1:12" x14ac:dyDescent="0.25">
      <c r="A329" s="5" t="s">
        <v>1833</v>
      </c>
      <c r="B329" s="5" t="s">
        <v>68</v>
      </c>
      <c r="C329" s="7" t="s">
        <v>163</v>
      </c>
      <c r="D329" s="8">
        <v>13</v>
      </c>
      <c r="E329" s="8">
        <v>8</v>
      </c>
      <c r="F329" s="8">
        <v>78</v>
      </c>
      <c r="G329" s="5">
        <v>9.8000000000000007</v>
      </c>
      <c r="H329" s="5">
        <v>0</v>
      </c>
      <c r="I329" s="6">
        <f t="shared" si="5"/>
        <v>0</v>
      </c>
      <c r="J329" s="6">
        <f>D329/(VLOOKUP(B329,'[1]2022 Team'!$B$2:$G$33,2,FALSE))</f>
        <v>2.850877192982456E-2</v>
      </c>
      <c r="K329" s="9">
        <v>61.5</v>
      </c>
      <c r="L329" s="5">
        <v>2</v>
      </c>
    </row>
    <row r="330" spans="1:12" x14ac:dyDescent="0.25">
      <c r="A330" s="5" t="s">
        <v>1036</v>
      </c>
      <c r="B330" s="5" t="s">
        <v>12</v>
      </c>
      <c r="C330" s="7" t="s">
        <v>163</v>
      </c>
      <c r="D330" s="8">
        <v>17</v>
      </c>
      <c r="E330" s="8">
        <v>8</v>
      </c>
      <c r="F330" s="8">
        <v>62</v>
      </c>
      <c r="G330" s="5">
        <v>7.8</v>
      </c>
      <c r="H330" s="5">
        <v>0</v>
      </c>
      <c r="I330" s="6">
        <f t="shared" si="5"/>
        <v>0</v>
      </c>
      <c r="J330" s="6">
        <f>D330/(VLOOKUP(B330,'[1]2022 Team'!$B$2:$G$33,2,FALSE))</f>
        <v>3.4836065573770489E-2</v>
      </c>
      <c r="K330" s="9">
        <v>47.1</v>
      </c>
      <c r="L330" s="5">
        <v>0</v>
      </c>
    </row>
    <row r="331" spans="1:12" x14ac:dyDescent="0.25">
      <c r="A331" s="5" t="s">
        <v>1758</v>
      </c>
      <c r="B331" s="5" t="s">
        <v>48</v>
      </c>
      <c r="C331" s="7" t="s">
        <v>163</v>
      </c>
      <c r="D331" s="8">
        <v>13</v>
      </c>
      <c r="E331" s="8">
        <v>8</v>
      </c>
      <c r="F331" s="8">
        <v>104</v>
      </c>
      <c r="G331" s="5">
        <v>13</v>
      </c>
      <c r="H331" s="5">
        <v>1</v>
      </c>
      <c r="I331" s="6">
        <f t="shared" si="5"/>
        <v>0.125</v>
      </c>
      <c r="J331" s="6">
        <f>D331/(VLOOKUP(B331,'[1]2022 Team'!$B$2:$G$33,2,FALSE))</f>
        <v>1.9345238095238096E-2</v>
      </c>
      <c r="K331" s="9">
        <v>61.5</v>
      </c>
      <c r="L331" s="5">
        <v>4</v>
      </c>
    </row>
    <row r="332" spans="1:12" x14ac:dyDescent="0.25">
      <c r="A332" s="5" t="s">
        <v>874</v>
      </c>
      <c r="B332" s="5" t="s">
        <v>16</v>
      </c>
      <c r="C332" s="7" t="s">
        <v>153</v>
      </c>
      <c r="D332" s="8">
        <v>9</v>
      </c>
      <c r="E332" s="8">
        <v>8</v>
      </c>
      <c r="F332" s="8">
        <v>100</v>
      </c>
      <c r="G332" s="5">
        <v>12.5</v>
      </c>
      <c r="H332" s="5">
        <v>0</v>
      </c>
      <c r="I332" s="6">
        <f t="shared" si="5"/>
        <v>0</v>
      </c>
      <c r="J332" s="6">
        <f>D332/(VLOOKUP(B332,'[1]2022 Team'!$B$2:$G$33,2,FALSE))</f>
        <v>1.9693654266958426E-2</v>
      </c>
      <c r="K332" s="9">
        <v>88.9</v>
      </c>
      <c r="L332" s="5">
        <v>0</v>
      </c>
    </row>
    <row r="333" spans="1:12" x14ac:dyDescent="0.25">
      <c r="A333" s="5" t="s">
        <v>2518</v>
      </c>
      <c r="B333" s="5" t="s">
        <v>70</v>
      </c>
      <c r="C333" s="7" t="s">
        <v>163</v>
      </c>
      <c r="D333" s="8">
        <v>18</v>
      </c>
      <c r="E333" s="8">
        <v>8</v>
      </c>
      <c r="F333" s="8">
        <v>89</v>
      </c>
      <c r="G333" s="5">
        <v>11.1</v>
      </c>
      <c r="H333" s="5">
        <v>0</v>
      </c>
      <c r="I333" s="6">
        <f t="shared" si="5"/>
        <v>0</v>
      </c>
      <c r="J333" s="6">
        <f>D333/(VLOOKUP(B333,'[1]2022 Team'!$B$2:$G$33,2,FALSE))</f>
        <v>3.2490974729241874E-2</v>
      </c>
      <c r="K333" s="9">
        <v>44.4</v>
      </c>
      <c r="L333" s="5">
        <v>0</v>
      </c>
    </row>
    <row r="334" spans="1:12" x14ac:dyDescent="0.25">
      <c r="A334" s="5" t="s">
        <v>2519</v>
      </c>
      <c r="B334" s="5" t="s">
        <v>56</v>
      </c>
      <c r="C334" s="7" t="s">
        <v>163</v>
      </c>
      <c r="D334" s="8">
        <v>11</v>
      </c>
      <c r="E334" s="8">
        <v>8</v>
      </c>
      <c r="F334" s="8">
        <v>134</v>
      </c>
      <c r="G334" s="5">
        <v>16.8</v>
      </c>
      <c r="H334" s="5">
        <v>0</v>
      </c>
      <c r="I334" s="6">
        <f t="shared" si="5"/>
        <v>0</v>
      </c>
      <c r="J334" s="6">
        <f>D334/(VLOOKUP(B334,'[1]2022 Team'!$B$2:$G$33,2,FALSE))</f>
        <v>1.7543859649122806E-2</v>
      </c>
      <c r="K334" s="9">
        <v>72.7</v>
      </c>
      <c r="L334" s="5">
        <v>0</v>
      </c>
    </row>
    <row r="335" spans="1:12" x14ac:dyDescent="0.25">
      <c r="A335" s="5" t="s">
        <v>787</v>
      </c>
      <c r="B335" s="5" t="s">
        <v>8</v>
      </c>
      <c r="C335" s="7" t="s">
        <v>163</v>
      </c>
      <c r="D335" s="8">
        <v>10</v>
      </c>
      <c r="E335" s="8">
        <v>7</v>
      </c>
      <c r="F335" s="8">
        <v>45</v>
      </c>
      <c r="G335" s="5">
        <v>6.4</v>
      </c>
      <c r="H335" s="5">
        <v>0</v>
      </c>
      <c r="I335" s="6">
        <f t="shared" si="5"/>
        <v>0</v>
      </c>
      <c r="J335" s="6">
        <f>D335/(VLOOKUP(B335,'[1]2022 Team'!$B$2:$G$33,2,FALSE))</f>
        <v>1.5060240963855422E-2</v>
      </c>
      <c r="K335" s="9">
        <v>70</v>
      </c>
      <c r="L335" s="5">
        <v>0</v>
      </c>
    </row>
    <row r="336" spans="1:12" x14ac:dyDescent="0.25">
      <c r="A336" s="5" t="s">
        <v>330</v>
      </c>
      <c r="B336" s="5" t="s">
        <v>12</v>
      </c>
      <c r="C336" s="7" t="s">
        <v>159</v>
      </c>
      <c r="D336" s="8">
        <v>8</v>
      </c>
      <c r="E336" s="8">
        <v>7</v>
      </c>
      <c r="F336" s="8">
        <v>42</v>
      </c>
      <c r="G336" s="5">
        <v>6</v>
      </c>
      <c r="H336" s="5">
        <v>1</v>
      </c>
      <c r="I336" s="6">
        <f t="shared" si="5"/>
        <v>0.14285714285714285</v>
      </c>
      <c r="J336" s="6">
        <f>D336/(VLOOKUP(B336,'[1]2022 Team'!$B$2:$G$33,2,FALSE))</f>
        <v>1.6393442622950821E-2</v>
      </c>
      <c r="K336" s="9">
        <v>87.5</v>
      </c>
      <c r="L336" s="5">
        <v>0</v>
      </c>
    </row>
    <row r="337" spans="1:12" x14ac:dyDescent="0.25">
      <c r="A337" s="5" t="s">
        <v>942</v>
      </c>
      <c r="B337" s="5" t="s">
        <v>64</v>
      </c>
      <c r="C337" s="7" t="s">
        <v>163</v>
      </c>
      <c r="D337" s="8">
        <v>13</v>
      </c>
      <c r="E337" s="8">
        <v>7</v>
      </c>
      <c r="F337" s="8">
        <v>58</v>
      </c>
      <c r="G337" s="5">
        <v>8.3000000000000007</v>
      </c>
      <c r="H337" s="5">
        <v>0</v>
      </c>
      <c r="I337" s="6">
        <f t="shared" si="5"/>
        <v>0</v>
      </c>
      <c r="J337" s="6">
        <f>D337/(VLOOKUP(B337,'[1]2022 Team'!$B$2:$G$33,2,FALSE))</f>
        <v>2.2687609075043629E-2</v>
      </c>
      <c r="K337" s="9">
        <v>53.8</v>
      </c>
      <c r="L337" s="5">
        <v>0</v>
      </c>
    </row>
    <row r="338" spans="1:12" x14ac:dyDescent="0.25">
      <c r="A338" s="5" t="s">
        <v>2440</v>
      </c>
      <c r="B338" s="5" t="s">
        <v>26</v>
      </c>
      <c r="C338" s="7" t="s">
        <v>163</v>
      </c>
      <c r="D338" s="8">
        <v>14</v>
      </c>
      <c r="E338" s="8">
        <v>7</v>
      </c>
      <c r="F338" s="8">
        <v>165</v>
      </c>
      <c r="G338" s="5">
        <v>23.6</v>
      </c>
      <c r="H338" s="5">
        <v>0</v>
      </c>
      <c r="I338" s="6">
        <f t="shared" si="5"/>
        <v>0</v>
      </c>
      <c r="J338" s="6">
        <f>D338/(VLOOKUP(B338,'[1]2022 Team'!$B$2:$G$33,2,FALSE))</f>
        <v>2.4518388791593695E-2</v>
      </c>
      <c r="K338" s="9">
        <v>50</v>
      </c>
      <c r="L338" s="5">
        <v>0</v>
      </c>
    </row>
    <row r="339" spans="1:12" x14ac:dyDescent="0.25">
      <c r="A339" s="5" t="s">
        <v>2492</v>
      </c>
      <c r="B339" s="5" t="s">
        <v>18</v>
      </c>
      <c r="C339" s="7" t="s">
        <v>163</v>
      </c>
      <c r="D339" s="8">
        <v>9</v>
      </c>
      <c r="E339" s="8">
        <v>7</v>
      </c>
      <c r="F339" s="8">
        <v>116</v>
      </c>
      <c r="G339" s="5">
        <v>16.600000000000001</v>
      </c>
      <c r="H339" s="5">
        <v>1</v>
      </c>
      <c r="I339" s="6">
        <f t="shared" si="5"/>
        <v>0.14285714285714285</v>
      </c>
      <c r="J339" s="6">
        <f>D339/(VLOOKUP(B339,'[1]2022 Team'!$B$2:$G$33,2,FALSE))</f>
        <v>2.3872679045092837E-2</v>
      </c>
      <c r="K339" s="9">
        <v>77.8</v>
      </c>
      <c r="L339" s="5">
        <v>0</v>
      </c>
    </row>
    <row r="340" spans="1:12" x14ac:dyDescent="0.25">
      <c r="A340" s="5" t="s">
        <v>2495</v>
      </c>
      <c r="B340" s="5" t="s">
        <v>24</v>
      </c>
      <c r="C340" s="7" t="s">
        <v>163</v>
      </c>
      <c r="D340" s="8">
        <v>10</v>
      </c>
      <c r="E340" s="8">
        <v>7</v>
      </c>
      <c r="F340" s="8">
        <v>121</v>
      </c>
      <c r="G340" s="5">
        <v>17.3</v>
      </c>
      <c r="H340" s="5">
        <v>0</v>
      </c>
      <c r="I340" s="6">
        <f t="shared" si="5"/>
        <v>0</v>
      </c>
      <c r="J340" s="6">
        <f>D340/(VLOOKUP(B340,'[1]2022 Team'!$B$2:$G$33,2,FALSE))</f>
        <v>1.7985611510791366E-2</v>
      </c>
      <c r="K340" s="9">
        <v>70</v>
      </c>
      <c r="L340" s="5">
        <v>0</v>
      </c>
    </row>
    <row r="341" spans="1:12" x14ac:dyDescent="0.25">
      <c r="A341" s="5" t="s">
        <v>1804</v>
      </c>
      <c r="B341" s="5" t="s">
        <v>44</v>
      </c>
      <c r="C341" s="7" t="s">
        <v>153</v>
      </c>
      <c r="D341" s="8">
        <v>11</v>
      </c>
      <c r="E341" s="8">
        <v>7</v>
      </c>
      <c r="F341" s="8">
        <v>109</v>
      </c>
      <c r="G341" s="5">
        <v>15.6</v>
      </c>
      <c r="H341" s="5">
        <v>0</v>
      </c>
      <c r="I341" s="6">
        <f t="shared" si="5"/>
        <v>0</v>
      </c>
      <c r="J341" s="6">
        <f>D341/(VLOOKUP(B341,'[1]2022 Team'!$B$2:$G$33,2,FALSE))</f>
        <v>2.0715630885122412E-2</v>
      </c>
      <c r="K341" s="9">
        <v>63.6</v>
      </c>
      <c r="L341" s="5">
        <v>0</v>
      </c>
    </row>
    <row r="342" spans="1:12" x14ac:dyDescent="0.25">
      <c r="A342" s="5" t="s">
        <v>658</v>
      </c>
      <c r="B342" s="5" t="s">
        <v>18</v>
      </c>
      <c r="C342" s="7" t="s">
        <v>163</v>
      </c>
      <c r="D342" s="8">
        <v>14</v>
      </c>
      <c r="E342" s="8">
        <v>7</v>
      </c>
      <c r="F342" s="8">
        <v>107</v>
      </c>
      <c r="G342" s="5">
        <v>15.3</v>
      </c>
      <c r="H342" s="5">
        <v>1</v>
      </c>
      <c r="I342" s="6">
        <f t="shared" si="5"/>
        <v>0.14285714285714285</v>
      </c>
      <c r="J342" s="6">
        <f>D342/(VLOOKUP(B342,'[1]2022 Team'!$B$2:$G$33,2,FALSE))</f>
        <v>3.7135278514588858E-2</v>
      </c>
      <c r="K342" s="9">
        <v>50</v>
      </c>
      <c r="L342" s="5">
        <v>3</v>
      </c>
    </row>
    <row r="343" spans="1:12" x14ac:dyDescent="0.25">
      <c r="A343" s="5" t="s">
        <v>1817</v>
      </c>
      <c r="B343" s="5" t="s">
        <v>66</v>
      </c>
      <c r="C343" s="7" t="s">
        <v>153</v>
      </c>
      <c r="D343" s="8">
        <v>10</v>
      </c>
      <c r="E343" s="8">
        <v>7</v>
      </c>
      <c r="F343" s="8">
        <v>80</v>
      </c>
      <c r="G343" s="5">
        <v>11.4</v>
      </c>
      <c r="H343" s="5">
        <v>1</v>
      </c>
      <c r="I343" s="6">
        <f t="shared" si="5"/>
        <v>0.14285714285714285</v>
      </c>
      <c r="J343" s="6">
        <f>D343/(VLOOKUP(B343,'[1]2022 Team'!$B$2:$G$33,2,FALSE))</f>
        <v>1.3315579227696404E-2</v>
      </c>
      <c r="K343" s="9">
        <v>70</v>
      </c>
      <c r="L343" s="5">
        <v>0</v>
      </c>
    </row>
    <row r="344" spans="1:12" x14ac:dyDescent="0.25">
      <c r="A344" s="5" t="s">
        <v>2512</v>
      </c>
      <c r="B344" s="5" t="s">
        <v>54</v>
      </c>
      <c r="C344" s="7" t="s">
        <v>613</v>
      </c>
      <c r="D344" s="8">
        <v>8</v>
      </c>
      <c r="E344" s="8">
        <v>7</v>
      </c>
      <c r="F344" s="8">
        <v>65</v>
      </c>
      <c r="G344" s="5">
        <v>9.3000000000000007</v>
      </c>
      <c r="H344" s="5">
        <v>1</v>
      </c>
      <c r="I344" s="6">
        <f t="shared" si="5"/>
        <v>0.14285714285714285</v>
      </c>
      <c r="J344" s="6">
        <f>D344/(VLOOKUP(B344,'[1]2022 Team'!$B$2:$G$33,2,FALSE))</f>
        <v>1.5384615384615385E-2</v>
      </c>
      <c r="K344" s="9">
        <v>87.5</v>
      </c>
      <c r="L344" s="5">
        <v>0</v>
      </c>
    </row>
    <row r="345" spans="1:12" x14ac:dyDescent="0.25">
      <c r="A345" s="5" t="s">
        <v>1836</v>
      </c>
      <c r="B345" s="5" t="s">
        <v>32</v>
      </c>
      <c r="C345" s="7" t="s">
        <v>153</v>
      </c>
      <c r="D345" s="8">
        <v>14</v>
      </c>
      <c r="E345" s="8">
        <v>7</v>
      </c>
      <c r="F345" s="8">
        <v>113</v>
      </c>
      <c r="G345" s="5">
        <v>16.100000000000001</v>
      </c>
      <c r="H345" s="5">
        <v>2</v>
      </c>
      <c r="I345" s="6">
        <f t="shared" si="5"/>
        <v>0.2857142857142857</v>
      </c>
      <c r="J345" s="6">
        <f>D345/(VLOOKUP(B345,'[1]2022 Team'!$B$2:$G$33,2,FALSE))</f>
        <v>2.4179620034542316E-2</v>
      </c>
      <c r="K345" s="9">
        <v>50</v>
      </c>
      <c r="L345" s="5">
        <v>0</v>
      </c>
    </row>
    <row r="346" spans="1:12" x14ac:dyDescent="0.25">
      <c r="A346" s="5" t="s">
        <v>1670</v>
      </c>
      <c r="B346" s="5" t="s">
        <v>50</v>
      </c>
      <c r="C346" s="7" t="s">
        <v>159</v>
      </c>
      <c r="D346" s="8">
        <v>7</v>
      </c>
      <c r="E346" s="8">
        <v>7</v>
      </c>
      <c r="F346" s="8">
        <v>42</v>
      </c>
      <c r="G346" s="5">
        <v>6</v>
      </c>
      <c r="H346" s="5">
        <v>0</v>
      </c>
      <c r="I346" s="6">
        <f t="shared" si="5"/>
        <v>0</v>
      </c>
      <c r="J346" s="6">
        <f>D346/(VLOOKUP(B346,'[1]2022 Team'!$B$2:$G$33,2,FALSE))</f>
        <v>1.2962962962962963E-2</v>
      </c>
      <c r="K346" s="9">
        <v>100</v>
      </c>
      <c r="L346" s="5">
        <v>0</v>
      </c>
    </row>
    <row r="347" spans="1:12" x14ac:dyDescent="0.25">
      <c r="A347" s="5" t="s">
        <v>1766</v>
      </c>
      <c r="B347" s="5" t="s">
        <v>70</v>
      </c>
      <c r="C347" s="7" t="s">
        <v>159</v>
      </c>
      <c r="D347" s="8">
        <v>10</v>
      </c>
      <c r="E347" s="8">
        <v>7</v>
      </c>
      <c r="F347" s="8">
        <v>40</v>
      </c>
      <c r="G347" s="5">
        <v>5.7</v>
      </c>
      <c r="H347" s="5">
        <v>0</v>
      </c>
      <c r="I347" s="6">
        <f t="shared" si="5"/>
        <v>0</v>
      </c>
      <c r="J347" s="6">
        <f>D347/(VLOOKUP(B347,'[1]2022 Team'!$B$2:$G$33,2,FALSE))</f>
        <v>1.8050541516245487E-2</v>
      </c>
      <c r="K347" s="9">
        <v>70</v>
      </c>
      <c r="L347" s="5">
        <v>0</v>
      </c>
    </row>
    <row r="348" spans="1:12" x14ac:dyDescent="0.25">
      <c r="A348" s="5" t="s">
        <v>1789</v>
      </c>
      <c r="B348" s="5" t="s">
        <v>14</v>
      </c>
      <c r="C348" s="7" t="s">
        <v>163</v>
      </c>
      <c r="D348" s="8">
        <v>13</v>
      </c>
      <c r="E348" s="8">
        <v>6</v>
      </c>
      <c r="F348" s="8">
        <v>60</v>
      </c>
      <c r="G348" s="5">
        <v>10</v>
      </c>
      <c r="H348" s="5">
        <v>0</v>
      </c>
      <c r="I348" s="6">
        <f t="shared" si="5"/>
        <v>0</v>
      </c>
      <c r="J348" s="6">
        <f>D348/(VLOOKUP(B348,'[1]2022 Team'!$B$2:$G$33,2,FALSE))</f>
        <v>2.2648083623693381E-2</v>
      </c>
      <c r="K348" s="9">
        <v>46.2</v>
      </c>
      <c r="L348" s="5">
        <v>1</v>
      </c>
    </row>
    <row r="349" spans="1:12" x14ac:dyDescent="0.25">
      <c r="A349" s="5" t="s">
        <v>448</v>
      </c>
      <c r="B349" s="5" t="s">
        <v>24</v>
      </c>
      <c r="C349" s="7" t="s">
        <v>159</v>
      </c>
      <c r="D349" s="8">
        <v>7</v>
      </c>
      <c r="E349" s="8">
        <v>6</v>
      </c>
      <c r="F349" s="8">
        <v>63</v>
      </c>
      <c r="G349" s="5">
        <v>10.5</v>
      </c>
      <c r="H349" s="5">
        <v>0</v>
      </c>
      <c r="I349" s="6">
        <f t="shared" si="5"/>
        <v>0</v>
      </c>
      <c r="J349" s="6">
        <f>D349/(VLOOKUP(B349,'[1]2022 Team'!$B$2:$G$33,2,FALSE))</f>
        <v>1.2589928057553957E-2</v>
      </c>
      <c r="K349" s="9">
        <v>85.7</v>
      </c>
      <c r="L349" s="5">
        <v>0</v>
      </c>
    </row>
    <row r="350" spans="1:12" x14ac:dyDescent="0.25">
      <c r="A350" s="5" t="s">
        <v>1664</v>
      </c>
      <c r="B350" s="5" t="s">
        <v>32</v>
      </c>
      <c r="C350" s="7" t="s">
        <v>159</v>
      </c>
      <c r="D350" s="8">
        <v>8</v>
      </c>
      <c r="E350" s="8">
        <v>6</v>
      </c>
      <c r="F350" s="8">
        <v>33</v>
      </c>
      <c r="G350" s="5">
        <v>5.5</v>
      </c>
      <c r="H350" s="5">
        <v>0</v>
      </c>
      <c r="I350" s="6">
        <f t="shared" si="5"/>
        <v>0</v>
      </c>
      <c r="J350" s="6">
        <f>D350/(VLOOKUP(B350,'[1]2022 Team'!$B$2:$G$33,2,FALSE))</f>
        <v>1.3816925734024179E-2</v>
      </c>
      <c r="K350" s="9">
        <v>75</v>
      </c>
      <c r="L350" s="5">
        <v>1</v>
      </c>
    </row>
    <row r="351" spans="1:12" x14ac:dyDescent="0.25">
      <c r="A351" s="5" t="s">
        <v>2485</v>
      </c>
      <c r="B351" s="5" t="s">
        <v>54</v>
      </c>
      <c r="C351" s="7" t="s">
        <v>163</v>
      </c>
      <c r="D351" s="8">
        <v>17</v>
      </c>
      <c r="E351" s="8">
        <v>6</v>
      </c>
      <c r="F351" s="8">
        <v>81</v>
      </c>
      <c r="G351" s="5">
        <v>13.5</v>
      </c>
      <c r="H351" s="5">
        <v>1</v>
      </c>
      <c r="I351" s="6">
        <f t="shared" si="5"/>
        <v>0.16666666666666666</v>
      </c>
      <c r="J351" s="6">
        <f>D351/(VLOOKUP(B351,'[1]2022 Team'!$B$2:$G$33,2,FALSE))</f>
        <v>3.2692307692307694E-2</v>
      </c>
      <c r="K351" s="9">
        <v>35.299999999999997</v>
      </c>
      <c r="L351" s="5">
        <v>0</v>
      </c>
    </row>
    <row r="352" spans="1:12" x14ac:dyDescent="0.25">
      <c r="A352" s="5" t="s">
        <v>1810</v>
      </c>
      <c r="B352" s="5" t="s">
        <v>26</v>
      </c>
      <c r="C352" s="7" t="s">
        <v>163</v>
      </c>
      <c r="D352" s="8">
        <v>14</v>
      </c>
      <c r="E352" s="8">
        <v>6</v>
      </c>
      <c r="F352" s="8">
        <v>42</v>
      </c>
      <c r="G352" s="5">
        <v>7</v>
      </c>
      <c r="H352" s="5">
        <v>1</v>
      </c>
      <c r="I352" s="6">
        <f t="shared" si="5"/>
        <v>0.16666666666666666</v>
      </c>
      <c r="J352" s="6">
        <f>D352/(VLOOKUP(B352,'[1]2022 Team'!$B$2:$G$33,2,FALSE))</f>
        <v>2.4518388791593695E-2</v>
      </c>
      <c r="K352" s="9">
        <v>42.9</v>
      </c>
      <c r="L352" s="5">
        <v>1</v>
      </c>
    </row>
    <row r="353" spans="1:12" x14ac:dyDescent="0.25">
      <c r="A353" s="5" t="s">
        <v>1820</v>
      </c>
      <c r="B353" s="5" t="s">
        <v>30</v>
      </c>
      <c r="C353" s="7" t="s">
        <v>153</v>
      </c>
      <c r="D353" s="8">
        <v>7</v>
      </c>
      <c r="E353" s="8">
        <v>6</v>
      </c>
      <c r="F353" s="8">
        <v>66</v>
      </c>
      <c r="G353" s="5">
        <v>11</v>
      </c>
      <c r="H353" s="5">
        <v>2</v>
      </c>
      <c r="I353" s="6">
        <f t="shared" si="5"/>
        <v>0.33333333333333331</v>
      </c>
      <c r="J353" s="6">
        <f>D353/(VLOOKUP(B353,'[1]2022 Team'!$B$2:$G$33,2,FALSE))</f>
        <v>1.2433392539964476E-2</v>
      </c>
      <c r="K353" s="9">
        <v>85.7</v>
      </c>
      <c r="L353" s="5">
        <v>0</v>
      </c>
    </row>
    <row r="354" spans="1:12" x14ac:dyDescent="0.25">
      <c r="A354" s="5" t="s">
        <v>2422</v>
      </c>
      <c r="B354" s="5" t="s">
        <v>34</v>
      </c>
      <c r="C354" s="7" t="s">
        <v>159</v>
      </c>
      <c r="D354" s="8">
        <v>8</v>
      </c>
      <c r="E354" s="8">
        <v>6</v>
      </c>
      <c r="F354" s="8">
        <v>19</v>
      </c>
      <c r="G354" s="5">
        <v>3.2</v>
      </c>
      <c r="H354" s="5">
        <v>0</v>
      </c>
      <c r="I354" s="6">
        <f t="shared" si="5"/>
        <v>0</v>
      </c>
      <c r="J354" s="6">
        <f>D354/(VLOOKUP(B354,'[1]2022 Team'!$B$2:$G$33,2,FALSE))</f>
        <v>1.3245033112582781E-2</v>
      </c>
      <c r="K354" s="9">
        <v>75</v>
      </c>
      <c r="L354" s="5">
        <v>0</v>
      </c>
    </row>
    <row r="355" spans="1:12" x14ac:dyDescent="0.25">
      <c r="A355" s="5" t="s">
        <v>974</v>
      </c>
      <c r="B355" s="5" t="s">
        <v>36</v>
      </c>
      <c r="C355" s="7" t="s">
        <v>153</v>
      </c>
      <c r="D355" s="8">
        <v>8</v>
      </c>
      <c r="E355" s="8">
        <v>6</v>
      </c>
      <c r="F355" s="8">
        <v>42</v>
      </c>
      <c r="G355" s="5">
        <v>7</v>
      </c>
      <c r="H355" s="5">
        <v>0</v>
      </c>
      <c r="I355" s="6">
        <f t="shared" si="5"/>
        <v>0</v>
      </c>
      <c r="J355" s="6">
        <f>D355/(VLOOKUP(B355,'[1]2022 Team'!$B$2:$G$33,2,FALSE))</f>
        <v>1.3422818791946308E-2</v>
      </c>
      <c r="K355" s="9">
        <v>75</v>
      </c>
      <c r="L355" s="5">
        <v>0</v>
      </c>
    </row>
    <row r="356" spans="1:12" x14ac:dyDescent="0.25">
      <c r="A356" s="5" t="s">
        <v>2508</v>
      </c>
      <c r="B356" s="5" t="s">
        <v>70</v>
      </c>
      <c r="C356" s="7" t="s">
        <v>163</v>
      </c>
      <c r="D356" s="8">
        <v>7</v>
      </c>
      <c r="E356" s="8">
        <v>6</v>
      </c>
      <c r="F356" s="8">
        <v>37</v>
      </c>
      <c r="G356" s="5">
        <v>6.2</v>
      </c>
      <c r="H356" s="5">
        <v>1</v>
      </c>
      <c r="I356" s="6">
        <f t="shared" si="5"/>
        <v>0.16666666666666666</v>
      </c>
      <c r="J356" s="6">
        <f>D356/(VLOOKUP(B356,'[1]2022 Team'!$B$2:$G$33,2,FALSE))</f>
        <v>1.263537906137184E-2</v>
      </c>
      <c r="K356" s="9">
        <v>85.7</v>
      </c>
      <c r="L356" s="5">
        <v>1</v>
      </c>
    </row>
    <row r="357" spans="1:12" x14ac:dyDescent="0.25">
      <c r="A357" s="5" t="s">
        <v>1762</v>
      </c>
      <c r="B357" s="5" t="s">
        <v>20</v>
      </c>
      <c r="C357" s="7" t="s">
        <v>163</v>
      </c>
      <c r="D357" s="8">
        <v>10</v>
      </c>
      <c r="E357" s="8">
        <v>6</v>
      </c>
      <c r="F357" s="8">
        <v>62</v>
      </c>
      <c r="G357" s="5">
        <v>10.3</v>
      </c>
      <c r="H357" s="5">
        <v>0</v>
      </c>
      <c r="I357" s="6">
        <f t="shared" si="5"/>
        <v>0</v>
      </c>
      <c r="J357" s="6">
        <f>D357/(VLOOKUP(B357,'[1]2022 Team'!$B$2:$G$33,2,FALSE))</f>
        <v>1.6393442622950821E-2</v>
      </c>
      <c r="K357" s="9">
        <v>60</v>
      </c>
      <c r="L357" s="5">
        <v>2</v>
      </c>
    </row>
    <row r="358" spans="1:12" x14ac:dyDescent="0.25">
      <c r="A358" s="5" t="s">
        <v>1855</v>
      </c>
      <c r="B358" s="5" t="s">
        <v>64</v>
      </c>
      <c r="C358" s="7" t="s">
        <v>163</v>
      </c>
      <c r="D358" s="8">
        <v>10</v>
      </c>
      <c r="E358" s="8">
        <v>6</v>
      </c>
      <c r="F358" s="8">
        <v>42</v>
      </c>
      <c r="G358" s="5">
        <v>7</v>
      </c>
      <c r="H358" s="5">
        <v>0</v>
      </c>
      <c r="I358" s="6">
        <f t="shared" si="5"/>
        <v>0</v>
      </c>
      <c r="J358" s="6">
        <f>D358/(VLOOKUP(B358,'[1]2022 Team'!$B$2:$G$33,2,FALSE))</f>
        <v>1.7452006980802792E-2</v>
      </c>
      <c r="K358" s="9">
        <v>60</v>
      </c>
      <c r="L358" s="5">
        <v>0</v>
      </c>
    </row>
    <row r="359" spans="1:12" x14ac:dyDescent="0.25">
      <c r="A359" s="5" t="s">
        <v>2424</v>
      </c>
      <c r="B359" s="5" t="s">
        <v>34</v>
      </c>
      <c r="C359" s="7" t="s">
        <v>159</v>
      </c>
      <c r="D359" s="8">
        <v>8</v>
      </c>
      <c r="E359" s="8">
        <v>6</v>
      </c>
      <c r="F359" s="8">
        <v>29</v>
      </c>
      <c r="G359" s="5">
        <v>4.8</v>
      </c>
      <c r="H359" s="5">
        <v>0</v>
      </c>
      <c r="I359" s="6">
        <f t="shared" si="5"/>
        <v>0</v>
      </c>
      <c r="J359" s="6">
        <f>D359/(VLOOKUP(B359,'[1]2022 Team'!$B$2:$G$33,2,FALSE))</f>
        <v>1.3245033112582781E-2</v>
      </c>
      <c r="K359" s="9">
        <v>75</v>
      </c>
      <c r="L359" s="5">
        <v>0</v>
      </c>
    </row>
    <row r="360" spans="1:12" x14ac:dyDescent="0.25">
      <c r="A360" s="5" t="s">
        <v>2399</v>
      </c>
      <c r="B360" s="5" t="s">
        <v>66</v>
      </c>
      <c r="C360" s="7" t="s">
        <v>163</v>
      </c>
      <c r="D360" s="8">
        <v>5</v>
      </c>
      <c r="E360" s="8">
        <v>4</v>
      </c>
      <c r="F360" s="8">
        <v>17</v>
      </c>
      <c r="G360" s="5">
        <v>4.3</v>
      </c>
      <c r="H360" s="5">
        <v>0</v>
      </c>
      <c r="I360" s="6">
        <f t="shared" si="5"/>
        <v>0</v>
      </c>
      <c r="J360" s="6">
        <f>D360/(VLOOKUP(B360,'[1]2022 Team'!$B$2:$G$33,2,FALSE))</f>
        <v>6.6577896138482022E-3</v>
      </c>
      <c r="K360" s="9">
        <v>80</v>
      </c>
      <c r="L360" s="5">
        <v>0</v>
      </c>
    </row>
    <row r="361" spans="1:12" x14ac:dyDescent="0.25">
      <c r="A361" s="5" t="s">
        <v>2399</v>
      </c>
      <c r="B361" s="5" t="s">
        <v>14</v>
      </c>
      <c r="C361" s="7" t="s">
        <v>163</v>
      </c>
      <c r="D361" s="8">
        <v>2</v>
      </c>
      <c r="E361" s="8">
        <v>2</v>
      </c>
      <c r="F361" s="8">
        <v>18</v>
      </c>
      <c r="G361" s="5">
        <v>9</v>
      </c>
      <c r="H361" s="5">
        <v>0</v>
      </c>
      <c r="I361" s="6">
        <f t="shared" si="5"/>
        <v>0</v>
      </c>
      <c r="J361" s="6">
        <f>D361/(VLOOKUP(B361,'[1]2022 Team'!$B$2:$G$33,2,FALSE))</f>
        <v>3.4843205574912892E-3</v>
      </c>
      <c r="K361" s="9">
        <v>100</v>
      </c>
      <c r="L361" s="5">
        <v>0</v>
      </c>
    </row>
    <row r="362" spans="1:12" x14ac:dyDescent="0.25">
      <c r="A362" s="5" t="s">
        <v>1859</v>
      </c>
      <c r="B362" s="5" t="s">
        <v>52</v>
      </c>
      <c r="C362" s="7" t="s">
        <v>153</v>
      </c>
      <c r="D362" s="8">
        <v>2</v>
      </c>
      <c r="E362" s="8">
        <v>2</v>
      </c>
      <c r="F362" s="8">
        <v>13</v>
      </c>
      <c r="G362" s="5">
        <v>6.5</v>
      </c>
      <c r="H362" s="5">
        <v>0</v>
      </c>
      <c r="I362" s="6">
        <f t="shared" si="5"/>
        <v>0</v>
      </c>
      <c r="J362" s="6">
        <f>D362/(VLOOKUP(B362,'[1]2022 Team'!$B$2:$G$33,2,FALSE))</f>
        <v>3.90625E-3</v>
      </c>
      <c r="K362" s="9">
        <v>100</v>
      </c>
      <c r="L362" s="5">
        <v>0</v>
      </c>
    </row>
    <row r="363" spans="1:12" x14ac:dyDescent="0.25">
      <c r="A363" s="5" t="s">
        <v>1859</v>
      </c>
      <c r="B363" s="5" t="s">
        <v>54</v>
      </c>
      <c r="C363" s="7" t="s">
        <v>153</v>
      </c>
      <c r="D363" s="8">
        <v>7</v>
      </c>
      <c r="E363" s="8">
        <v>4</v>
      </c>
      <c r="F363" s="8">
        <v>42</v>
      </c>
      <c r="G363" s="5">
        <v>10.5</v>
      </c>
      <c r="H363" s="5">
        <v>0</v>
      </c>
      <c r="I363" s="6">
        <f t="shared" si="5"/>
        <v>0</v>
      </c>
      <c r="J363" s="6">
        <f>D363/(VLOOKUP(B363,'[1]2022 Team'!$B$2:$G$33,2,FALSE))</f>
        <v>1.3461538461538462E-2</v>
      </c>
      <c r="K363" s="9">
        <v>57.1</v>
      </c>
      <c r="L363" s="5">
        <v>0</v>
      </c>
    </row>
    <row r="364" spans="1:12" x14ac:dyDescent="0.25">
      <c r="A364" s="5" t="s">
        <v>741</v>
      </c>
      <c r="B364" s="5" t="s">
        <v>26</v>
      </c>
      <c r="C364" s="7" t="s">
        <v>153</v>
      </c>
      <c r="D364" s="8">
        <v>11</v>
      </c>
      <c r="E364" s="8">
        <v>5</v>
      </c>
      <c r="F364" s="8">
        <v>69</v>
      </c>
      <c r="G364" s="5">
        <v>13.8</v>
      </c>
      <c r="H364" s="5">
        <v>0</v>
      </c>
      <c r="I364" s="6">
        <f t="shared" si="5"/>
        <v>0</v>
      </c>
      <c r="J364" s="6">
        <f>D364/(VLOOKUP(B364,'[1]2022 Team'!$B$2:$G$33,2,FALSE))</f>
        <v>1.9264448336252189E-2</v>
      </c>
      <c r="K364" s="9">
        <v>45.5</v>
      </c>
      <c r="L364" s="5">
        <v>0</v>
      </c>
    </row>
    <row r="365" spans="1:12" x14ac:dyDescent="0.25">
      <c r="A365" s="5" t="s">
        <v>1708</v>
      </c>
      <c r="B365" s="5" t="s">
        <v>54</v>
      </c>
      <c r="C365" s="7" t="s">
        <v>159</v>
      </c>
      <c r="D365" s="8">
        <v>8</v>
      </c>
      <c r="E365" s="8">
        <v>5</v>
      </c>
      <c r="F365" s="8">
        <v>39</v>
      </c>
      <c r="G365" s="5">
        <v>7.8</v>
      </c>
      <c r="H365" s="5">
        <v>0</v>
      </c>
      <c r="I365" s="6">
        <f t="shared" si="5"/>
        <v>0</v>
      </c>
      <c r="J365" s="6">
        <f>D365/(VLOOKUP(B365,'[1]2022 Team'!$B$2:$G$33,2,FALSE))</f>
        <v>1.5384615384615385E-2</v>
      </c>
      <c r="K365" s="9">
        <v>62.5</v>
      </c>
      <c r="L365" s="5">
        <v>0</v>
      </c>
    </row>
    <row r="366" spans="1:12" x14ac:dyDescent="0.25">
      <c r="A366" s="5" t="s">
        <v>638</v>
      </c>
      <c r="B366" s="5" t="s">
        <v>70</v>
      </c>
      <c r="C366" s="7" t="s">
        <v>163</v>
      </c>
      <c r="D366" s="8">
        <v>14</v>
      </c>
      <c r="E366" s="8">
        <v>5</v>
      </c>
      <c r="F366" s="8">
        <v>143</v>
      </c>
      <c r="G366" s="5">
        <v>28.6</v>
      </c>
      <c r="H366" s="5">
        <v>2</v>
      </c>
      <c r="I366" s="6">
        <f t="shared" si="5"/>
        <v>0.4</v>
      </c>
      <c r="J366" s="6">
        <f>D366/(VLOOKUP(B366,'[1]2022 Team'!$B$2:$G$33,2,FALSE))</f>
        <v>2.5270758122743681E-2</v>
      </c>
      <c r="K366" s="9">
        <v>35.700000000000003</v>
      </c>
      <c r="L366" s="5">
        <v>0</v>
      </c>
    </row>
    <row r="367" spans="1:12" x14ac:dyDescent="0.25">
      <c r="A367" s="5" t="s">
        <v>2418</v>
      </c>
      <c r="B367" s="5" t="s">
        <v>44</v>
      </c>
      <c r="C367" s="7" t="s">
        <v>159</v>
      </c>
      <c r="D367" s="8">
        <v>6</v>
      </c>
      <c r="E367" s="8">
        <v>5</v>
      </c>
      <c r="F367" s="8">
        <v>37</v>
      </c>
      <c r="G367" s="5">
        <v>7.4</v>
      </c>
      <c r="H367" s="5">
        <v>0</v>
      </c>
      <c r="I367" s="6">
        <f t="shared" ref="I367:I428" si="6">H367/E367</f>
        <v>0</v>
      </c>
      <c r="J367" s="6">
        <f>D367/(VLOOKUP(B367,'[1]2022 Team'!$B$2:$G$33,2,FALSE))</f>
        <v>1.1299435028248588E-2</v>
      </c>
      <c r="K367" s="9">
        <v>83.3</v>
      </c>
      <c r="L367" s="5">
        <v>0</v>
      </c>
    </row>
    <row r="368" spans="1:12" x14ac:dyDescent="0.25">
      <c r="A368" s="5" t="s">
        <v>989</v>
      </c>
      <c r="B368" s="5" t="s">
        <v>58</v>
      </c>
      <c r="C368" s="7" t="s">
        <v>153</v>
      </c>
      <c r="D368" s="8">
        <v>9</v>
      </c>
      <c r="E368" s="8">
        <v>5</v>
      </c>
      <c r="F368" s="8">
        <v>81</v>
      </c>
      <c r="G368" s="5">
        <v>16.2</v>
      </c>
      <c r="H368" s="5">
        <v>0</v>
      </c>
      <c r="I368" s="6">
        <f t="shared" si="6"/>
        <v>0</v>
      </c>
      <c r="J368" s="6">
        <f>D368/(VLOOKUP(B368,'[1]2022 Team'!$B$2:$G$33,2,FALSE))</f>
        <v>1.6791044776119403E-2</v>
      </c>
      <c r="K368" s="9">
        <v>55.6</v>
      </c>
      <c r="L368" s="5">
        <v>0</v>
      </c>
    </row>
    <row r="369" spans="1:12" x14ac:dyDescent="0.25">
      <c r="A369" s="5" t="s">
        <v>2421</v>
      </c>
      <c r="B369" s="5" t="s">
        <v>8</v>
      </c>
      <c r="C369" s="7" t="s">
        <v>159</v>
      </c>
      <c r="D369" s="8">
        <v>7</v>
      </c>
      <c r="E369" s="8">
        <v>5</v>
      </c>
      <c r="F369" s="8">
        <v>54</v>
      </c>
      <c r="G369" s="5">
        <v>10.8</v>
      </c>
      <c r="H369" s="5">
        <v>0</v>
      </c>
      <c r="I369" s="6">
        <f t="shared" si="6"/>
        <v>0</v>
      </c>
      <c r="J369" s="6">
        <f>D369/(VLOOKUP(B369,'[1]2022 Team'!$B$2:$G$33,2,FALSE))</f>
        <v>1.0542168674698794E-2</v>
      </c>
      <c r="K369" s="9">
        <v>71.400000000000006</v>
      </c>
      <c r="L369" s="5">
        <v>0</v>
      </c>
    </row>
    <row r="370" spans="1:12" x14ac:dyDescent="0.25">
      <c r="A370" s="5" t="s">
        <v>1651</v>
      </c>
      <c r="B370" s="5" t="s">
        <v>16</v>
      </c>
      <c r="C370" s="7" t="s">
        <v>159</v>
      </c>
      <c r="D370" s="8">
        <v>9</v>
      </c>
      <c r="E370" s="8">
        <v>5</v>
      </c>
      <c r="F370" s="8">
        <v>26</v>
      </c>
      <c r="G370" s="5">
        <v>5.2</v>
      </c>
      <c r="H370" s="5">
        <v>0</v>
      </c>
      <c r="I370" s="6">
        <f t="shared" si="6"/>
        <v>0</v>
      </c>
      <c r="J370" s="6">
        <f>D370/(VLOOKUP(B370,'[1]2022 Team'!$B$2:$G$33,2,FALSE))</f>
        <v>1.9693654266958426E-2</v>
      </c>
      <c r="K370" s="9">
        <v>55.6</v>
      </c>
      <c r="L370" s="5">
        <v>1</v>
      </c>
    </row>
    <row r="371" spans="1:12" x14ac:dyDescent="0.25">
      <c r="A371" s="5" t="s">
        <v>2490</v>
      </c>
      <c r="B371" s="5" t="s">
        <v>32</v>
      </c>
      <c r="C371" s="7" t="s">
        <v>153</v>
      </c>
      <c r="D371" s="8">
        <v>8</v>
      </c>
      <c r="E371" s="8">
        <v>5</v>
      </c>
      <c r="F371" s="8">
        <v>19</v>
      </c>
      <c r="G371" s="5">
        <v>3.8</v>
      </c>
      <c r="H371" s="5">
        <v>0</v>
      </c>
      <c r="I371" s="6">
        <f t="shared" si="6"/>
        <v>0</v>
      </c>
      <c r="J371" s="6">
        <f>D371/(VLOOKUP(B371,'[1]2022 Team'!$B$2:$G$33,2,FALSE))</f>
        <v>1.3816925734024179E-2</v>
      </c>
      <c r="K371" s="9">
        <v>62.5</v>
      </c>
      <c r="L371" s="5">
        <v>0</v>
      </c>
    </row>
    <row r="372" spans="1:12" x14ac:dyDescent="0.25">
      <c r="A372" s="5" t="s">
        <v>2435</v>
      </c>
      <c r="B372" s="5" t="s">
        <v>42</v>
      </c>
      <c r="C372" s="7" t="s">
        <v>613</v>
      </c>
      <c r="D372" s="8">
        <v>8</v>
      </c>
      <c r="E372" s="8">
        <v>5</v>
      </c>
      <c r="F372" s="8">
        <v>8</v>
      </c>
      <c r="G372" s="5">
        <v>1.6</v>
      </c>
      <c r="H372" s="5">
        <v>2</v>
      </c>
      <c r="I372" s="6">
        <f t="shared" si="6"/>
        <v>0.4</v>
      </c>
      <c r="J372" s="6">
        <f>D372/(VLOOKUP(B372,'[1]2022 Team'!$B$2:$G$33,2,FALSE))</f>
        <v>1.1251758087201125E-2</v>
      </c>
      <c r="K372" s="9">
        <v>62.5</v>
      </c>
      <c r="L372" s="5">
        <v>0</v>
      </c>
    </row>
    <row r="373" spans="1:12" x14ac:dyDescent="0.25">
      <c r="A373" s="5" t="s">
        <v>1813</v>
      </c>
      <c r="B373" s="5" t="s">
        <v>40</v>
      </c>
      <c r="C373" s="7" t="s">
        <v>613</v>
      </c>
      <c r="D373" s="8">
        <v>6</v>
      </c>
      <c r="E373" s="8">
        <v>5</v>
      </c>
      <c r="F373" s="8">
        <v>10</v>
      </c>
      <c r="G373" s="5">
        <v>2</v>
      </c>
      <c r="H373" s="5">
        <v>0</v>
      </c>
      <c r="I373" s="6">
        <f t="shared" si="6"/>
        <v>0</v>
      </c>
      <c r="J373" s="6">
        <f>D373/(VLOOKUP(B373,'[1]2022 Team'!$B$2:$G$33,2,FALSE))</f>
        <v>1.0238907849829351E-2</v>
      </c>
      <c r="K373" s="9">
        <v>83.3</v>
      </c>
      <c r="L373" s="5">
        <v>0</v>
      </c>
    </row>
    <row r="374" spans="1:12" x14ac:dyDescent="0.25">
      <c r="A374" s="5" t="s">
        <v>162</v>
      </c>
      <c r="B374" s="5" t="s">
        <v>60</v>
      </c>
      <c r="C374" s="7" t="s">
        <v>163</v>
      </c>
      <c r="D374" s="8">
        <v>7</v>
      </c>
      <c r="E374" s="8">
        <v>5</v>
      </c>
      <c r="F374" s="8">
        <v>53</v>
      </c>
      <c r="G374" s="5">
        <v>10.6</v>
      </c>
      <c r="H374" s="5">
        <v>0</v>
      </c>
      <c r="I374" s="6">
        <f t="shared" si="6"/>
        <v>0</v>
      </c>
      <c r="J374" s="6">
        <f>D374/(VLOOKUP(B374,'[1]2022 Team'!$B$2:$G$33,2,FALSE))</f>
        <v>1.2259194395796848E-2</v>
      </c>
      <c r="K374" s="9">
        <v>71.400000000000006</v>
      </c>
      <c r="L374" s="5">
        <v>2</v>
      </c>
    </row>
    <row r="375" spans="1:12" x14ac:dyDescent="0.25">
      <c r="A375" s="5" t="s">
        <v>620</v>
      </c>
      <c r="B375" s="5" t="s">
        <v>44</v>
      </c>
      <c r="C375" s="7" t="s">
        <v>159</v>
      </c>
      <c r="D375" s="8">
        <v>5</v>
      </c>
      <c r="E375" s="8">
        <v>5</v>
      </c>
      <c r="F375" s="8">
        <v>29</v>
      </c>
      <c r="G375" s="5">
        <v>5.8</v>
      </c>
      <c r="H375" s="5">
        <v>0</v>
      </c>
      <c r="I375" s="6">
        <f t="shared" si="6"/>
        <v>0</v>
      </c>
      <c r="J375" s="6">
        <f>D375/(VLOOKUP(B375,'[1]2022 Team'!$B$2:$G$33,2,FALSE))</f>
        <v>9.4161958568738224E-3</v>
      </c>
      <c r="K375" s="9">
        <v>100</v>
      </c>
      <c r="L375" s="5">
        <v>0</v>
      </c>
    </row>
    <row r="376" spans="1:12" x14ac:dyDescent="0.25">
      <c r="A376" s="5" t="s">
        <v>2444</v>
      </c>
      <c r="B376" s="5" t="s">
        <v>70</v>
      </c>
      <c r="C376" s="7" t="s">
        <v>153</v>
      </c>
      <c r="D376" s="8">
        <v>6</v>
      </c>
      <c r="E376" s="8">
        <v>5</v>
      </c>
      <c r="F376" s="8">
        <v>64</v>
      </c>
      <c r="G376" s="5">
        <v>12.8</v>
      </c>
      <c r="H376" s="5">
        <v>0</v>
      </c>
      <c r="I376" s="6">
        <f t="shared" si="6"/>
        <v>0</v>
      </c>
      <c r="J376" s="6">
        <f>D376/(VLOOKUP(B376,'[1]2022 Team'!$B$2:$G$33,2,FALSE))</f>
        <v>1.0830324909747292E-2</v>
      </c>
      <c r="K376" s="9">
        <v>83.3</v>
      </c>
      <c r="L376" s="5">
        <v>0</v>
      </c>
    </row>
    <row r="377" spans="1:12" x14ac:dyDescent="0.25">
      <c r="A377" s="5" t="s">
        <v>1697</v>
      </c>
      <c r="B377" s="5" t="s">
        <v>58</v>
      </c>
      <c r="C377" s="7" t="s">
        <v>159</v>
      </c>
      <c r="D377" s="8">
        <v>6</v>
      </c>
      <c r="E377" s="8">
        <v>5</v>
      </c>
      <c r="F377" s="8">
        <v>15</v>
      </c>
      <c r="G377" s="5">
        <v>3</v>
      </c>
      <c r="H377" s="5">
        <v>0</v>
      </c>
      <c r="I377" s="6">
        <f t="shared" si="6"/>
        <v>0</v>
      </c>
      <c r="J377" s="6">
        <f>D377/(VLOOKUP(B377,'[1]2022 Team'!$B$2:$G$33,2,FALSE))</f>
        <v>1.1194029850746268E-2</v>
      </c>
      <c r="K377" s="9">
        <v>83.3</v>
      </c>
      <c r="L377" s="5">
        <v>0</v>
      </c>
    </row>
    <row r="378" spans="1:12" x14ac:dyDescent="0.25">
      <c r="A378" s="5" t="s">
        <v>759</v>
      </c>
      <c r="B378" s="5" t="s">
        <v>66</v>
      </c>
      <c r="C378" s="7" t="s">
        <v>163</v>
      </c>
      <c r="D378" s="8">
        <v>10</v>
      </c>
      <c r="E378" s="8">
        <v>5</v>
      </c>
      <c r="F378" s="8">
        <v>32</v>
      </c>
      <c r="G378" s="5">
        <v>6.4</v>
      </c>
      <c r="H378" s="5">
        <v>0</v>
      </c>
      <c r="I378" s="6">
        <f t="shared" si="6"/>
        <v>0</v>
      </c>
      <c r="J378" s="6">
        <f>D378/(VLOOKUP(B378,'[1]2022 Team'!$B$2:$G$33,2,FALSE))</f>
        <v>1.3315579227696404E-2</v>
      </c>
      <c r="K378" s="9">
        <v>50</v>
      </c>
      <c r="L378" s="5">
        <v>1</v>
      </c>
    </row>
    <row r="379" spans="1:12" x14ac:dyDescent="0.25">
      <c r="A379" s="5" t="s">
        <v>961</v>
      </c>
      <c r="B379" s="5" t="s">
        <v>30</v>
      </c>
      <c r="C379" s="7" t="s">
        <v>163</v>
      </c>
      <c r="D379" s="8">
        <v>10</v>
      </c>
      <c r="E379" s="8">
        <v>5</v>
      </c>
      <c r="F379" s="8">
        <v>82</v>
      </c>
      <c r="G379" s="5">
        <v>16.399999999999999</v>
      </c>
      <c r="H379" s="5">
        <v>1</v>
      </c>
      <c r="I379" s="6">
        <f t="shared" si="6"/>
        <v>0.2</v>
      </c>
      <c r="J379" s="6">
        <f>D379/(VLOOKUP(B379,'[1]2022 Team'!$B$2:$G$33,2,FALSE))</f>
        <v>1.7761989342806393E-2</v>
      </c>
      <c r="K379" s="9">
        <v>50</v>
      </c>
      <c r="L379" s="5">
        <v>1</v>
      </c>
    </row>
    <row r="380" spans="1:12" x14ac:dyDescent="0.25">
      <c r="A380" s="5" t="s">
        <v>2430</v>
      </c>
      <c r="B380" s="5" t="s">
        <v>60</v>
      </c>
      <c r="C380" s="7" t="s">
        <v>613</v>
      </c>
      <c r="D380" s="8">
        <v>5</v>
      </c>
      <c r="E380" s="8">
        <v>5</v>
      </c>
      <c r="F380" s="8">
        <v>11</v>
      </c>
      <c r="G380" s="5">
        <v>2.2000000000000002</v>
      </c>
      <c r="H380" s="5">
        <v>1</v>
      </c>
      <c r="I380" s="6">
        <f t="shared" si="6"/>
        <v>0.2</v>
      </c>
      <c r="J380" s="6">
        <f>D380/(VLOOKUP(B380,'[1]2022 Team'!$B$2:$G$33,2,FALSE))</f>
        <v>8.7565674255691769E-3</v>
      </c>
      <c r="K380" s="9">
        <v>100</v>
      </c>
      <c r="L380" s="5">
        <v>0</v>
      </c>
    </row>
    <row r="381" spans="1:12" x14ac:dyDescent="0.25">
      <c r="A381" s="5" t="s">
        <v>2216</v>
      </c>
      <c r="B381" s="5" t="s">
        <v>22</v>
      </c>
      <c r="C381" s="7" t="s">
        <v>163</v>
      </c>
      <c r="D381" s="8">
        <v>10</v>
      </c>
      <c r="E381" s="8">
        <v>5</v>
      </c>
      <c r="F381" s="8">
        <v>45</v>
      </c>
      <c r="G381" s="5">
        <v>9</v>
      </c>
      <c r="H381" s="5">
        <v>0</v>
      </c>
      <c r="I381" s="6">
        <f t="shared" si="6"/>
        <v>0</v>
      </c>
      <c r="J381" s="6">
        <f>D381/(VLOOKUP(B381,'[1]2022 Team'!$B$2:$G$33,2,FALSE))</f>
        <v>1.8518518518518517E-2</v>
      </c>
      <c r="K381" s="9">
        <v>50</v>
      </c>
      <c r="L381" s="5">
        <v>0</v>
      </c>
    </row>
    <row r="382" spans="1:12" x14ac:dyDescent="0.25">
      <c r="A382" s="5" t="s">
        <v>1689</v>
      </c>
      <c r="B382" s="5" t="s">
        <v>52</v>
      </c>
      <c r="C382" s="7" t="s">
        <v>159</v>
      </c>
      <c r="D382" s="8">
        <v>2</v>
      </c>
      <c r="E382" s="8">
        <v>2</v>
      </c>
      <c r="F382" s="8">
        <v>12</v>
      </c>
      <c r="G382" s="5">
        <v>6</v>
      </c>
      <c r="H382" s="5">
        <v>0</v>
      </c>
      <c r="I382" s="6">
        <f t="shared" si="6"/>
        <v>0</v>
      </c>
      <c r="J382" s="6">
        <f>D382/(VLOOKUP(B382,'[1]2022 Team'!$B$2:$G$33,2,FALSE))</f>
        <v>3.90625E-3</v>
      </c>
      <c r="K382" s="9">
        <v>100</v>
      </c>
      <c r="L382" s="5">
        <v>0</v>
      </c>
    </row>
    <row r="383" spans="1:12" x14ac:dyDescent="0.25">
      <c r="A383" s="5" t="s">
        <v>1689</v>
      </c>
      <c r="B383" s="5" t="s">
        <v>64</v>
      </c>
      <c r="C383" s="7" t="s">
        <v>159</v>
      </c>
      <c r="D383" s="8">
        <v>6</v>
      </c>
      <c r="E383" s="8">
        <v>3</v>
      </c>
      <c r="F383" s="8">
        <v>18</v>
      </c>
      <c r="G383" s="5">
        <v>6</v>
      </c>
      <c r="H383" s="5">
        <v>0</v>
      </c>
      <c r="I383" s="6">
        <f t="shared" si="6"/>
        <v>0</v>
      </c>
      <c r="J383" s="6">
        <f>D383/(VLOOKUP(B383,'[1]2022 Team'!$B$2:$G$33,2,FALSE))</f>
        <v>1.0471204188481676E-2</v>
      </c>
      <c r="K383" s="9">
        <v>50</v>
      </c>
      <c r="L383" s="5">
        <v>0</v>
      </c>
    </row>
    <row r="384" spans="1:12" x14ac:dyDescent="0.25">
      <c r="A384" s="5" t="s">
        <v>1785</v>
      </c>
      <c r="B384" s="5" t="s">
        <v>32</v>
      </c>
      <c r="C384" s="7" t="s">
        <v>163</v>
      </c>
      <c r="D384" s="8">
        <v>2</v>
      </c>
      <c r="E384" s="8">
        <v>0</v>
      </c>
      <c r="F384" s="8">
        <v>0</v>
      </c>
      <c r="G384" s="5"/>
      <c r="H384" s="5">
        <v>0</v>
      </c>
      <c r="I384" s="6" t="e">
        <f t="shared" si="6"/>
        <v>#DIV/0!</v>
      </c>
      <c r="J384" s="6">
        <f>D384/(VLOOKUP(B384,'[1]2022 Team'!$B$2:$G$33,2,FALSE))</f>
        <v>3.4542314335060447E-3</v>
      </c>
      <c r="K384" s="9">
        <v>0</v>
      </c>
      <c r="L384" s="5">
        <v>0</v>
      </c>
    </row>
    <row r="385" spans="1:12" x14ac:dyDescent="0.25">
      <c r="A385" s="5" t="s">
        <v>1785</v>
      </c>
      <c r="B385" s="5" t="s">
        <v>68</v>
      </c>
      <c r="C385" s="7" t="s">
        <v>163</v>
      </c>
      <c r="D385" s="8">
        <v>5</v>
      </c>
      <c r="E385" s="8">
        <v>4</v>
      </c>
      <c r="F385" s="8">
        <v>46</v>
      </c>
      <c r="G385" s="5">
        <v>11.5</v>
      </c>
      <c r="H385" s="5">
        <v>0</v>
      </c>
      <c r="I385" s="6">
        <f t="shared" si="6"/>
        <v>0</v>
      </c>
      <c r="J385" s="6">
        <f>D385/(VLOOKUP(B385,'[1]2022 Team'!$B$2:$G$33,2,FALSE))</f>
        <v>1.0964912280701754E-2</v>
      </c>
      <c r="K385" s="9">
        <v>80</v>
      </c>
      <c r="L385" s="5">
        <v>0</v>
      </c>
    </row>
    <row r="386" spans="1:12" x14ac:dyDescent="0.25">
      <c r="A386" s="5" t="s">
        <v>2477</v>
      </c>
      <c r="B386" s="5" t="s">
        <v>30</v>
      </c>
      <c r="C386" s="7" t="s">
        <v>153</v>
      </c>
      <c r="D386" s="8">
        <v>7</v>
      </c>
      <c r="E386" s="8">
        <v>4</v>
      </c>
      <c r="F386" s="8">
        <v>26</v>
      </c>
      <c r="G386" s="5">
        <v>6.5</v>
      </c>
      <c r="H386" s="5">
        <v>0</v>
      </c>
      <c r="I386" s="6">
        <f t="shared" si="6"/>
        <v>0</v>
      </c>
      <c r="J386" s="6">
        <f>D386/(VLOOKUP(B386,'[1]2022 Team'!$B$2:$G$33,2,FALSE))</f>
        <v>1.2433392539964476E-2</v>
      </c>
      <c r="K386" s="9">
        <v>57.1</v>
      </c>
      <c r="L386" s="5">
        <v>0</v>
      </c>
    </row>
    <row r="387" spans="1:12" x14ac:dyDescent="0.25">
      <c r="A387" s="5" t="s">
        <v>1016</v>
      </c>
      <c r="B387" s="5" t="s">
        <v>36</v>
      </c>
      <c r="C387" s="7" t="s">
        <v>153</v>
      </c>
      <c r="D387" s="8">
        <v>4</v>
      </c>
      <c r="E387" s="8">
        <v>4</v>
      </c>
      <c r="F387" s="8">
        <v>40</v>
      </c>
      <c r="G387" s="5">
        <v>10</v>
      </c>
      <c r="H387" s="5">
        <v>0</v>
      </c>
      <c r="I387" s="6">
        <f t="shared" si="6"/>
        <v>0</v>
      </c>
      <c r="J387" s="6">
        <f>D387/(VLOOKUP(B387,'[1]2022 Team'!$B$2:$G$33,2,FALSE))</f>
        <v>6.7114093959731542E-3</v>
      </c>
      <c r="K387" s="9">
        <v>100</v>
      </c>
      <c r="L387" s="5">
        <v>0</v>
      </c>
    </row>
    <row r="388" spans="1:12" x14ac:dyDescent="0.25">
      <c r="A388" s="5" t="s">
        <v>672</v>
      </c>
      <c r="B388" s="5" t="s">
        <v>46</v>
      </c>
      <c r="C388" s="7" t="s">
        <v>159</v>
      </c>
      <c r="D388" s="8">
        <v>6</v>
      </c>
      <c r="E388" s="8">
        <v>4</v>
      </c>
      <c r="F388" s="8">
        <v>28</v>
      </c>
      <c r="G388" s="5">
        <v>7</v>
      </c>
      <c r="H388" s="5">
        <v>0</v>
      </c>
      <c r="I388" s="6">
        <f t="shared" si="6"/>
        <v>0</v>
      </c>
      <c r="J388" s="6">
        <f>D388/(VLOOKUP(B388,'[1]2022 Team'!$B$2:$G$33,2,FALSE))</f>
        <v>1.0273972602739725E-2</v>
      </c>
      <c r="K388" s="9">
        <v>66.7</v>
      </c>
      <c r="L388" s="5">
        <v>0</v>
      </c>
    </row>
    <row r="389" spans="1:12" x14ac:dyDescent="0.25">
      <c r="A389" s="5" t="s">
        <v>2488</v>
      </c>
      <c r="B389" s="5" t="s">
        <v>18</v>
      </c>
      <c r="C389" s="7" t="s">
        <v>153</v>
      </c>
      <c r="D389" s="8">
        <v>8</v>
      </c>
      <c r="E389" s="8">
        <v>4</v>
      </c>
      <c r="F389" s="8">
        <v>26</v>
      </c>
      <c r="G389" s="5">
        <v>6.5</v>
      </c>
      <c r="H389" s="5">
        <v>0</v>
      </c>
      <c r="I389" s="6">
        <f t="shared" si="6"/>
        <v>0</v>
      </c>
      <c r="J389" s="6">
        <f>D389/(VLOOKUP(B389,'[1]2022 Team'!$B$2:$G$33,2,FALSE))</f>
        <v>2.1220159151193633E-2</v>
      </c>
      <c r="K389" s="9">
        <v>50</v>
      </c>
      <c r="L389" s="5">
        <v>0</v>
      </c>
    </row>
    <row r="390" spans="1:12" x14ac:dyDescent="0.25">
      <c r="A390" s="5" t="s">
        <v>1681</v>
      </c>
      <c r="B390" s="5" t="s">
        <v>8</v>
      </c>
      <c r="C390" s="7" t="s">
        <v>159</v>
      </c>
      <c r="D390" s="8">
        <v>5</v>
      </c>
      <c r="E390" s="8">
        <v>4</v>
      </c>
      <c r="F390" s="8">
        <v>21</v>
      </c>
      <c r="G390" s="5">
        <v>5.3</v>
      </c>
      <c r="H390" s="5">
        <v>0</v>
      </c>
      <c r="I390" s="6">
        <f t="shared" si="6"/>
        <v>0</v>
      </c>
      <c r="J390" s="6">
        <f>D390/(VLOOKUP(B390,'[1]2022 Team'!$B$2:$G$33,2,FALSE))</f>
        <v>7.5301204819277108E-3</v>
      </c>
      <c r="K390" s="9">
        <v>80</v>
      </c>
      <c r="L390" s="5">
        <v>0</v>
      </c>
    </row>
    <row r="391" spans="1:12" x14ac:dyDescent="0.25">
      <c r="A391" s="5" t="s">
        <v>2427</v>
      </c>
      <c r="B391" s="5" t="s">
        <v>52</v>
      </c>
      <c r="C391" s="7" t="s">
        <v>159</v>
      </c>
      <c r="D391" s="8">
        <v>4</v>
      </c>
      <c r="E391" s="8">
        <v>4</v>
      </c>
      <c r="F391" s="8">
        <v>47</v>
      </c>
      <c r="G391" s="5">
        <v>11.8</v>
      </c>
      <c r="H391" s="5">
        <v>0</v>
      </c>
      <c r="I391" s="6">
        <f t="shared" si="6"/>
        <v>0</v>
      </c>
      <c r="J391" s="6">
        <f>D391/(VLOOKUP(B391,'[1]2022 Team'!$B$2:$G$33,2,FALSE))</f>
        <v>7.8125E-3</v>
      </c>
      <c r="K391" s="9">
        <v>100</v>
      </c>
      <c r="L391" s="5">
        <v>1</v>
      </c>
    </row>
    <row r="392" spans="1:12" x14ac:dyDescent="0.25">
      <c r="A392" s="5" t="s">
        <v>2163</v>
      </c>
      <c r="B392" s="5" t="s">
        <v>50</v>
      </c>
      <c r="C392" s="7" t="s">
        <v>980</v>
      </c>
      <c r="D392" s="8">
        <v>4</v>
      </c>
      <c r="E392" s="8">
        <v>4</v>
      </c>
      <c r="F392" s="8">
        <v>78</v>
      </c>
      <c r="G392" s="5">
        <v>19.5</v>
      </c>
      <c r="H392" s="5">
        <v>1</v>
      </c>
      <c r="I392" s="6">
        <f t="shared" si="6"/>
        <v>0.25</v>
      </c>
      <c r="J392" s="6">
        <f>D392/(VLOOKUP(B392,'[1]2022 Team'!$B$2:$G$33,2,FALSE))</f>
        <v>7.4074074074074077E-3</v>
      </c>
      <c r="K392" s="9">
        <v>100</v>
      </c>
      <c r="L392" s="5">
        <v>1</v>
      </c>
    </row>
    <row r="393" spans="1:12" x14ac:dyDescent="0.25">
      <c r="A393" s="5" t="s">
        <v>814</v>
      </c>
      <c r="B393" s="5" t="s">
        <v>12</v>
      </c>
      <c r="C393" s="7" t="s">
        <v>153</v>
      </c>
      <c r="D393" s="8">
        <v>6</v>
      </c>
      <c r="E393" s="8">
        <v>4</v>
      </c>
      <c r="F393" s="8">
        <v>49</v>
      </c>
      <c r="G393" s="5">
        <v>12.3</v>
      </c>
      <c r="H393" s="5">
        <v>0</v>
      </c>
      <c r="I393" s="6">
        <f t="shared" si="6"/>
        <v>0</v>
      </c>
      <c r="J393" s="6">
        <f>D393/(VLOOKUP(B393,'[1]2022 Team'!$B$2:$G$33,2,FALSE))</f>
        <v>1.2295081967213115E-2</v>
      </c>
      <c r="K393" s="9">
        <v>66.7</v>
      </c>
      <c r="L393" s="5">
        <v>0</v>
      </c>
    </row>
    <row r="394" spans="1:12" x14ac:dyDescent="0.25">
      <c r="A394" s="5" t="s">
        <v>2503</v>
      </c>
      <c r="B394" s="5" t="s">
        <v>62</v>
      </c>
      <c r="C394" s="7" t="s">
        <v>153</v>
      </c>
      <c r="D394" s="8">
        <v>5</v>
      </c>
      <c r="E394" s="8">
        <v>4</v>
      </c>
      <c r="F394" s="8">
        <v>57</v>
      </c>
      <c r="G394" s="5">
        <v>14.3</v>
      </c>
      <c r="H394" s="5">
        <v>0</v>
      </c>
      <c r="I394" s="6">
        <f t="shared" si="6"/>
        <v>0</v>
      </c>
      <c r="J394" s="6">
        <f>D394/(VLOOKUP(B394,'[1]2022 Team'!$B$2:$G$33,2,FALSE))</f>
        <v>9.765625E-3</v>
      </c>
      <c r="K394" s="9">
        <v>80</v>
      </c>
      <c r="L394" s="5">
        <v>0</v>
      </c>
    </row>
    <row r="395" spans="1:12" x14ac:dyDescent="0.25">
      <c r="A395" s="5" t="s">
        <v>2504</v>
      </c>
      <c r="B395" s="5" t="s">
        <v>14</v>
      </c>
      <c r="C395" s="7" t="s">
        <v>163</v>
      </c>
      <c r="D395" s="8">
        <v>7</v>
      </c>
      <c r="E395" s="8">
        <v>4</v>
      </c>
      <c r="F395" s="8">
        <v>64</v>
      </c>
      <c r="G395" s="5">
        <v>16</v>
      </c>
      <c r="H395" s="5">
        <v>0</v>
      </c>
      <c r="I395" s="6">
        <f t="shared" si="6"/>
        <v>0</v>
      </c>
      <c r="J395" s="6">
        <f>D395/(VLOOKUP(B395,'[1]2022 Team'!$B$2:$G$33,2,FALSE))</f>
        <v>1.2195121951219513E-2</v>
      </c>
      <c r="K395" s="9">
        <v>57.1</v>
      </c>
      <c r="L395" s="5">
        <v>0</v>
      </c>
    </row>
    <row r="396" spans="1:12" x14ac:dyDescent="0.25">
      <c r="A396" s="5" t="s">
        <v>1706</v>
      </c>
      <c r="B396" s="5" t="s">
        <v>64</v>
      </c>
      <c r="C396" s="7" t="s">
        <v>159</v>
      </c>
      <c r="D396" s="8">
        <v>5</v>
      </c>
      <c r="E396" s="8">
        <v>4</v>
      </c>
      <c r="F396" s="8">
        <v>16</v>
      </c>
      <c r="G396" s="5">
        <v>4</v>
      </c>
      <c r="H396" s="5">
        <v>0</v>
      </c>
      <c r="I396" s="6">
        <f t="shared" si="6"/>
        <v>0</v>
      </c>
      <c r="J396" s="6">
        <f>D396/(VLOOKUP(B396,'[1]2022 Team'!$B$2:$G$33,2,FALSE))</f>
        <v>8.7260034904013961E-3</v>
      </c>
      <c r="K396" s="9">
        <v>80</v>
      </c>
      <c r="L396" s="5">
        <v>1</v>
      </c>
    </row>
    <row r="397" spans="1:12" x14ac:dyDescent="0.25">
      <c r="A397" s="5" t="s">
        <v>2436</v>
      </c>
      <c r="B397" s="5" t="s">
        <v>22</v>
      </c>
      <c r="C397" s="7" t="s">
        <v>163</v>
      </c>
      <c r="D397" s="8">
        <v>10</v>
      </c>
      <c r="E397" s="8">
        <v>4</v>
      </c>
      <c r="F397" s="8">
        <v>51</v>
      </c>
      <c r="G397" s="5">
        <v>12.8</v>
      </c>
      <c r="H397" s="5">
        <v>0</v>
      </c>
      <c r="I397" s="6">
        <f t="shared" si="6"/>
        <v>0</v>
      </c>
      <c r="J397" s="6">
        <f>D397/(VLOOKUP(B397,'[1]2022 Team'!$B$2:$G$33,2,FALSE))</f>
        <v>1.8518518518518517E-2</v>
      </c>
      <c r="K397" s="9">
        <v>40</v>
      </c>
      <c r="L397" s="5">
        <v>1</v>
      </c>
    </row>
    <row r="398" spans="1:12" x14ac:dyDescent="0.25">
      <c r="A398" s="5" t="s">
        <v>984</v>
      </c>
      <c r="B398" s="5" t="s">
        <v>42</v>
      </c>
      <c r="C398" s="7" t="s">
        <v>153</v>
      </c>
      <c r="D398" s="8">
        <v>5</v>
      </c>
      <c r="E398" s="8">
        <v>4</v>
      </c>
      <c r="F398" s="8">
        <v>17</v>
      </c>
      <c r="G398" s="5">
        <v>4.3</v>
      </c>
      <c r="H398" s="5">
        <v>0</v>
      </c>
      <c r="I398" s="6">
        <f t="shared" si="6"/>
        <v>0</v>
      </c>
      <c r="J398" s="6">
        <f>D398/(VLOOKUP(B398,'[1]2022 Team'!$B$2:$G$33,2,FALSE))</f>
        <v>7.0323488045007029E-3</v>
      </c>
      <c r="K398" s="9">
        <v>80</v>
      </c>
      <c r="L398" s="5">
        <v>0</v>
      </c>
    </row>
    <row r="399" spans="1:12" x14ac:dyDescent="0.25">
      <c r="A399" s="5" t="s">
        <v>2522</v>
      </c>
      <c r="B399" s="5" t="s">
        <v>26</v>
      </c>
      <c r="C399" s="7" t="s">
        <v>163</v>
      </c>
      <c r="D399" s="8">
        <v>6</v>
      </c>
      <c r="E399" s="8">
        <v>4</v>
      </c>
      <c r="F399" s="8">
        <v>74</v>
      </c>
      <c r="G399" s="5">
        <v>18.5</v>
      </c>
      <c r="H399" s="5">
        <v>0</v>
      </c>
      <c r="I399" s="6">
        <f t="shared" si="6"/>
        <v>0</v>
      </c>
      <c r="J399" s="6">
        <f>D399/(VLOOKUP(B399,'[1]2022 Team'!$B$2:$G$33,2,FALSE))</f>
        <v>1.0507880910683012E-2</v>
      </c>
      <c r="K399" s="9">
        <v>66.7</v>
      </c>
      <c r="L399" s="5">
        <v>1</v>
      </c>
    </row>
    <row r="400" spans="1:12" x14ac:dyDescent="0.25">
      <c r="A400" s="5" t="s">
        <v>818</v>
      </c>
      <c r="B400" s="5" t="s">
        <v>12</v>
      </c>
      <c r="C400" s="7" t="s">
        <v>163</v>
      </c>
      <c r="D400" s="8">
        <v>7</v>
      </c>
      <c r="E400" s="8">
        <v>4</v>
      </c>
      <c r="F400" s="8">
        <v>33</v>
      </c>
      <c r="G400" s="5">
        <v>8.3000000000000007</v>
      </c>
      <c r="H400" s="5">
        <v>0</v>
      </c>
      <c r="I400" s="6">
        <f t="shared" si="6"/>
        <v>0</v>
      </c>
      <c r="J400" s="6">
        <f>D400/(VLOOKUP(B400,'[1]2022 Team'!$B$2:$G$33,2,FALSE))</f>
        <v>1.4344262295081968E-2</v>
      </c>
      <c r="K400" s="9">
        <v>57.1</v>
      </c>
      <c r="L400" s="5">
        <v>0</v>
      </c>
    </row>
    <row r="401" spans="1:12" x14ac:dyDescent="0.25">
      <c r="A401" s="5" t="s">
        <v>2433</v>
      </c>
      <c r="B401" s="5" t="s">
        <v>26</v>
      </c>
      <c r="C401" s="7" t="s">
        <v>163</v>
      </c>
      <c r="D401" s="8">
        <v>9</v>
      </c>
      <c r="E401" s="8">
        <v>4</v>
      </c>
      <c r="F401" s="8">
        <v>2</v>
      </c>
      <c r="G401" s="5">
        <v>0.5</v>
      </c>
      <c r="H401" s="5">
        <v>0</v>
      </c>
      <c r="I401" s="6">
        <f t="shared" si="6"/>
        <v>0</v>
      </c>
      <c r="J401" s="6">
        <f>D401/(VLOOKUP(B401,'[1]2022 Team'!$B$2:$G$33,2,FALSE))</f>
        <v>1.5761821366024518E-2</v>
      </c>
      <c r="K401" s="9">
        <v>44.4</v>
      </c>
      <c r="L401" s="5">
        <v>5</v>
      </c>
    </row>
    <row r="402" spans="1:12" x14ac:dyDescent="0.25">
      <c r="A402" s="5" t="s">
        <v>2416</v>
      </c>
      <c r="B402" s="5" t="s">
        <v>8</v>
      </c>
      <c r="C402" s="7" t="s">
        <v>159</v>
      </c>
      <c r="D402" s="8">
        <v>8</v>
      </c>
      <c r="E402" s="8">
        <v>4</v>
      </c>
      <c r="F402" s="8">
        <v>9</v>
      </c>
      <c r="G402" s="5">
        <v>2.2999999999999998</v>
      </c>
      <c r="H402" s="5">
        <v>0</v>
      </c>
      <c r="I402" s="6">
        <f t="shared" si="6"/>
        <v>0</v>
      </c>
      <c r="J402" s="6">
        <f>D402/(VLOOKUP(B402,'[1]2022 Team'!$B$2:$G$33,2,FALSE))</f>
        <v>1.2048192771084338E-2</v>
      </c>
      <c r="K402" s="9">
        <v>50</v>
      </c>
      <c r="L402" s="5">
        <v>0</v>
      </c>
    </row>
    <row r="403" spans="1:12" x14ac:dyDescent="0.25">
      <c r="A403" s="5" t="s">
        <v>2460</v>
      </c>
      <c r="B403" s="5" t="s">
        <v>8</v>
      </c>
      <c r="C403" s="7" t="s">
        <v>153</v>
      </c>
      <c r="D403" s="8">
        <v>7</v>
      </c>
      <c r="E403" s="8">
        <v>3</v>
      </c>
      <c r="F403" s="8">
        <v>9</v>
      </c>
      <c r="G403" s="5">
        <v>3</v>
      </c>
      <c r="H403" s="5">
        <v>0</v>
      </c>
      <c r="I403" s="6">
        <f t="shared" si="6"/>
        <v>0</v>
      </c>
      <c r="J403" s="6">
        <f>D403/(VLOOKUP(B403,'[1]2022 Team'!$B$2:$G$33,2,FALSE))</f>
        <v>1.0542168674698794E-2</v>
      </c>
      <c r="K403" s="9">
        <v>42.9</v>
      </c>
      <c r="L403" s="5">
        <v>0</v>
      </c>
    </row>
    <row r="404" spans="1:12" x14ac:dyDescent="0.25">
      <c r="A404" s="5" t="s">
        <v>591</v>
      </c>
      <c r="B404" s="5" t="s">
        <v>68</v>
      </c>
      <c r="C404" s="7" t="s">
        <v>159</v>
      </c>
      <c r="D404" s="8">
        <v>3</v>
      </c>
      <c r="E404" s="8">
        <v>3</v>
      </c>
      <c r="F404" s="8">
        <v>41</v>
      </c>
      <c r="G404" s="5">
        <v>13.7</v>
      </c>
      <c r="H404" s="5">
        <v>0</v>
      </c>
      <c r="I404" s="6">
        <f t="shared" si="6"/>
        <v>0</v>
      </c>
      <c r="J404" s="6">
        <f>D404/(VLOOKUP(B404,'[1]2022 Team'!$B$2:$G$33,2,FALSE))</f>
        <v>6.5789473684210523E-3</v>
      </c>
      <c r="K404" s="9">
        <v>100</v>
      </c>
      <c r="L404" s="5">
        <v>0</v>
      </c>
    </row>
    <row r="405" spans="1:12" x14ac:dyDescent="0.25">
      <c r="A405" s="5" t="s">
        <v>2425</v>
      </c>
      <c r="B405" s="5" t="s">
        <v>62</v>
      </c>
      <c r="C405" s="7" t="s">
        <v>159</v>
      </c>
      <c r="D405" s="8">
        <v>3</v>
      </c>
      <c r="E405" s="8">
        <v>3</v>
      </c>
      <c r="F405" s="8">
        <v>44</v>
      </c>
      <c r="G405" s="5">
        <v>14.7</v>
      </c>
      <c r="H405" s="5">
        <v>1</v>
      </c>
      <c r="I405" s="6">
        <f t="shared" si="6"/>
        <v>0.33333333333333331</v>
      </c>
      <c r="J405" s="6">
        <f>D405/(VLOOKUP(B405,'[1]2022 Team'!$B$2:$G$33,2,FALSE))</f>
        <v>5.859375E-3</v>
      </c>
      <c r="K405" s="9">
        <v>100</v>
      </c>
      <c r="L405" s="5">
        <v>0</v>
      </c>
    </row>
    <row r="406" spans="1:12" x14ac:dyDescent="0.25">
      <c r="A406" s="5" t="s">
        <v>870</v>
      </c>
      <c r="B406" s="5" t="s">
        <v>62</v>
      </c>
      <c r="C406" s="7" t="s">
        <v>153</v>
      </c>
      <c r="D406" s="8">
        <v>5</v>
      </c>
      <c r="E406" s="8">
        <v>3</v>
      </c>
      <c r="F406" s="8">
        <v>105</v>
      </c>
      <c r="G406" s="5">
        <v>35</v>
      </c>
      <c r="H406" s="5">
        <v>1</v>
      </c>
      <c r="I406" s="6">
        <f t="shared" si="6"/>
        <v>0.33333333333333331</v>
      </c>
      <c r="J406" s="6">
        <f>D406/(VLOOKUP(B406,'[1]2022 Team'!$B$2:$G$33,2,FALSE))</f>
        <v>9.765625E-3</v>
      </c>
      <c r="K406" s="9">
        <v>60</v>
      </c>
      <c r="L406" s="5">
        <v>0</v>
      </c>
    </row>
    <row r="407" spans="1:12" x14ac:dyDescent="0.25">
      <c r="A407" s="5" t="s">
        <v>2478</v>
      </c>
      <c r="B407" s="5" t="s">
        <v>10</v>
      </c>
      <c r="C407" s="7" t="s">
        <v>163</v>
      </c>
      <c r="D407" s="8">
        <v>5</v>
      </c>
      <c r="E407" s="8">
        <v>3</v>
      </c>
      <c r="F407" s="8">
        <v>15</v>
      </c>
      <c r="G407" s="5">
        <v>5</v>
      </c>
      <c r="H407" s="5">
        <v>0</v>
      </c>
      <c r="I407" s="6">
        <f t="shared" si="6"/>
        <v>0</v>
      </c>
      <c r="J407" s="6">
        <f>D407/(VLOOKUP(B407,'[1]2022 Team'!$B$2:$G$33,2,FALSE))</f>
        <v>1.2048192771084338E-2</v>
      </c>
      <c r="K407" s="9">
        <v>60</v>
      </c>
      <c r="L407" s="5">
        <v>0</v>
      </c>
    </row>
    <row r="408" spans="1:12" x14ac:dyDescent="0.25">
      <c r="A408" s="5" t="s">
        <v>2479</v>
      </c>
      <c r="B408" s="5" t="s">
        <v>48</v>
      </c>
      <c r="C408" s="7" t="s">
        <v>153</v>
      </c>
      <c r="D408" s="8">
        <v>3</v>
      </c>
      <c r="E408" s="8">
        <v>3</v>
      </c>
      <c r="F408" s="8">
        <v>26</v>
      </c>
      <c r="G408" s="5">
        <v>8.6999999999999993</v>
      </c>
      <c r="H408" s="5">
        <v>0</v>
      </c>
      <c r="I408" s="6">
        <f t="shared" si="6"/>
        <v>0</v>
      </c>
      <c r="J408" s="6">
        <f>D408/(VLOOKUP(B408,'[1]2022 Team'!$B$2:$G$33,2,FALSE))</f>
        <v>4.464285714285714E-3</v>
      </c>
      <c r="K408" s="9">
        <v>100</v>
      </c>
      <c r="L408" s="5">
        <v>0</v>
      </c>
    </row>
    <row r="409" spans="1:12" x14ac:dyDescent="0.25">
      <c r="A409" s="5" t="s">
        <v>1738</v>
      </c>
      <c r="B409" s="5" t="s">
        <v>20</v>
      </c>
      <c r="C409" s="7" t="s">
        <v>159</v>
      </c>
      <c r="D409" s="8">
        <v>4</v>
      </c>
      <c r="E409" s="8">
        <v>3</v>
      </c>
      <c r="F409" s="8">
        <v>38</v>
      </c>
      <c r="G409" s="5">
        <v>12.7</v>
      </c>
      <c r="H409" s="5">
        <v>1</v>
      </c>
      <c r="I409" s="6">
        <f t="shared" si="6"/>
        <v>0.33333333333333331</v>
      </c>
      <c r="J409" s="6">
        <f>D409/(VLOOKUP(B409,'[1]2022 Team'!$B$2:$G$33,2,FALSE))</f>
        <v>6.5573770491803279E-3</v>
      </c>
      <c r="K409" s="9">
        <v>75</v>
      </c>
      <c r="L409" s="5">
        <v>0</v>
      </c>
    </row>
    <row r="410" spans="1:12" x14ac:dyDescent="0.25">
      <c r="A410" s="5" t="s">
        <v>1796</v>
      </c>
      <c r="B410" s="5" t="s">
        <v>24</v>
      </c>
      <c r="C410" s="7" t="s">
        <v>163</v>
      </c>
      <c r="D410" s="8">
        <v>4</v>
      </c>
      <c r="E410" s="8">
        <v>3</v>
      </c>
      <c r="F410" s="8">
        <v>24</v>
      </c>
      <c r="G410" s="5">
        <v>8</v>
      </c>
      <c r="H410" s="5">
        <v>0</v>
      </c>
      <c r="I410" s="6">
        <f t="shared" si="6"/>
        <v>0</v>
      </c>
      <c r="J410" s="6">
        <f>D410/(VLOOKUP(B410,'[1]2022 Team'!$B$2:$G$33,2,FALSE))</f>
        <v>7.1942446043165471E-3</v>
      </c>
      <c r="K410" s="9">
        <v>75</v>
      </c>
      <c r="L410" s="5">
        <v>0</v>
      </c>
    </row>
    <row r="411" spans="1:12" x14ac:dyDescent="0.25">
      <c r="A411" s="5" t="s">
        <v>2493</v>
      </c>
      <c r="B411" s="5" t="s">
        <v>64</v>
      </c>
      <c r="C411" s="7" t="s">
        <v>163</v>
      </c>
      <c r="D411" s="8">
        <v>4</v>
      </c>
      <c r="E411" s="8">
        <v>3</v>
      </c>
      <c r="F411" s="8">
        <v>20</v>
      </c>
      <c r="G411" s="5">
        <v>6.7</v>
      </c>
      <c r="H411" s="5">
        <v>0</v>
      </c>
      <c r="I411" s="6">
        <f t="shared" si="6"/>
        <v>0</v>
      </c>
      <c r="J411" s="6">
        <f>D411/(VLOOKUP(B411,'[1]2022 Team'!$B$2:$G$33,2,FALSE))</f>
        <v>6.9808027923211171E-3</v>
      </c>
      <c r="K411" s="9">
        <v>75</v>
      </c>
      <c r="L411" s="5">
        <v>0</v>
      </c>
    </row>
    <row r="412" spans="1:12" x14ac:dyDescent="0.25">
      <c r="A412" s="5" t="s">
        <v>2496</v>
      </c>
      <c r="B412" s="5" t="s">
        <v>68</v>
      </c>
      <c r="C412" s="7" t="s">
        <v>163</v>
      </c>
      <c r="D412" s="8">
        <v>5</v>
      </c>
      <c r="E412" s="8">
        <v>3</v>
      </c>
      <c r="F412" s="8">
        <v>54</v>
      </c>
      <c r="G412" s="5">
        <v>18</v>
      </c>
      <c r="H412" s="5">
        <v>0</v>
      </c>
      <c r="I412" s="6">
        <f t="shared" si="6"/>
        <v>0</v>
      </c>
      <c r="J412" s="6">
        <f>D412/(VLOOKUP(B412,'[1]2022 Team'!$B$2:$G$33,2,FALSE))</f>
        <v>1.0964912280701754E-2</v>
      </c>
      <c r="K412" s="9">
        <v>60</v>
      </c>
      <c r="L412" s="5">
        <v>0</v>
      </c>
    </row>
    <row r="413" spans="1:12" x14ac:dyDescent="0.25">
      <c r="A413" s="5" t="s">
        <v>1805</v>
      </c>
      <c r="B413" s="5" t="s">
        <v>40</v>
      </c>
      <c r="C413" s="7" t="s">
        <v>163</v>
      </c>
      <c r="D413" s="8">
        <v>4</v>
      </c>
      <c r="E413" s="8">
        <v>3</v>
      </c>
      <c r="F413" s="8">
        <v>19</v>
      </c>
      <c r="G413" s="5">
        <v>6.3</v>
      </c>
      <c r="H413" s="5">
        <v>0</v>
      </c>
      <c r="I413" s="6">
        <f t="shared" si="6"/>
        <v>0</v>
      </c>
      <c r="J413" s="6">
        <f>D413/(VLOOKUP(B413,'[1]2022 Team'!$B$2:$G$33,2,FALSE))</f>
        <v>6.8259385665529011E-3</v>
      </c>
      <c r="K413" s="9">
        <v>75</v>
      </c>
      <c r="L413" s="5">
        <v>0</v>
      </c>
    </row>
    <row r="414" spans="1:12" x14ac:dyDescent="0.25">
      <c r="A414" s="5" t="s">
        <v>563</v>
      </c>
      <c r="B414" s="5" t="s">
        <v>22</v>
      </c>
      <c r="C414" s="7" t="s">
        <v>159</v>
      </c>
      <c r="D414" s="8">
        <v>3</v>
      </c>
      <c r="E414" s="8">
        <v>3</v>
      </c>
      <c r="F414" s="8">
        <v>7</v>
      </c>
      <c r="G414" s="5">
        <v>2.2999999999999998</v>
      </c>
      <c r="H414" s="5">
        <v>0</v>
      </c>
      <c r="I414" s="6">
        <f t="shared" si="6"/>
        <v>0</v>
      </c>
      <c r="J414" s="6">
        <f>D414/(VLOOKUP(B414,'[1]2022 Team'!$B$2:$G$33,2,FALSE))</f>
        <v>5.5555555555555558E-3</v>
      </c>
      <c r="K414" s="9">
        <v>100</v>
      </c>
      <c r="L414" s="5">
        <v>0</v>
      </c>
    </row>
    <row r="415" spans="1:12" x14ac:dyDescent="0.25">
      <c r="A415" s="5" t="s">
        <v>900</v>
      </c>
      <c r="B415" s="5" t="s">
        <v>36</v>
      </c>
      <c r="C415" s="7" t="s">
        <v>163</v>
      </c>
      <c r="D415" s="8">
        <v>4</v>
      </c>
      <c r="E415" s="8">
        <v>3</v>
      </c>
      <c r="F415" s="8">
        <v>30</v>
      </c>
      <c r="G415" s="5">
        <v>10</v>
      </c>
      <c r="H415" s="5">
        <v>0</v>
      </c>
      <c r="I415" s="6">
        <f t="shared" si="6"/>
        <v>0</v>
      </c>
      <c r="J415" s="6">
        <f>D415/(VLOOKUP(B415,'[1]2022 Team'!$B$2:$G$33,2,FALSE))</f>
        <v>6.7114093959731542E-3</v>
      </c>
      <c r="K415" s="9">
        <v>75</v>
      </c>
      <c r="L415" s="5">
        <v>0</v>
      </c>
    </row>
    <row r="416" spans="1:12" x14ac:dyDescent="0.25">
      <c r="A416" s="5" t="s">
        <v>910</v>
      </c>
      <c r="B416" s="5" t="s">
        <v>62</v>
      </c>
      <c r="C416" s="7" t="s">
        <v>159</v>
      </c>
      <c r="D416" s="8">
        <v>4</v>
      </c>
      <c r="E416" s="8">
        <v>3</v>
      </c>
      <c r="F416" s="8">
        <v>7</v>
      </c>
      <c r="G416" s="5">
        <v>2.2999999999999998</v>
      </c>
      <c r="H416" s="5">
        <v>0</v>
      </c>
      <c r="I416" s="6">
        <f t="shared" si="6"/>
        <v>0</v>
      </c>
      <c r="J416" s="6">
        <f>D416/(VLOOKUP(B416,'[1]2022 Team'!$B$2:$G$33,2,FALSE))</f>
        <v>7.8125E-3</v>
      </c>
      <c r="K416" s="9">
        <v>75</v>
      </c>
      <c r="L416" s="5">
        <v>0</v>
      </c>
    </row>
    <row r="417" spans="1:12" x14ac:dyDescent="0.25">
      <c r="A417" s="5" t="s">
        <v>1732</v>
      </c>
      <c r="B417" s="5" t="s">
        <v>50</v>
      </c>
      <c r="C417" s="7" t="s">
        <v>163</v>
      </c>
      <c r="D417" s="8">
        <v>4</v>
      </c>
      <c r="E417" s="8">
        <v>3</v>
      </c>
      <c r="F417" s="8">
        <v>15</v>
      </c>
      <c r="G417" s="5">
        <v>5</v>
      </c>
      <c r="H417" s="5">
        <v>1</v>
      </c>
      <c r="I417" s="6">
        <f t="shared" si="6"/>
        <v>0.33333333333333331</v>
      </c>
      <c r="J417" s="6">
        <f>D417/(VLOOKUP(B417,'[1]2022 Team'!$B$2:$G$33,2,FALSE))</f>
        <v>7.4074074074074077E-3</v>
      </c>
      <c r="K417" s="9">
        <v>75</v>
      </c>
      <c r="L417" s="5">
        <v>0</v>
      </c>
    </row>
    <row r="418" spans="1:12" x14ac:dyDescent="0.25">
      <c r="A418" s="5" t="s">
        <v>612</v>
      </c>
      <c r="B418" s="5" t="s">
        <v>52</v>
      </c>
      <c r="C418" s="7" t="s">
        <v>613</v>
      </c>
      <c r="D418" s="8">
        <v>3</v>
      </c>
      <c r="E418" s="8">
        <v>3</v>
      </c>
      <c r="F418" s="8">
        <v>9</v>
      </c>
      <c r="G418" s="5">
        <v>3</v>
      </c>
      <c r="H418" s="5">
        <v>0</v>
      </c>
      <c r="I418" s="6">
        <f t="shared" si="6"/>
        <v>0</v>
      </c>
      <c r="J418" s="6">
        <f>D418/(VLOOKUP(B418,'[1]2022 Team'!$B$2:$G$33,2,FALSE))</f>
        <v>5.859375E-3</v>
      </c>
      <c r="K418" s="9">
        <v>100</v>
      </c>
      <c r="L418" s="5">
        <v>1</v>
      </c>
    </row>
    <row r="419" spans="1:12" x14ac:dyDescent="0.25">
      <c r="A419" s="5" t="s">
        <v>2515</v>
      </c>
      <c r="B419" s="5" t="s">
        <v>66</v>
      </c>
      <c r="C419" s="7" t="s">
        <v>153</v>
      </c>
      <c r="D419" s="8">
        <v>5</v>
      </c>
      <c r="E419" s="8">
        <v>3</v>
      </c>
      <c r="F419" s="8">
        <v>28</v>
      </c>
      <c r="G419" s="5">
        <v>9.3000000000000007</v>
      </c>
      <c r="H419" s="5">
        <v>1</v>
      </c>
      <c r="I419" s="6">
        <f t="shared" si="6"/>
        <v>0.33333333333333331</v>
      </c>
      <c r="J419" s="6">
        <f>D419/(VLOOKUP(B419,'[1]2022 Team'!$B$2:$G$33,2,FALSE))</f>
        <v>6.6577896138482022E-3</v>
      </c>
      <c r="K419" s="9">
        <v>60</v>
      </c>
      <c r="L419" s="5">
        <v>0</v>
      </c>
    </row>
    <row r="420" spans="1:12" x14ac:dyDescent="0.25">
      <c r="A420" s="5" t="s">
        <v>1680</v>
      </c>
      <c r="B420" s="5" t="s">
        <v>42</v>
      </c>
      <c r="C420" s="7" t="s">
        <v>159</v>
      </c>
      <c r="D420" s="8">
        <v>3</v>
      </c>
      <c r="E420" s="8">
        <v>3</v>
      </c>
      <c r="F420" s="8">
        <v>13</v>
      </c>
      <c r="G420" s="5">
        <v>4.3</v>
      </c>
      <c r="H420" s="5">
        <v>0</v>
      </c>
      <c r="I420" s="6">
        <f t="shared" si="6"/>
        <v>0</v>
      </c>
      <c r="J420" s="6">
        <f>D420/(VLOOKUP(B420,'[1]2022 Team'!$B$2:$G$33,2,FALSE))</f>
        <v>4.2194092827004216E-3</v>
      </c>
      <c r="K420" s="9">
        <v>100</v>
      </c>
      <c r="L420" s="5">
        <v>0</v>
      </c>
    </row>
    <row r="421" spans="1:12" x14ac:dyDescent="0.25">
      <c r="A421" s="5" t="s">
        <v>1848</v>
      </c>
      <c r="B421" s="5" t="s">
        <v>34</v>
      </c>
      <c r="C421" s="7" t="s">
        <v>163</v>
      </c>
      <c r="D421" s="8">
        <v>9</v>
      </c>
      <c r="E421" s="8">
        <v>3</v>
      </c>
      <c r="F421" s="8">
        <v>59</v>
      </c>
      <c r="G421" s="5">
        <v>19.7</v>
      </c>
      <c r="H421" s="5">
        <v>0</v>
      </c>
      <c r="I421" s="6">
        <f t="shared" si="6"/>
        <v>0</v>
      </c>
      <c r="J421" s="6">
        <f>D421/(VLOOKUP(B421,'[1]2022 Team'!$B$2:$G$33,2,FALSE))</f>
        <v>1.4900662251655629E-2</v>
      </c>
      <c r="K421" s="9">
        <v>33.299999999999997</v>
      </c>
      <c r="L421" s="5">
        <v>0</v>
      </c>
    </row>
    <row r="422" spans="1:12" x14ac:dyDescent="0.25">
      <c r="A422" s="5" t="s">
        <v>1690</v>
      </c>
      <c r="B422" s="5" t="s">
        <v>66</v>
      </c>
      <c r="C422" s="7" t="s">
        <v>159</v>
      </c>
      <c r="D422" s="8">
        <v>4</v>
      </c>
      <c r="E422" s="8">
        <v>3</v>
      </c>
      <c r="F422" s="8">
        <v>19</v>
      </c>
      <c r="G422" s="5">
        <v>6.3</v>
      </c>
      <c r="H422" s="5">
        <v>0</v>
      </c>
      <c r="I422" s="6">
        <f t="shared" si="6"/>
        <v>0</v>
      </c>
      <c r="J422" s="6">
        <f>D422/(VLOOKUP(B422,'[1]2022 Team'!$B$2:$G$33,2,FALSE))</f>
        <v>5.3262316910785623E-3</v>
      </c>
      <c r="K422" s="9">
        <v>75</v>
      </c>
      <c r="L422" s="5">
        <v>0</v>
      </c>
    </row>
    <row r="423" spans="1:12" x14ac:dyDescent="0.25">
      <c r="A423" s="5" t="s">
        <v>2531</v>
      </c>
      <c r="B423" s="5" t="s">
        <v>8</v>
      </c>
      <c r="C423" s="7" t="s">
        <v>153</v>
      </c>
      <c r="D423" s="8">
        <v>3</v>
      </c>
      <c r="E423" s="8">
        <v>3</v>
      </c>
      <c r="F423" s="8">
        <v>18</v>
      </c>
      <c r="G423" s="5">
        <v>6</v>
      </c>
      <c r="H423" s="5">
        <v>0</v>
      </c>
      <c r="I423" s="6">
        <f t="shared" si="6"/>
        <v>0</v>
      </c>
      <c r="J423" s="6">
        <f>D423/(VLOOKUP(B423,'[1]2022 Team'!$B$2:$G$33,2,FALSE))</f>
        <v>4.5180722891566263E-3</v>
      </c>
      <c r="K423" s="9">
        <v>100</v>
      </c>
      <c r="L423" s="5">
        <v>0</v>
      </c>
    </row>
    <row r="424" spans="1:12" x14ac:dyDescent="0.25">
      <c r="A424" s="5" t="s">
        <v>2462</v>
      </c>
      <c r="B424" s="5" t="s">
        <v>20</v>
      </c>
      <c r="C424" s="7" t="s">
        <v>153</v>
      </c>
      <c r="D424" s="8">
        <v>4</v>
      </c>
      <c r="E424" s="8">
        <v>2</v>
      </c>
      <c r="F424" s="8">
        <v>5</v>
      </c>
      <c r="G424" s="5">
        <v>2.5</v>
      </c>
      <c r="H424" s="5">
        <v>0</v>
      </c>
      <c r="I424" s="6">
        <f t="shared" si="6"/>
        <v>0</v>
      </c>
      <c r="J424" s="6">
        <f>D424/(VLOOKUP(B424,'[1]2022 Team'!$B$2:$G$33,2,FALSE))</f>
        <v>6.5573770491803279E-3</v>
      </c>
      <c r="K424" s="9">
        <v>50</v>
      </c>
      <c r="L424" s="5">
        <v>0</v>
      </c>
    </row>
    <row r="425" spans="1:12" x14ac:dyDescent="0.25">
      <c r="A425" s="5" t="s">
        <v>2464</v>
      </c>
      <c r="B425" s="5" t="s">
        <v>22</v>
      </c>
      <c r="C425" s="7" t="s">
        <v>163</v>
      </c>
      <c r="D425" s="8">
        <v>2</v>
      </c>
      <c r="E425" s="8">
        <v>2</v>
      </c>
      <c r="F425" s="8">
        <v>25</v>
      </c>
      <c r="G425" s="5">
        <v>12.5</v>
      </c>
      <c r="H425" s="5">
        <v>0</v>
      </c>
      <c r="I425" s="6">
        <f t="shared" si="6"/>
        <v>0</v>
      </c>
      <c r="J425" s="6">
        <f>D425/(VLOOKUP(B425,'[1]2022 Team'!$B$2:$G$33,2,FALSE))</f>
        <v>3.7037037037037038E-3</v>
      </c>
      <c r="K425" s="9">
        <v>100</v>
      </c>
      <c r="L425" s="5">
        <v>0</v>
      </c>
    </row>
    <row r="426" spans="1:12" x14ac:dyDescent="0.25">
      <c r="A426" s="5" t="s">
        <v>1775</v>
      </c>
      <c r="B426" s="5" t="s">
        <v>38</v>
      </c>
      <c r="C426" s="7" t="s">
        <v>153</v>
      </c>
      <c r="D426" s="8">
        <v>2</v>
      </c>
      <c r="E426" s="8">
        <v>2</v>
      </c>
      <c r="F426" s="8">
        <v>20</v>
      </c>
      <c r="G426" s="5">
        <v>10</v>
      </c>
      <c r="H426" s="5">
        <v>1</v>
      </c>
      <c r="I426" s="6">
        <f t="shared" si="6"/>
        <v>0.5</v>
      </c>
      <c r="J426" s="6">
        <f>D426/(VLOOKUP(B426,'[1]2022 Team'!$B$2:$G$33,2,FALSE))</f>
        <v>3.0721966205837174E-3</v>
      </c>
      <c r="K426" s="9">
        <v>100</v>
      </c>
      <c r="L426" s="5">
        <v>0</v>
      </c>
    </row>
    <row r="427" spans="1:12" x14ac:dyDescent="0.25">
      <c r="A427" s="5" t="s">
        <v>2431</v>
      </c>
      <c r="B427" s="5" t="s">
        <v>66</v>
      </c>
      <c r="C427" s="7" t="s">
        <v>159</v>
      </c>
      <c r="D427" s="8">
        <v>2</v>
      </c>
      <c r="E427" s="8">
        <v>2</v>
      </c>
      <c r="F427" s="8">
        <v>-1</v>
      </c>
      <c r="G427" s="5">
        <v>-0.5</v>
      </c>
      <c r="H427" s="5">
        <v>0</v>
      </c>
      <c r="I427" s="6">
        <f t="shared" si="6"/>
        <v>0</v>
      </c>
      <c r="J427" s="6">
        <f>D427/(VLOOKUP(B427,'[1]2022 Team'!$B$2:$G$33,2,FALSE))</f>
        <v>2.6631158455392811E-3</v>
      </c>
      <c r="K427" s="9">
        <v>100</v>
      </c>
      <c r="L427" s="5">
        <v>1</v>
      </c>
    </row>
    <row r="428" spans="1:12" x14ac:dyDescent="0.25">
      <c r="A428" s="5" t="s">
        <v>2465</v>
      </c>
      <c r="B428" s="5" t="s">
        <v>44</v>
      </c>
      <c r="C428" s="7" t="s">
        <v>153</v>
      </c>
      <c r="D428" s="8">
        <v>2</v>
      </c>
      <c r="E428" s="8">
        <v>2</v>
      </c>
      <c r="F428" s="8">
        <v>35</v>
      </c>
      <c r="G428" s="5">
        <v>17.5</v>
      </c>
      <c r="H428" s="5">
        <v>0</v>
      </c>
      <c r="I428" s="6">
        <f t="shared" si="6"/>
        <v>0</v>
      </c>
      <c r="J428" s="6">
        <f>D428/(VLOOKUP(B428,'[1]2022 Team'!$B$2:$G$33,2,FALSE))</f>
        <v>3.766478342749529E-3</v>
      </c>
      <c r="K428" s="9">
        <v>100</v>
      </c>
      <c r="L428" s="5">
        <v>0</v>
      </c>
    </row>
    <row r="429" spans="1:12" x14ac:dyDescent="0.25">
      <c r="A429" s="5" t="s">
        <v>1777</v>
      </c>
      <c r="B429" s="5" t="s">
        <v>60</v>
      </c>
      <c r="C429" s="7" t="s">
        <v>163</v>
      </c>
      <c r="D429" s="8">
        <v>3</v>
      </c>
      <c r="E429" s="8">
        <v>2</v>
      </c>
      <c r="F429" s="8">
        <v>11</v>
      </c>
      <c r="G429" s="5">
        <v>5.5</v>
      </c>
      <c r="H429" s="5">
        <v>0</v>
      </c>
      <c r="I429" s="6">
        <f t="shared" ref="I429:I491" si="7">H429/E429</f>
        <v>0</v>
      </c>
      <c r="J429" s="6">
        <f>D429/(VLOOKUP(B429,'[1]2022 Team'!$B$2:$G$33,2,FALSE))</f>
        <v>5.2539404553415062E-3</v>
      </c>
      <c r="K429" s="9">
        <v>66.7</v>
      </c>
      <c r="L429" s="5">
        <v>0</v>
      </c>
    </row>
    <row r="430" spans="1:12" x14ac:dyDescent="0.25">
      <c r="A430" s="5" t="s">
        <v>2429</v>
      </c>
      <c r="B430" s="5" t="s">
        <v>16</v>
      </c>
      <c r="C430" s="7" t="s">
        <v>159</v>
      </c>
      <c r="D430" s="8">
        <v>4</v>
      </c>
      <c r="E430" s="8">
        <v>2</v>
      </c>
      <c r="F430" s="8">
        <v>10</v>
      </c>
      <c r="G430" s="5">
        <v>5</v>
      </c>
      <c r="H430" s="5">
        <v>0</v>
      </c>
      <c r="I430" s="6">
        <f t="shared" si="7"/>
        <v>0</v>
      </c>
      <c r="J430" s="6">
        <f>D430/(VLOOKUP(B430,'[1]2022 Team'!$B$2:$G$33,2,FALSE))</f>
        <v>8.7527352297592995E-3</v>
      </c>
      <c r="K430" s="9">
        <v>50</v>
      </c>
      <c r="L430" s="5">
        <v>0</v>
      </c>
    </row>
    <row r="431" spans="1:12" x14ac:dyDescent="0.25">
      <c r="A431" s="5" t="s">
        <v>1714</v>
      </c>
      <c r="B431" s="5" t="s">
        <v>38</v>
      </c>
      <c r="C431" s="7" t="s">
        <v>159</v>
      </c>
      <c r="D431" s="8">
        <v>3</v>
      </c>
      <c r="E431" s="8">
        <v>2</v>
      </c>
      <c r="F431" s="8">
        <v>11</v>
      </c>
      <c r="G431" s="5">
        <v>5.5</v>
      </c>
      <c r="H431" s="5">
        <v>0</v>
      </c>
      <c r="I431" s="6">
        <f t="shared" si="7"/>
        <v>0</v>
      </c>
      <c r="J431" s="6">
        <f>D431/(VLOOKUP(B431,'[1]2022 Team'!$B$2:$G$33,2,FALSE))</f>
        <v>4.608294930875576E-3</v>
      </c>
      <c r="K431" s="9">
        <v>66.7</v>
      </c>
      <c r="L431" s="5">
        <v>0</v>
      </c>
    </row>
    <row r="432" spans="1:12" x14ac:dyDescent="0.25">
      <c r="A432" s="5" t="s">
        <v>2471</v>
      </c>
      <c r="B432" s="5" t="s">
        <v>28</v>
      </c>
      <c r="C432" s="7" t="s">
        <v>163</v>
      </c>
      <c r="D432" s="8">
        <v>3</v>
      </c>
      <c r="E432" s="8">
        <v>2</v>
      </c>
      <c r="F432" s="8">
        <v>15</v>
      </c>
      <c r="G432" s="5">
        <v>7.5</v>
      </c>
      <c r="H432" s="5">
        <v>0</v>
      </c>
      <c r="I432" s="6">
        <f t="shared" si="7"/>
        <v>0</v>
      </c>
      <c r="J432" s="6">
        <f>D432/(VLOOKUP(B432,'[1]2022 Team'!$B$2:$G$33,2,FALSE))</f>
        <v>5.1020408163265302E-3</v>
      </c>
      <c r="K432" s="9">
        <v>66.7</v>
      </c>
      <c r="L432" s="5">
        <v>0</v>
      </c>
    </row>
    <row r="433" spans="1:12" x14ac:dyDescent="0.25">
      <c r="A433" s="5" t="s">
        <v>2472</v>
      </c>
      <c r="B433" s="5" t="s">
        <v>26</v>
      </c>
      <c r="C433" s="7" t="s">
        <v>163</v>
      </c>
      <c r="D433" s="8">
        <v>7</v>
      </c>
      <c r="E433" s="8">
        <v>2</v>
      </c>
      <c r="F433" s="8">
        <v>28</v>
      </c>
      <c r="G433" s="5">
        <v>14</v>
      </c>
      <c r="H433" s="5">
        <v>0</v>
      </c>
      <c r="I433" s="6">
        <f t="shared" si="7"/>
        <v>0</v>
      </c>
      <c r="J433" s="6">
        <f>D433/(VLOOKUP(B433,'[1]2022 Team'!$B$2:$G$33,2,FALSE))</f>
        <v>1.2259194395796848E-2</v>
      </c>
      <c r="K433" s="9">
        <v>28.6</v>
      </c>
      <c r="L433" s="5">
        <v>0</v>
      </c>
    </row>
    <row r="434" spans="1:12" x14ac:dyDescent="0.25">
      <c r="A434" s="5" t="s">
        <v>2434</v>
      </c>
      <c r="B434" s="5" t="s">
        <v>8</v>
      </c>
      <c r="C434" s="7" t="s">
        <v>163</v>
      </c>
      <c r="D434" s="8">
        <v>2</v>
      </c>
      <c r="E434" s="8">
        <v>2</v>
      </c>
      <c r="F434" s="8">
        <v>6</v>
      </c>
      <c r="G434" s="5">
        <v>3</v>
      </c>
      <c r="H434" s="5">
        <v>0</v>
      </c>
      <c r="I434" s="6">
        <f t="shared" si="7"/>
        <v>0</v>
      </c>
      <c r="J434" s="6">
        <f>D434/(VLOOKUP(B434,'[1]2022 Team'!$B$2:$G$33,2,FALSE))</f>
        <v>3.0120481927710845E-3</v>
      </c>
      <c r="K434" s="9">
        <v>100</v>
      </c>
      <c r="L434" s="5">
        <v>0</v>
      </c>
    </row>
    <row r="435" spans="1:12" x14ac:dyDescent="0.25">
      <c r="A435" s="5" t="s">
        <v>2179</v>
      </c>
      <c r="B435" s="5" t="s">
        <v>66</v>
      </c>
      <c r="C435" s="7" t="s">
        <v>163</v>
      </c>
      <c r="D435" s="8">
        <v>2</v>
      </c>
      <c r="E435" s="8">
        <v>2</v>
      </c>
      <c r="F435" s="8">
        <v>26</v>
      </c>
      <c r="G435" s="5">
        <v>13</v>
      </c>
      <c r="H435" s="5">
        <v>0</v>
      </c>
      <c r="I435" s="6">
        <f t="shared" si="7"/>
        <v>0</v>
      </c>
      <c r="J435" s="6">
        <f>D435/(VLOOKUP(B435,'[1]2022 Team'!$B$2:$G$33,2,FALSE))</f>
        <v>2.6631158455392811E-3</v>
      </c>
      <c r="K435" s="9">
        <v>100</v>
      </c>
      <c r="L435" s="5">
        <v>0</v>
      </c>
    </row>
    <row r="436" spans="1:12" x14ac:dyDescent="0.25">
      <c r="A436" s="5" t="s">
        <v>2432</v>
      </c>
      <c r="B436" s="5" t="s">
        <v>12</v>
      </c>
      <c r="C436" s="7" t="s">
        <v>159</v>
      </c>
      <c r="D436" s="8">
        <v>2</v>
      </c>
      <c r="E436" s="8">
        <v>2</v>
      </c>
      <c r="F436" s="8">
        <v>4</v>
      </c>
      <c r="G436" s="5">
        <v>2</v>
      </c>
      <c r="H436" s="5">
        <v>0</v>
      </c>
      <c r="I436" s="6">
        <f t="shared" si="7"/>
        <v>0</v>
      </c>
      <c r="J436" s="6">
        <f>D436/(VLOOKUP(B436,'[1]2022 Team'!$B$2:$G$33,2,FALSE))</f>
        <v>4.0983606557377051E-3</v>
      </c>
      <c r="K436" s="9">
        <v>100</v>
      </c>
      <c r="L436" s="5">
        <v>1</v>
      </c>
    </row>
    <row r="437" spans="1:12" x14ac:dyDescent="0.25">
      <c r="A437" s="5" t="s">
        <v>2412</v>
      </c>
      <c r="B437" s="5" t="s">
        <v>18</v>
      </c>
      <c r="C437" s="7" t="s">
        <v>159</v>
      </c>
      <c r="D437" s="8">
        <v>8</v>
      </c>
      <c r="E437" s="8">
        <v>2</v>
      </c>
      <c r="F437" s="8">
        <v>8</v>
      </c>
      <c r="G437" s="5">
        <v>4</v>
      </c>
      <c r="H437" s="5">
        <v>0</v>
      </c>
      <c r="I437" s="6">
        <f t="shared" si="7"/>
        <v>0</v>
      </c>
      <c r="J437" s="6">
        <f>D437/(VLOOKUP(B437,'[1]2022 Team'!$B$2:$G$33,2,FALSE))</f>
        <v>2.1220159151193633E-2</v>
      </c>
      <c r="K437" s="9">
        <v>25</v>
      </c>
      <c r="L437" s="5">
        <v>2</v>
      </c>
    </row>
    <row r="438" spans="1:12" x14ac:dyDescent="0.25">
      <c r="A438" s="5" t="s">
        <v>2449</v>
      </c>
      <c r="B438" s="5" t="s">
        <v>22</v>
      </c>
      <c r="C438" s="7" t="s">
        <v>163</v>
      </c>
      <c r="D438" s="8">
        <v>4</v>
      </c>
      <c r="E438" s="8">
        <v>2</v>
      </c>
      <c r="F438" s="8">
        <v>8</v>
      </c>
      <c r="G438" s="5">
        <v>4</v>
      </c>
      <c r="H438" s="5">
        <v>0</v>
      </c>
      <c r="I438" s="6">
        <f t="shared" si="7"/>
        <v>0</v>
      </c>
      <c r="J438" s="6">
        <f>D438/(VLOOKUP(B438,'[1]2022 Team'!$B$2:$G$33,2,FALSE))</f>
        <v>7.4074074074074077E-3</v>
      </c>
      <c r="K438" s="9">
        <v>50</v>
      </c>
      <c r="L438" s="5">
        <v>1</v>
      </c>
    </row>
    <row r="439" spans="1:12" x14ac:dyDescent="0.25">
      <c r="A439" s="5" t="s">
        <v>1801</v>
      </c>
      <c r="B439" s="5" t="s">
        <v>42</v>
      </c>
      <c r="C439" s="7" t="s">
        <v>163</v>
      </c>
      <c r="D439" s="8">
        <v>4</v>
      </c>
      <c r="E439" s="8">
        <v>2</v>
      </c>
      <c r="F439" s="8">
        <v>64</v>
      </c>
      <c r="G439" s="5">
        <v>32</v>
      </c>
      <c r="H439" s="5">
        <v>0</v>
      </c>
      <c r="I439" s="6">
        <f t="shared" si="7"/>
        <v>0</v>
      </c>
      <c r="J439" s="6">
        <f>D439/(VLOOKUP(B439,'[1]2022 Team'!$B$2:$G$33,2,FALSE))</f>
        <v>5.6258790436005627E-3</v>
      </c>
      <c r="K439" s="9">
        <v>50</v>
      </c>
      <c r="L439" s="5">
        <v>0</v>
      </c>
    </row>
    <row r="440" spans="1:12" x14ac:dyDescent="0.25">
      <c r="A440" s="5" t="s">
        <v>1726</v>
      </c>
      <c r="B440" s="5" t="s">
        <v>52</v>
      </c>
      <c r="C440" s="7" t="s">
        <v>163</v>
      </c>
      <c r="D440" s="8">
        <v>2</v>
      </c>
      <c r="E440" s="8">
        <v>2</v>
      </c>
      <c r="F440" s="8">
        <v>13</v>
      </c>
      <c r="G440" s="5">
        <v>6.5</v>
      </c>
      <c r="H440" s="5">
        <v>0</v>
      </c>
      <c r="I440" s="6">
        <f t="shared" si="7"/>
        <v>0</v>
      </c>
      <c r="J440" s="6">
        <f>D440/(VLOOKUP(B440,'[1]2022 Team'!$B$2:$G$33,2,FALSE))</f>
        <v>3.90625E-3</v>
      </c>
      <c r="K440" s="9">
        <v>100</v>
      </c>
      <c r="L440" s="5">
        <v>1</v>
      </c>
    </row>
    <row r="441" spans="1:12" x14ac:dyDescent="0.25">
      <c r="A441" s="5" t="s">
        <v>90</v>
      </c>
      <c r="B441" s="5" t="s">
        <v>42</v>
      </c>
      <c r="C441" s="7" t="s">
        <v>82</v>
      </c>
      <c r="D441" s="8">
        <v>2</v>
      </c>
      <c r="E441" s="8">
        <v>2</v>
      </c>
      <c r="F441" s="8">
        <v>-10</v>
      </c>
      <c r="G441" s="5">
        <v>-5</v>
      </c>
      <c r="H441" s="5">
        <v>0</v>
      </c>
      <c r="I441" s="6">
        <f t="shared" si="7"/>
        <v>0</v>
      </c>
      <c r="J441" s="6">
        <f>D441/(VLOOKUP(B441,'[1]2022 Team'!$B$2:$G$33,2,FALSE))</f>
        <v>2.8129395218002813E-3</v>
      </c>
      <c r="K441" s="9">
        <v>100</v>
      </c>
      <c r="L441" s="5">
        <v>8</v>
      </c>
    </row>
    <row r="442" spans="1:12" x14ac:dyDescent="0.25">
      <c r="A442" s="5" t="s">
        <v>2497</v>
      </c>
      <c r="B442" s="5" t="s">
        <v>24</v>
      </c>
      <c r="C442" s="7" t="s">
        <v>163</v>
      </c>
      <c r="D442" s="8">
        <v>6</v>
      </c>
      <c r="E442" s="8">
        <v>2</v>
      </c>
      <c r="F442" s="8">
        <v>16</v>
      </c>
      <c r="G442" s="5">
        <v>8</v>
      </c>
      <c r="H442" s="5">
        <v>0</v>
      </c>
      <c r="I442" s="6">
        <f t="shared" si="7"/>
        <v>0</v>
      </c>
      <c r="J442" s="6">
        <f>D442/(VLOOKUP(B442,'[1]2022 Team'!$B$2:$G$33,2,FALSE))</f>
        <v>1.0791366906474821E-2</v>
      </c>
      <c r="K442" s="9">
        <v>33.299999999999997</v>
      </c>
      <c r="L442" s="5">
        <v>0</v>
      </c>
    </row>
    <row r="443" spans="1:12" x14ac:dyDescent="0.25">
      <c r="A443" s="5" t="s">
        <v>867</v>
      </c>
      <c r="B443" s="5" t="s">
        <v>50</v>
      </c>
      <c r="C443" s="7" t="s">
        <v>163</v>
      </c>
      <c r="D443" s="8">
        <v>4</v>
      </c>
      <c r="E443" s="8">
        <v>2</v>
      </c>
      <c r="F443" s="8">
        <v>20</v>
      </c>
      <c r="G443" s="5">
        <v>10</v>
      </c>
      <c r="H443" s="5">
        <v>0</v>
      </c>
      <c r="I443" s="6">
        <f t="shared" si="7"/>
        <v>0</v>
      </c>
      <c r="J443" s="6">
        <f>D443/(VLOOKUP(B443,'[1]2022 Team'!$B$2:$G$33,2,FALSE))</f>
        <v>7.4074074074074077E-3</v>
      </c>
      <c r="K443" s="9">
        <v>50</v>
      </c>
      <c r="L443" s="5">
        <v>0</v>
      </c>
    </row>
    <row r="444" spans="1:12" x14ac:dyDescent="0.25">
      <c r="A444" s="5" t="s">
        <v>2408</v>
      </c>
      <c r="B444" s="5" t="s">
        <v>10</v>
      </c>
      <c r="C444" s="7" t="s">
        <v>159</v>
      </c>
      <c r="D444" s="8">
        <v>2</v>
      </c>
      <c r="E444" s="8">
        <v>2</v>
      </c>
      <c r="F444" s="8">
        <v>3</v>
      </c>
      <c r="G444" s="5">
        <v>1.5</v>
      </c>
      <c r="H444" s="5">
        <v>0</v>
      </c>
      <c r="I444" s="6">
        <f t="shared" si="7"/>
        <v>0</v>
      </c>
      <c r="J444" s="6">
        <f>D444/(VLOOKUP(B444,'[1]2022 Team'!$B$2:$G$33,2,FALSE))</f>
        <v>4.8192771084337354E-3</v>
      </c>
      <c r="K444" s="9">
        <v>100</v>
      </c>
      <c r="L444" s="5">
        <v>1</v>
      </c>
    </row>
    <row r="445" spans="1:12" x14ac:dyDescent="0.25">
      <c r="A445" s="5" t="s">
        <v>2454</v>
      </c>
      <c r="B445" s="5" t="s">
        <v>8</v>
      </c>
      <c r="C445" s="7" t="s">
        <v>163</v>
      </c>
      <c r="D445" s="8">
        <v>5</v>
      </c>
      <c r="E445" s="8">
        <v>2</v>
      </c>
      <c r="F445" s="8">
        <v>21</v>
      </c>
      <c r="G445" s="5">
        <v>10.5</v>
      </c>
      <c r="H445" s="5">
        <v>0</v>
      </c>
      <c r="I445" s="6">
        <f t="shared" si="7"/>
        <v>0</v>
      </c>
      <c r="J445" s="6">
        <f>D445/(VLOOKUP(B445,'[1]2022 Team'!$B$2:$G$33,2,FALSE))</f>
        <v>7.5301204819277108E-3</v>
      </c>
      <c r="K445" s="9">
        <v>40</v>
      </c>
      <c r="L445" s="5">
        <v>0</v>
      </c>
    </row>
    <row r="446" spans="1:12" x14ac:dyDescent="0.25">
      <c r="A446" s="5" t="s">
        <v>2454</v>
      </c>
      <c r="B446" s="5" t="s">
        <v>12</v>
      </c>
      <c r="C446" s="7" t="s">
        <v>163</v>
      </c>
      <c r="D446" s="8">
        <v>0</v>
      </c>
      <c r="E446" s="8">
        <v>0</v>
      </c>
      <c r="F446" s="8">
        <v>0</v>
      </c>
      <c r="G446" s="5"/>
      <c r="H446" s="5">
        <v>0</v>
      </c>
      <c r="I446" s="6" t="e">
        <f t="shared" si="7"/>
        <v>#DIV/0!</v>
      </c>
      <c r="J446" s="6">
        <f>D446/(VLOOKUP(B446,'[1]2022 Team'!$B$2:$G$33,2,FALSE))</f>
        <v>0</v>
      </c>
      <c r="K446" s="9"/>
      <c r="L446" s="5">
        <v>0</v>
      </c>
    </row>
    <row r="447" spans="1:12" x14ac:dyDescent="0.25">
      <c r="A447" s="5" t="s">
        <v>2500</v>
      </c>
      <c r="B447" s="5" t="s">
        <v>64</v>
      </c>
      <c r="C447" s="7" t="s">
        <v>163</v>
      </c>
      <c r="D447" s="8">
        <v>4</v>
      </c>
      <c r="E447" s="8">
        <v>2</v>
      </c>
      <c r="F447" s="8">
        <v>21</v>
      </c>
      <c r="G447" s="5">
        <v>10.5</v>
      </c>
      <c r="H447" s="5">
        <v>0</v>
      </c>
      <c r="I447" s="6">
        <f t="shared" si="7"/>
        <v>0</v>
      </c>
      <c r="J447" s="6">
        <f>D447/(VLOOKUP(B447,'[1]2022 Team'!$B$2:$G$33,2,FALSE))</f>
        <v>6.9808027923211171E-3</v>
      </c>
      <c r="K447" s="9">
        <v>50</v>
      </c>
      <c r="L447" s="5">
        <v>0</v>
      </c>
    </row>
    <row r="448" spans="1:12" x14ac:dyDescent="0.25">
      <c r="A448" s="5" t="s">
        <v>1818</v>
      </c>
      <c r="B448" s="5" t="s">
        <v>52</v>
      </c>
      <c r="C448" s="7" t="s">
        <v>163</v>
      </c>
      <c r="D448" s="8">
        <v>4</v>
      </c>
      <c r="E448" s="8">
        <v>2</v>
      </c>
      <c r="F448" s="8">
        <v>18</v>
      </c>
      <c r="G448" s="5">
        <v>9</v>
      </c>
      <c r="H448" s="5">
        <v>0</v>
      </c>
      <c r="I448" s="6">
        <f t="shared" si="7"/>
        <v>0</v>
      </c>
      <c r="J448" s="6">
        <f>D448/(VLOOKUP(B448,'[1]2022 Team'!$B$2:$G$33,2,FALSE))</f>
        <v>7.8125E-3</v>
      </c>
      <c r="K448" s="9">
        <v>50</v>
      </c>
      <c r="L448" s="5">
        <v>0</v>
      </c>
    </row>
    <row r="449" spans="1:12" x14ac:dyDescent="0.25">
      <c r="A449" s="5" t="s">
        <v>1822</v>
      </c>
      <c r="B449" s="5" t="s">
        <v>60</v>
      </c>
      <c r="C449" s="7" t="s">
        <v>159</v>
      </c>
      <c r="D449" s="8">
        <v>2</v>
      </c>
      <c r="E449" s="8">
        <v>2</v>
      </c>
      <c r="F449" s="8">
        <v>11</v>
      </c>
      <c r="G449" s="5">
        <v>5.5</v>
      </c>
      <c r="H449" s="5">
        <v>0</v>
      </c>
      <c r="I449" s="6">
        <f t="shared" si="7"/>
        <v>0</v>
      </c>
      <c r="J449" s="6">
        <f>D449/(VLOOKUP(B449,'[1]2022 Team'!$B$2:$G$33,2,FALSE))</f>
        <v>3.5026269702276708E-3</v>
      </c>
      <c r="K449" s="9">
        <v>100</v>
      </c>
      <c r="L449" s="5">
        <v>0</v>
      </c>
    </row>
    <row r="450" spans="1:12" x14ac:dyDescent="0.25">
      <c r="A450" s="5" t="s">
        <v>1823</v>
      </c>
      <c r="B450" s="5" t="s">
        <v>24</v>
      </c>
      <c r="C450" s="7" t="s">
        <v>153</v>
      </c>
      <c r="D450" s="8">
        <v>3</v>
      </c>
      <c r="E450" s="8">
        <v>2</v>
      </c>
      <c r="F450" s="8">
        <v>11</v>
      </c>
      <c r="G450" s="5">
        <v>5.5</v>
      </c>
      <c r="H450" s="5">
        <v>0</v>
      </c>
      <c r="I450" s="6">
        <f t="shared" si="7"/>
        <v>0</v>
      </c>
      <c r="J450" s="6">
        <f>D450/(VLOOKUP(B450,'[1]2022 Team'!$B$2:$G$33,2,FALSE))</f>
        <v>5.3956834532374104E-3</v>
      </c>
      <c r="K450" s="9">
        <v>66.7</v>
      </c>
      <c r="L450" s="5">
        <v>0</v>
      </c>
    </row>
    <row r="451" spans="1:12" x14ac:dyDescent="0.25">
      <c r="A451" s="5" t="s">
        <v>2456</v>
      </c>
      <c r="B451" s="5" t="s">
        <v>68</v>
      </c>
      <c r="C451" s="7" t="s">
        <v>163</v>
      </c>
      <c r="D451" s="8">
        <v>8</v>
      </c>
      <c r="E451" s="8">
        <v>2</v>
      </c>
      <c r="F451" s="8">
        <v>40</v>
      </c>
      <c r="G451" s="5">
        <v>20</v>
      </c>
      <c r="H451" s="5">
        <v>0</v>
      </c>
      <c r="I451" s="6">
        <f t="shared" si="7"/>
        <v>0</v>
      </c>
      <c r="J451" s="6">
        <f>D451/(VLOOKUP(B451,'[1]2022 Team'!$B$2:$G$33,2,FALSE))</f>
        <v>1.7543859649122806E-2</v>
      </c>
      <c r="K451" s="9">
        <v>25</v>
      </c>
      <c r="L451" s="5">
        <v>0</v>
      </c>
    </row>
    <row r="452" spans="1:12" x14ac:dyDescent="0.25">
      <c r="A452" s="5" t="s">
        <v>561</v>
      </c>
      <c r="B452" s="5" t="s">
        <v>48</v>
      </c>
      <c r="C452" s="7" t="s">
        <v>159</v>
      </c>
      <c r="D452" s="8">
        <v>2</v>
      </c>
      <c r="E452" s="8">
        <v>2</v>
      </c>
      <c r="F452" s="8">
        <v>21</v>
      </c>
      <c r="G452" s="5">
        <v>10.5</v>
      </c>
      <c r="H452" s="5">
        <v>0</v>
      </c>
      <c r="I452" s="6">
        <f t="shared" si="7"/>
        <v>0</v>
      </c>
      <c r="J452" s="6">
        <f>D452/(VLOOKUP(B452,'[1]2022 Team'!$B$2:$G$33,2,FALSE))</f>
        <v>2.976190476190476E-3</v>
      </c>
      <c r="K452" s="9">
        <v>100</v>
      </c>
      <c r="L452" s="5">
        <v>0</v>
      </c>
    </row>
    <row r="453" spans="1:12" x14ac:dyDescent="0.25">
      <c r="A453" s="5" t="s">
        <v>2513</v>
      </c>
      <c r="B453" s="5" t="s">
        <v>34</v>
      </c>
      <c r="C453" s="7" t="s">
        <v>163</v>
      </c>
      <c r="D453" s="8">
        <v>6</v>
      </c>
      <c r="E453" s="8">
        <v>2</v>
      </c>
      <c r="F453" s="8">
        <v>24</v>
      </c>
      <c r="G453" s="5">
        <v>12</v>
      </c>
      <c r="H453" s="5">
        <v>0</v>
      </c>
      <c r="I453" s="6">
        <f t="shared" si="7"/>
        <v>0</v>
      </c>
      <c r="J453" s="6">
        <f>D453/(VLOOKUP(B453,'[1]2022 Team'!$B$2:$G$33,2,FALSE))</f>
        <v>9.9337748344370865E-3</v>
      </c>
      <c r="K453" s="9">
        <v>33.299999999999997</v>
      </c>
      <c r="L453" s="5">
        <v>0</v>
      </c>
    </row>
    <row r="454" spans="1:12" x14ac:dyDescent="0.25">
      <c r="A454" s="5" t="s">
        <v>2423</v>
      </c>
      <c r="B454" s="5" t="s">
        <v>42</v>
      </c>
      <c r="C454" s="7" t="s">
        <v>159</v>
      </c>
      <c r="D454" s="8">
        <v>2</v>
      </c>
      <c r="E454" s="8">
        <v>2</v>
      </c>
      <c r="F454" s="8">
        <v>14</v>
      </c>
      <c r="G454" s="5">
        <v>7</v>
      </c>
      <c r="H454" s="5">
        <v>0</v>
      </c>
      <c r="I454" s="6">
        <f t="shared" si="7"/>
        <v>0</v>
      </c>
      <c r="J454" s="6">
        <f>D454/(VLOOKUP(B454,'[1]2022 Team'!$B$2:$G$33,2,FALSE))</f>
        <v>2.8129395218002813E-3</v>
      </c>
      <c r="K454" s="9">
        <v>100</v>
      </c>
      <c r="L454" s="5">
        <v>0</v>
      </c>
    </row>
    <row r="455" spans="1:12" x14ac:dyDescent="0.25">
      <c r="A455" s="5" t="s">
        <v>786</v>
      </c>
      <c r="B455" s="5" t="s">
        <v>20</v>
      </c>
      <c r="C455" s="7" t="s">
        <v>153</v>
      </c>
      <c r="D455" s="8">
        <v>2</v>
      </c>
      <c r="E455" s="8">
        <v>2</v>
      </c>
      <c r="F455" s="8">
        <v>-2</v>
      </c>
      <c r="G455" s="5">
        <v>-1</v>
      </c>
      <c r="H455" s="5">
        <v>0</v>
      </c>
      <c r="I455" s="6">
        <f t="shared" si="7"/>
        <v>0</v>
      </c>
      <c r="J455" s="6">
        <f>D455/(VLOOKUP(B455,'[1]2022 Team'!$B$2:$G$33,2,FALSE))</f>
        <v>3.2786885245901639E-3</v>
      </c>
      <c r="K455" s="9">
        <v>100</v>
      </c>
      <c r="L455" s="5">
        <v>0</v>
      </c>
    </row>
    <row r="456" spans="1:12" x14ac:dyDescent="0.25">
      <c r="A456" s="5" t="s">
        <v>2516</v>
      </c>
      <c r="B456" s="5" t="s">
        <v>46</v>
      </c>
      <c r="C456" s="7" t="s">
        <v>163</v>
      </c>
      <c r="D456" s="8">
        <v>3</v>
      </c>
      <c r="E456" s="8">
        <v>2</v>
      </c>
      <c r="F456" s="8">
        <v>17</v>
      </c>
      <c r="G456" s="5">
        <v>8.5</v>
      </c>
      <c r="H456" s="5">
        <v>0</v>
      </c>
      <c r="I456" s="6">
        <f t="shared" si="7"/>
        <v>0</v>
      </c>
      <c r="J456" s="6">
        <f>D456/(VLOOKUP(B456,'[1]2022 Team'!$B$2:$G$33,2,FALSE))</f>
        <v>5.1369863013698627E-3</v>
      </c>
      <c r="K456" s="9">
        <v>66.7</v>
      </c>
      <c r="L456" s="5">
        <v>1</v>
      </c>
    </row>
    <row r="457" spans="1:12" x14ac:dyDescent="0.25">
      <c r="A457" s="5" t="s">
        <v>2517</v>
      </c>
      <c r="B457" s="5" t="s">
        <v>32</v>
      </c>
      <c r="C457" s="7" t="s">
        <v>153</v>
      </c>
      <c r="D457" s="8">
        <v>2</v>
      </c>
      <c r="E457" s="8">
        <v>2</v>
      </c>
      <c r="F457" s="8">
        <v>6</v>
      </c>
      <c r="G457" s="5">
        <v>3</v>
      </c>
      <c r="H457" s="5">
        <v>0</v>
      </c>
      <c r="I457" s="6">
        <f t="shared" si="7"/>
        <v>0</v>
      </c>
      <c r="J457" s="6">
        <f>D457/(VLOOKUP(B457,'[1]2022 Team'!$B$2:$G$33,2,FALSE))</f>
        <v>3.4542314335060447E-3</v>
      </c>
      <c r="K457" s="9">
        <v>100</v>
      </c>
      <c r="L457" s="5">
        <v>0</v>
      </c>
    </row>
    <row r="458" spans="1:12" x14ac:dyDescent="0.25">
      <c r="A458" s="5" t="s">
        <v>2417</v>
      </c>
      <c r="B458" s="5" t="s">
        <v>60</v>
      </c>
      <c r="C458" s="7" t="s">
        <v>159</v>
      </c>
      <c r="D458" s="8">
        <v>2</v>
      </c>
      <c r="E458" s="8">
        <v>2</v>
      </c>
      <c r="F458" s="8">
        <v>17</v>
      </c>
      <c r="G458" s="5">
        <v>8.5</v>
      </c>
      <c r="H458" s="5">
        <v>0</v>
      </c>
      <c r="I458" s="6">
        <f t="shared" si="7"/>
        <v>0</v>
      </c>
      <c r="J458" s="6">
        <f>D458/(VLOOKUP(B458,'[1]2022 Team'!$B$2:$G$33,2,FALSE))</f>
        <v>3.5026269702276708E-3</v>
      </c>
      <c r="K458" s="9">
        <v>100</v>
      </c>
      <c r="L458" s="5">
        <v>0</v>
      </c>
    </row>
    <row r="459" spans="1:12" x14ac:dyDescent="0.25">
      <c r="A459" s="5" t="s">
        <v>1850</v>
      </c>
      <c r="B459" s="5" t="s">
        <v>16</v>
      </c>
      <c r="C459" s="7" t="s">
        <v>153</v>
      </c>
      <c r="D459" s="8">
        <v>6</v>
      </c>
      <c r="E459" s="8">
        <v>2</v>
      </c>
      <c r="F459" s="8">
        <v>46</v>
      </c>
      <c r="G459" s="5">
        <v>23</v>
      </c>
      <c r="H459" s="5">
        <v>0</v>
      </c>
      <c r="I459" s="6">
        <f t="shared" si="7"/>
        <v>0</v>
      </c>
      <c r="J459" s="6">
        <f>D459/(VLOOKUP(B459,'[1]2022 Team'!$B$2:$G$33,2,FALSE))</f>
        <v>1.3129102844638949E-2</v>
      </c>
      <c r="K459" s="9">
        <v>33.299999999999997</v>
      </c>
      <c r="L459" s="5">
        <v>0</v>
      </c>
    </row>
    <row r="460" spans="1:12" x14ac:dyDescent="0.25">
      <c r="A460" s="5" t="s">
        <v>2524</v>
      </c>
      <c r="B460" s="5" t="s">
        <v>20</v>
      </c>
      <c r="C460" s="7" t="s">
        <v>163</v>
      </c>
      <c r="D460" s="8">
        <v>10</v>
      </c>
      <c r="E460" s="8">
        <v>2</v>
      </c>
      <c r="F460" s="8">
        <v>38</v>
      </c>
      <c r="G460" s="5">
        <v>19</v>
      </c>
      <c r="H460" s="5">
        <v>0</v>
      </c>
      <c r="I460" s="6">
        <f t="shared" si="7"/>
        <v>0</v>
      </c>
      <c r="J460" s="6">
        <f>D460/(VLOOKUP(B460,'[1]2022 Team'!$B$2:$G$33,2,FALSE))</f>
        <v>1.6393442622950821E-2</v>
      </c>
      <c r="K460" s="9">
        <v>20</v>
      </c>
      <c r="L460" s="5">
        <v>0</v>
      </c>
    </row>
    <row r="461" spans="1:12" x14ac:dyDescent="0.25">
      <c r="A461" s="5" t="s">
        <v>862</v>
      </c>
      <c r="B461" s="5" t="s">
        <v>24</v>
      </c>
      <c r="C461" s="7" t="s">
        <v>163</v>
      </c>
      <c r="D461" s="8">
        <v>3</v>
      </c>
      <c r="E461" s="8">
        <v>2</v>
      </c>
      <c r="F461" s="8">
        <v>12</v>
      </c>
      <c r="G461" s="5">
        <v>6</v>
      </c>
      <c r="H461" s="5">
        <v>0</v>
      </c>
      <c r="I461" s="6">
        <f t="shared" si="7"/>
        <v>0</v>
      </c>
      <c r="J461" s="6">
        <f>D461/(VLOOKUP(B461,'[1]2022 Team'!$B$2:$G$33,2,FALSE))</f>
        <v>5.3956834532374104E-3</v>
      </c>
      <c r="K461" s="9">
        <v>66.7</v>
      </c>
      <c r="L461" s="5">
        <v>0</v>
      </c>
    </row>
    <row r="462" spans="1:12" x14ac:dyDescent="0.25">
      <c r="A462" s="5" t="s">
        <v>906</v>
      </c>
      <c r="B462" s="5" t="s">
        <v>44</v>
      </c>
      <c r="C462" s="7" t="s">
        <v>163</v>
      </c>
      <c r="D462" s="8">
        <v>4</v>
      </c>
      <c r="E462" s="8">
        <v>2</v>
      </c>
      <c r="F462" s="8">
        <v>13</v>
      </c>
      <c r="G462" s="5">
        <v>6.5</v>
      </c>
      <c r="H462" s="5">
        <v>0</v>
      </c>
      <c r="I462" s="6">
        <f t="shared" si="7"/>
        <v>0</v>
      </c>
      <c r="J462" s="6">
        <f>D462/(VLOOKUP(B462,'[1]2022 Team'!$B$2:$G$33,2,FALSE))</f>
        <v>7.5329566854990581E-3</v>
      </c>
      <c r="K462" s="9">
        <v>50</v>
      </c>
      <c r="L462" s="5">
        <v>0</v>
      </c>
    </row>
    <row r="463" spans="1:12" x14ac:dyDescent="0.25">
      <c r="A463" s="5" t="s">
        <v>1856</v>
      </c>
      <c r="B463" s="5" t="s">
        <v>70</v>
      </c>
      <c r="C463" s="7" t="s">
        <v>153</v>
      </c>
      <c r="D463" s="8">
        <v>9</v>
      </c>
      <c r="E463" s="8">
        <v>2</v>
      </c>
      <c r="F463" s="8">
        <v>23</v>
      </c>
      <c r="G463" s="5">
        <v>11.5</v>
      </c>
      <c r="H463" s="5">
        <v>0</v>
      </c>
      <c r="I463" s="6">
        <f t="shared" si="7"/>
        <v>0</v>
      </c>
      <c r="J463" s="6">
        <f>D463/(VLOOKUP(B463,'[1]2022 Team'!$B$2:$G$33,2,FALSE))</f>
        <v>1.6245487364620937E-2</v>
      </c>
      <c r="K463" s="9">
        <v>22.2</v>
      </c>
      <c r="L463" s="5">
        <v>0</v>
      </c>
    </row>
    <row r="464" spans="1:12" x14ac:dyDescent="0.25">
      <c r="A464" s="5" t="s">
        <v>2526</v>
      </c>
      <c r="B464" s="5" t="s">
        <v>26</v>
      </c>
      <c r="C464" s="7" t="s">
        <v>163</v>
      </c>
      <c r="D464" s="8">
        <v>5</v>
      </c>
      <c r="E464" s="8">
        <v>2</v>
      </c>
      <c r="F464" s="8">
        <v>75</v>
      </c>
      <c r="G464" s="5">
        <v>37.5</v>
      </c>
      <c r="H464" s="5">
        <v>1</v>
      </c>
      <c r="I464" s="6">
        <f t="shared" si="7"/>
        <v>0.5</v>
      </c>
      <c r="J464" s="6">
        <f>D464/(VLOOKUP(B464,'[1]2022 Team'!$B$2:$G$33,2,FALSE))</f>
        <v>8.7565674255691769E-3</v>
      </c>
      <c r="K464" s="9">
        <v>40</v>
      </c>
      <c r="L464" s="5">
        <v>1</v>
      </c>
    </row>
    <row r="465" spans="1:12" x14ac:dyDescent="0.25">
      <c r="A465" s="5" t="s">
        <v>1735</v>
      </c>
      <c r="B465" s="5" t="s">
        <v>68</v>
      </c>
      <c r="C465" s="7" t="s">
        <v>159</v>
      </c>
      <c r="D465" s="8">
        <v>3</v>
      </c>
      <c r="E465" s="8">
        <v>2</v>
      </c>
      <c r="F465" s="8">
        <v>7</v>
      </c>
      <c r="G465" s="5">
        <v>3.5</v>
      </c>
      <c r="H465" s="5">
        <v>0</v>
      </c>
      <c r="I465" s="6">
        <f t="shared" si="7"/>
        <v>0</v>
      </c>
      <c r="J465" s="6">
        <f>D465/(VLOOKUP(B465,'[1]2022 Team'!$B$2:$G$33,2,FALSE))</f>
        <v>6.5789473684210523E-3</v>
      </c>
      <c r="K465" s="9">
        <v>66.7</v>
      </c>
      <c r="L465" s="5">
        <v>0</v>
      </c>
    </row>
    <row r="466" spans="1:12" x14ac:dyDescent="0.25">
      <c r="A466" s="5" t="s">
        <v>2529</v>
      </c>
      <c r="B466" s="5" t="s">
        <v>18</v>
      </c>
      <c r="C466" s="7" t="s">
        <v>163</v>
      </c>
      <c r="D466" s="8">
        <v>3</v>
      </c>
      <c r="E466" s="8">
        <v>2</v>
      </c>
      <c r="F466" s="8">
        <v>14</v>
      </c>
      <c r="G466" s="5">
        <v>7</v>
      </c>
      <c r="H466" s="5">
        <v>0</v>
      </c>
      <c r="I466" s="6">
        <f t="shared" si="7"/>
        <v>0</v>
      </c>
      <c r="J466" s="6">
        <f>D466/(VLOOKUP(B466,'[1]2022 Team'!$B$2:$G$33,2,FALSE))</f>
        <v>7.9575596816976128E-3</v>
      </c>
      <c r="K466" s="9">
        <v>66.7</v>
      </c>
      <c r="L466" s="5">
        <v>1</v>
      </c>
    </row>
    <row r="467" spans="1:12" x14ac:dyDescent="0.25">
      <c r="A467" s="5" t="s">
        <v>1862</v>
      </c>
      <c r="B467" s="5" t="s">
        <v>18</v>
      </c>
      <c r="C467" s="7" t="s">
        <v>153</v>
      </c>
      <c r="D467" s="8">
        <v>4</v>
      </c>
      <c r="E467" s="8">
        <v>2</v>
      </c>
      <c r="F467" s="8">
        <v>26</v>
      </c>
      <c r="G467" s="5">
        <v>13</v>
      </c>
      <c r="H467" s="5">
        <v>0</v>
      </c>
      <c r="I467" s="6">
        <f t="shared" si="7"/>
        <v>0</v>
      </c>
      <c r="J467" s="6">
        <f>D467/(VLOOKUP(B467,'[1]2022 Team'!$B$2:$G$33,2,FALSE))</f>
        <v>1.0610079575596816E-2</v>
      </c>
      <c r="K467" s="9">
        <v>50</v>
      </c>
      <c r="L467" s="5">
        <v>0</v>
      </c>
    </row>
    <row r="468" spans="1:12" x14ac:dyDescent="0.25">
      <c r="A468" s="5" t="s">
        <v>2530</v>
      </c>
      <c r="B468" s="5" t="s">
        <v>52</v>
      </c>
      <c r="C468" s="7" t="s">
        <v>163</v>
      </c>
      <c r="D468" s="8">
        <v>5</v>
      </c>
      <c r="E468" s="8">
        <v>2</v>
      </c>
      <c r="F468" s="8">
        <v>74</v>
      </c>
      <c r="G468" s="5">
        <v>37</v>
      </c>
      <c r="H468" s="5">
        <v>0</v>
      </c>
      <c r="I468" s="6">
        <f t="shared" si="7"/>
        <v>0</v>
      </c>
      <c r="J468" s="6">
        <f>D468/(VLOOKUP(B468,'[1]2022 Team'!$B$2:$G$33,2,FALSE))</f>
        <v>9.765625E-3</v>
      </c>
      <c r="K468" s="9">
        <v>40</v>
      </c>
      <c r="L468" s="5">
        <v>0</v>
      </c>
    </row>
    <row r="469" spans="1:12" x14ac:dyDescent="0.25">
      <c r="A469" s="5" t="s">
        <v>629</v>
      </c>
      <c r="B469" s="5" t="s">
        <v>20</v>
      </c>
      <c r="C469" s="7" t="s">
        <v>159</v>
      </c>
      <c r="D469" s="8">
        <v>3</v>
      </c>
      <c r="E469" s="8">
        <v>2</v>
      </c>
      <c r="F469" s="8">
        <v>30</v>
      </c>
      <c r="G469" s="5">
        <v>15</v>
      </c>
      <c r="H469" s="5">
        <v>0</v>
      </c>
      <c r="I469" s="6">
        <f t="shared" si="7"/>
        <v>0</v>
      </c>
      <c r="J469" s="6">
        <f>D469/(VLOOKUP(B469,'[1]2022 Team'!$B$2:$G$33,2,FALSE))</f>
        <v>4.9180327868852463E-3</v>
      </c>
      <c r="K469" s="9">
        <v>66.7</v>
      </c>
      <c r="L469" s="5">
        <v>0</v>
      </c>
    </row>
    <row r="470" spans="1:12" x14ac:dyDescent="0.25">
      <c r="A470" s="5" t="s">
        <v>1013</v>
      </c>
      <c r="B470" s="5" t="s">
        <v>64</v>
      </c>
      <c r="C470" s="7" t="s">
        <v>163</v>
      </c>
      <c r="D470" s="8">
        <v>2</v>
      </c>
      <c r="E470" s="8">
        <v>2</v>
      </c>
      <c r="F470" s="8">
        <v>24</v>
      </c>
      <c r="G470" s="5">
        <v>12</v>
      </c>
      <c r="H470" s="5">
        <v>0</v>
      </c>
      <c r="I470" s="6">
        <f t="shared" si="7"/>
        <v>0</v>
      </c>
      <c r="J470" s="6">
        <f>D470/(VLOOKUP(B470,'[1]2022 Team'!$B$2:$G$33,2,FALSE))</f>
        <v>3.4904013961605585E-3</v>
      </c>
      <c r="K470" s="9">
        <v>100</v>
      </c>
      <c r="L470" s="5">
        <v>0</v>
      </c>
    </row>
    <row r="471" spans="1:12" x14ac:dyDescent="0.25">
      <c r="A471" s="5" t="s">
        <v>1695</v>
      </c>
      <c r="B471" s="5" t="s">
        <v>46</v>
      </c>
      <c r="C471" s="7" t="s">
        <v>159</v>
      </c>
      <c r="D471" s="8">
        <v>1</v>
      </c>
      <c r="E471" s="8">
        <v>1</v>
      </c>
      <c r="F471" s="8">
        <v>8</v>
      </c>
      <c r="G471" s="5">
        <v>8</v>
      </c>
      <c r="H471" s="5">
        <v>0</v>
      </c>
      <c r="I471" s="6">
        <f t="shared" si="7"/>
        <v>0</v>
      </c>
      <c r="J471" s="6">
        <f>D471/(VLOOKUP(B471,'[1]2022 Team'!$B$2:$G$33,2,FALSE))</f>
        <v>1.7123287671232876E-3</v>
      </c>
      <c r="K471" s="9">
        <v>100</v>
      </c>
      <c r="L471" s="5">
        <v>0</v>
      </c>
    </row>
    <row r="472" spans="1:12" x14ac:dyDescent="0.25">
      <c r="A472" s="5" t="s">
        <v>2458</v>
      </c>
      <c r="B472" s="5" t="s">
        <v>28</v>
      </c>
      <c r="C472" s="7" t="s">
        <v>163</v>
      </c>
      <c r="D472" s="8">
        <v>1</v>
      </c>
      <c r="E472" s="8">
        <v>1</v>
      </c>
      <c r="F472" s="8">
        <v>7</v>
      </c>
      <c r="G472" s="5">
        <v>7</v>
      </c>
      <c r="H472" s="5">
        <v>0</v>
      </c>
      <c r="I472" s="6">
        <f t="shared" si="7"/>
        <v>0</v>
      </c>
      <c r="J472" s="6">
        <f>D472/(VLOOKUP(B472,'[1]2022 Team'!$B$2:$G$33,2,FALSE))</f>
        <v>1.7006802721088435E-3</v>
      </c>
      <c r="K472" s="9">
        <v>100</v>
      </c>
      <c r="L472" s="5">
        <v>0</v>
      </c>
    </row>
    <row r="473" spans="1:12" x14ac:dyDescent="0.25">
      <c r="A473" s="5" t="s">
        <v>627</v>
      </c>
      <c r="B473" s="5" t="s">
        <v>26</v>
      </c>
      <c r="C473" s="7" t="s">
        <v>159</v>
      </c>
      <c r="D473" s="8">
        <v>1</v>
      </c>
      <c r="E473" s="8">
        <v>1</v>
      </c>
      <c r="F473" s="8">
        <v>24</v>
      </c>
      <c r="G473" s="5">
        <v>24</v>
      </c>
      <c r="H473" s="5">
        <v>1</v>
      </c>
      <c r="I473" s="6">
        <f t="shared" si="7"/>
        <v>1</v>
      </c>
      <c r="J473" s="6">
        <f>D473/(VLOOKUP(B473,'[1]2022 Team'!$B$2:$G$33,2,FALSE))</f>
        <v>1.7513134851138354E-3</v>
      </c>
      <c r="K473" s="9">
        <v>100</v>
      </c>
      <c r="L473" s="5">
        <v>0</v>
      </c>
    </row>
    <row r="474" spans="1:12" x14ac:dyDescent="0.25">
      <c r="A474" s="5" t="s">
        <v>2466</v>
      </c>
      <c r="B474" s="5" t="s">
        <v>68</v>
      </c>
      <c r="C474" s="7" t="s">
        <v>163</v>
      </c>
      <c r="D474" s="8">
        <v>1</v>
      </c>
      <c r="E474" s="8">
        <v>1</v>
      </c>
      <c r="F474" s="8">
        <v>6</v>
      </c>
      <c r="G474" s="5">
        <v>6</v>
      </c>
      <c r="H474" s="5">
        <v>0</v>
      </c>
      <c r="I474" s="6">
        <f t="shared" si="7"/>
        <v>0</v>
      </c>
      <c r="J474" s="6">
        <f>D474/(VLOOKUP(B474,'[1]2022 Team'!$B$2:$G$33,2,FALSE))</f>
        <v>2.1929824561403508E-3</v>
      </c>
      <c r="K474" s="9">
        <v>100</v>
      </c>
      <c r="L474" s="5">
        <v>1</v>
      </c>
    </row>
    <row r="475" spans="1:12" x14ac:dyDescent="0.25">
      <c r="A475" s="5" t="s">
        <v>2468</v>
      </c>
      <c r="B475" s="5" t="s">
        <v>14</v>
      </c>
      <c r="C475" s="7" t="s">
        <v>163</v>
      </c>
      <c r="D475" s="8">
        <v>2</v>
      </c>
      <c r="E475" s="8">
        <v>1</v>
      </c>
      <c r="F475" s="8">
        <v>42</v>
      </c>
      <c r="G475" s="5">
        <v>42</v>
      </c>
      <c r="H475" s="5">
        <v>1</v>
      </c>
      <c r="I475" s="6">
        <f t="shared" si="7"/>
        <v>1</v>
      </c>
      <c r="J475" s="6">
        <f>D475/(VLOOKUP(B475,'[1]2022 Team'!$B$2:$G$33,2,FALSE))</f>
        <v>3.4843205574912892E-3</v>
      </c>
      <c r="K475" s="9">
        <v>50</v>
      </c>
      <c r="L475" s="5">
        <v>0</v>
      </c>
    </row>
    <row r="476" spans="1:12" x14ac:dyDescent="0.25">
      <c r="A476" s="5" t="s">
        <v>1743</v>
      </c>
      <c r="B476" s="5" t="s">
        <v>28</v>
      </c>
      <c r="C476" s="7" t="s">
        <v>186</v>
      </c>
      <c r="D476" s="8">
        <v>4</v>
      </c>
      <c r="E476" s="8">
        <v>1</v>
      </c>
      <c r="F476" s="8">
        <v>5</v>
      </c>
      <c r="G476" s="5">
        <v>5</v>
      </c>
      <c r="H476" s="5">
        <v>0</v>
      </c>
      <c r="I476" s="6">
        <f t="shared" si="7"/>
        <v>0</v>
      </c>
      <c r="J476" s="6">
        <f>D476/(VLOOKUP(B476,'[1]2022 Team'!$B$2:$G$33,2,FALSE))</f>
        <v>6.8027210884353739E-3</v>
      </c>
      <c r="K476" s="9">
        <v>25</v>
      </c>
      <c r="L476" s="5">
        <v>0</v>
      </c>
    </row>
    <row r="477" spans="1:12" x14ac:dyDescent="0.25">
      <c r="A477" s="5" t="s">
        <v>2470</v>
      </c>
      <c r="B477" s="5" t="s">
        <v>32</v>
      </c>
      <c r="C477" s="7" t="s">
        <v>163</v>
      </c>
      <c r="D477" s="8">
        <v>1</v>
      </c>
      <c r="E477" s="8">
        <v>1</v>
      </c>
      <c r="F477" s="8">
        <v>7</v>
      </c>
      <c r="G477" s="5">
        <v>7</v>
      </c>
      <c r="H477" s="5">
        <v>0</v>
      </c>
      <c r="I477" s="6">
        <f t="shared" si="7"/>
        <v>0</v>
      </c>
      <c r="J477" s="6">
        <f>D477/(VLOOKUP(B477,'[1]2022 Team'!$B$2:$G$33,2,FALSE))</f>
        <v>1.7271157167530224E-3</v>
      </c>
      <c r="K477" s="9">
        <v>100</v>
      </c>
      <c r="L477" s="5">
        <v>0</v>
      </c>
    </row>
    <row r="478" spans="1:12" x14ac:dyDescent="0.25">
      <c r="A478" s="5" t="s">
        <v>2474</v>
      </c>
      <c r="B478" s="5" t="s">
        <v>34</v>
      </c>
      <c r="C478" s="7" t="s">
        <v>163</v>
      </c>
      <c r="D478" s="8">
        <v>1</v>
      </c>
      <c r="E478" s="8">
        <v>1</v>
      </c>
      <c r="F478" s="8">
        <v>20</v>
      </c>
      <c r="G478" s="5">
        <v>20</v>
      </c>
      <c r="H478" s="5">
        <v>0</v>
      </c>
      <c r="I478" s="6">
        <f t="shared" si="7"/>
        <v>0</v>
      </c>
      <c r="J478" s="6">
        <f>D478/(VLOOKUP(B478,'[1]2022 Team'!$B$2:$G$33,2,FALSE))</f>
        <v>1.6556291390728477E-3</v>
      </c>
      <c r="K478" s="9">
        <v>100</v>
      </c>
      <c r="L478" s="5">
        <v>4</v>
      </c>
    </row>
    <row r="479" spans="1:12" x14ac:dyDescent="0.25">
      <c r="A479" s="5" t="s">
        <v>2475</v>
      </c>
      <c r="B479" s="5" t="s">
        <v>10</v>
      </c>
      <c r="C479" s="7" t="s">
        <v>163</v>
      </c>
      <c r="D479" s="8">
        <v>1</v>
      </c>
      <c r="E479" s="8">
        <v>1</v>
      </c>
      <c r="F479" s="8">
        <v>15</v>
      </c>
      <c r="G479" s="5">
        <v>15</v>
      </c>
      <c r="H479" s="5">
        <v>0</v>
      </c>
      <c r="I479" s="6">
        <f t="shared" si="7"/>
        <v>0</v>
      </c>
      <c r="J479" s="6">
        <f>D479/(VLOOKUP(B479,'[1]2022 Team'!$B$2:$G$33,2,FALSE))</f>
        <v>2.4096385542168677E-3</v>
      </c>
      <c r="K479" s="9">
        <v>100</v>
      </c>
      <c r="L479" s="5">
        <v>0</v>
      </c>
    </row>
    <row r="480" spans="1:12" x14ac:dyDescent="0.25">
      <c r="A480" s="5" t="s">
        <v>1570</v>
      </c>
      <c r="B480" s="5" t="s">
        <v>32</v>
      </c>
      <c r="C480" s="7" t="s">
        <v>82</v>
      </c>
      <c r="D480" s="8">
        <v>1</v>
      </c>
      <c r="E480" s="8">
        <v>1</v>
      </c>
      <c r="F480" s="8">
        <v>4</v>
      </c>
      <c r="G480" s="5">
        <v>4</v>
      </c>
      <c r="H480" s="5">
        <v>0</v>
      </c>
      <c r="I480" s="6">
        <f t="shared" si="7"/>
        <v>0</v>
      </c>
      <c r="J480" s="6">
        <f>D480/(VLOOKUP(B480,'[1]2022 Team'!$B$2:$G$33,2,FALSE))</f>
        <v>1.7271157167530224E-3</v>
      </c>
      <c r="K480" s="9">
        <v>100</v>
      </c>
      <c r="L480" s="5">
        <v>0</v>
      </c>
    </row>
    <row r="481" spans="1:12" x14ac:dyDescent="0.25">
      <c r="A481" s="5" t="s">
        <v>1684</v>
      </c>
      <c r="B481" s="5" t="s">
        <v>18</v>
      </c>
      <c r="C481" s="7" t="s">
        <v>159</v>
      </c>
      <c r="D481" s="8">
        <v>1</v>
      </c>
      <c r="E481" s="8">
        <v>1</v>
      </c>
      <c r="F481" s="8">
        <v>33</v>
      </c>
      <c r="G481" s="5">
        <v>33</v>
      </c>
      <c r="H481" s="5">
        <v>0</v>
      </c>
      <c r="I481" s="6">
        <f t="shared" si="7"/>
        <v>0</v>
      </c>
      <c r="J481" s="6">
        <f>D481/(VLOOKUP(B481,'[1]2022 Team'!$B$2:$G$33,2,FALSE))</f>
        <v>2.6525198938992041E-3</v>
      </c>
      <c r="K481" s="9">
        <v>100</v>
      </c>
      <c r="L481" s="5">
        <v>0</v>
      </c>
    </row>
    <row r="482" spans="1:12" x14ac:dyDescent="0.25">
      <c r="A482" s="5" t="s">
        <v>1719</v>
      </c>
      <c r="B482" s="5" t="s">
        <v>46</v>
      </c>
      <c r="C482" s="7" t="s">
        <v>163</v>
      </c>
      <c r="D482" s="8">
        <v>1</v>
      </c>
      <c r="E482" s="8">
        <v>1</v>
      </c>
      <c r="F482" s="8">
        <v>3</v>
      </c>
      <c r="G482" s="5">
        <v>3</v>
      </c>
      <c r="H482" s="5">
        <v>0</v>
      </c>
      <c r="I482" s="6">
        <f t="shared" si="7"/>
        <v>0</v>
      </c>
      <c r="J482" s="6">
        <f>D482/(VLOOKUP(B482,'[1]2022 Team'!$B$2:$G$33,2,FALSE))</f>
        <v>1.7123287671232876E-3</v>
      </c>
      <c r="K482" s="9">
        <v>100</v>
      </c>
      <c r="L482" s="5">
        <v>0</v>
      </c>
    </row>
    <row r="483" spans="1:12" x14ac:dyDescent="0.25">
      <c r="A483" s="5" t="s">
        <v>2484</v>
      </c>
      <c r="B483" s="5" t="s">
        <v>44</v>
      </c>
      <c r="C483" s="7" t="s">
        <v>186</v>
      </c>
      <c r="D483" s="8">
        <v>1</v>
      </c>
      <c r="E483" s="8">
        <v>1</v>
      </c>
      <c r="F483" s="8">
        <v>12</v>
      </c>
      <c r="G483" s="5">
        <v>12</v>
      </c>
      <c r="H483" s="5">
        <v>0</v>
      </c>
      <c r="I483" s="6">
        <f t="shared" si="7"/>
        <v>0</v>
      </c>
      <c r="J483" s="6">
        <f>D483/(VLOOKUP(B483,'[1]2022 Team'!$B$2:$G$33,2,FALSE))</f>
        <v>1.8832391713747645E-3</v>
      </c>
      <c r="K483" s="9">
        <v>100</v>
      </c>
      <c r="L483" s="5">
        <v>0</v>
      </c>
    </row>
    <row r="484" spans="1:12" x14ac:dyDescent="0.25">
      <c r="A484" s="5" t="s">
        <v>85</v>
      </c>
      <c r="B484" s="5" t="s">
        <v>28</v>
      </c>
      <c r="C484" s="7" t="s">
        <v>82</v>
      </c>
      <c r="D484" s="8">
        <v>1</v>
      </c>
      <c r="E484" s="8">
        <v>1</v>
      </c>
      <c r="F484" s="8">
        <v>5</v>
      </c>
      <c r="G484" s="5">
        <v>5</v>
      </c>
      <c r="H484" s="5">
        <v>0</v>
      </c>
      <c r="I484" s="6">
        <f t="shared" si="7"/>
        <v>0</v>
      </c>
      <c r="J484" s="6">
        <f>D484/(VLOOKUP(B484,'[1]2022 Team'!$B$2:$G$33,2,FALSE))</f>
        <v>1.7006802721088435E-3</v>
      </c>
      <c r="K484" s="9">
        <v>100</v>
      </c>
      <c r="L484" s="5">
        <v>7</v>
      </c>
    </row>
    <row r="485" spans="1:12" x14ac:dyDescent="0.25">
      <c r="A485" s="5" t="s">
        <v>2450</v>
      </c>
      <c r="B485" s="5" t="s">
        <v>62</v>
      </c>
      <c r="C485" s="7" t="s">
        <v>163</v>
      </c>
      <c r="D485" s="8">
        <v>7</v>
      </c>
      <c r="E485" s="8">
        <v>1</v>
      </c>
      <c r="F485" s="8">
        <v>10</v>
      </c>
      <c r="G485" s="5">
        <v>10</v>
      </c>
      <c r="H485" s="5">
        <v>0</v>
      </c>
      <c r="I485" s="6">
        <f t="shared" si="7"/>
        <v>0</v>
      </c>
      <c r="J485" s="6">
        <f>D485/(VLOOKUP(B485,'[1]2022 Team'!$B$2:$G$33,2,FALSE))</f>
        <v>1.3671875E-2</v>
      </c>
      <c r="K485" s="9">
        <v>14.3</v>
      </c>
      <c r="L485" s="5">
        <v>0</v>
      </c>
    </row>
    <row r="486" spans="1:12" x14ac:dyDescent="0.25">
      <c r="A486" s="5" t="s">
        <v>2489</v>
      </c>
      <c r="B486" s="5" t="s">
        <v>8</v>
      </c>
      <c r="C486" s="7" t="s">
        <v>186</v>
      </c>
      <c r="D486" s="8">
        <v>1</v>
      </c>
      <c r="E486" s="8">
        <v>1</v>
      </c>
      <c r="F486" s="8">
        <v>4</v>
      </c>
      <c r="G486" s="5">
        <v>4</v>
      </c>
      <c r="H486" s="5">
        <v>0</v>
      </c>
      <c r="I486" s="6">
        <f t="shared" si="7"/>
        <v>0</v>
      </c>
      <c r="J486" s="6">
        <f>D486/(VLOOKUP(B486,'[1]2022 Team'!$B$2:$G$33,2,FALSE))</f>
        <v>1.5060240963855422E-3</v>
      </c>
      <c r="K486" s="9">
        <v>100</v>
      </c>
      <c r="L486" s="5">
        <v>0</v>
      </c>
    </row>
    <row r="487" spans="1:12" x14ac:dyDescent="0.25">
      <c r="A487" s="5" t="s">
        <v>2491</v>
      </c>
      <c r="B487" s="5" t="s">
        <v>44</v>
      </c>
      <c r="C487" s="7" t="s">
        <v>163</v>
      </c>
      <c r="D487" s="8">
        <v>1</v>
      </c>
      <c r="E487" s="8">
        <v>1</v>
      </c>
      <c r="F487" s="8">
        <v>6</v>
      </c>
      <c r="G487" s="5">
        <v>6</v>
      </c>
      <c r="H487" s="5">
        <v>0</v>
      </c>
      <c r="I487" s="6">
        <f t="shared" si="7"/>
        <v>0</v>
      </c>
      <c r="J487" s="6">
        <f>D487/(VLOOKUP(B487,'[1]2022 Team'!$B$2:$G$33,2,FALSE))</f>
        <v>1.8832391713747645E-3</v>
      </c>
      <c r="K487" s="9">
        <v>100</v>
      </c>
      <c r="L487" s="5">
        <v>0</v>
      </c>
    </row>
    <row r="488" spans="1:12" x14ac:dyDescent="0.25">
      <c r="A488" s="5" t="s">
        <v>2438</v>
      </c>
      <c r="B488" s="5" t="s">
        <v>64</v>
      </c>
      <c r="C488" s="7" t="s">
        <v>159</v>
      </c>
      <c r="D488" s="8">
        <v>1</v>
      </c>
      <c r="E488" s="8">
        <v>1</v>
      </c>
      <c r="F488" s="8">
        <v>3</v>
      </c>
      <c r="G488" s="5">
        <v>3</v>
      </c>
      <c r="H488" s="5">
        <v>0</v>
      </c>
      <c r="I488" s="6">
        <f t="shared" si="7"/>
        <v>0</v>
      </c>
      <c r="J488" s="6">
        <f>D488/(VLOOKUP(B488,'[1]2022 Team'!$B$2:$G$33,2,FALSE))</f>
        <v>1.7452006980802793E-3</v>
      </c>
      <c r="K488" s="9">
        <v>100</v>
      </c>
      <c r="L488" s="5">
        <v>0</v>
      </c>
    </row>
    <row r="489" spans="1:12" x14ac:dyDescent="0.25">
      <c r="A489" s="5" t="s">
        <v>2502</v>
      </c>
      <c r="B489" s="5" t="s">
        <v>32</v>
      </c>
      <c r="C489" s="7" t="s">
        <v>163</v>
      </c>
      <c r="D489" s="8">
        <v>1</v>
      </c>
      <c r="E489" s="8">
        <v>1</v>
      </c>
      <c r="F489" s="8">
        <v>8</v>
      </c>
      <c r="G489" s="5">
        <v>8</v>
      </c>
      <c r="H489" s="5">
        <v>0</v>
      </c>
      <c r="I489" s="6">
        <f t="shared" si="7"/>
        <v>0</v>
      </c>
      <c r="J489" s="6">
        <f>D489/(VLOOKUP(B489,'[1]2022 Team'!$B$2:$G$33,2,FALSE))</f>
        <v>1.7271157167530224E-3</v>
      </c>
      <c r="K489" s="9">
        <v>100</v>
      </c>
      <c r="L489" s="5">
        <v>0</v>
      </c>
    </row>
    <row r="490" spans="1:12" x14ac:dyDescent="0.25">
      <c r="A490" s="5" t="s">
        <v>2419</v>
      </c>
      <c r="B490" s="5" t="s">
        <v>38</v>
      </c>
      <c r="C490" s="7" t="s">
        <v>159</v>
      </c>
      <c r="D490" s="8">
        <v>1</v>
      </c>
      <c r="E490" s="8">
        <v>1</v>
      </c>
      <c r="F490" s="8">
        <v>22</v>
      </c>
      <c r="G490" s="5">
        <v>22</v>
      </c>
      <c r="H490" s="5">
        <v>0</v>
      </c>
      <c r="I490" s="6">
        <f t="shared" si="7"/>
        <v>0</v>
      </c>
      <c r="J490" s="6">
        <f>D490/(VLOOKUP(B490,'[1]2022 Team'!$B$2:$G$33,2,FALSE))</f>
        <v>1.5360983102918587E-3</v>
      </c>
      <c r="K490" s="9">
        <v>100</v>
      </c>
      <c r="L490" s="5">
        <v>0</v>
      </c>
    </row>
    <row r="491" spans="1:12" x14ac:dyDescent="0.25">
      <c r="A491" s="5" t="s">
        <v>1032</v>
      </c>
      <c r="B491" s="5" t="s">
        <v>68</v>
      </c>
      <c r="C491" s="7" t="s">
        <v>163</v>
      </c>
      <c r="D491" s="8">
        <v>1</v>
      </c>
      <c r="E491" s="8">
        <v>1</v>
      </c>
      <c r="F491" s="8">
        <v>3</v>
      </c>
      <c r="G491" s="5">
        <v>3</v>
      </c>
      <c r="H491" s="5">
        <v>0</v>
      </c>
      <c r="I491" s="6">
        <f t="shared" si="7"/>
        <v>0</v>
      </c>
      <c r="J491" s="6">
        <f>D491/(VLOOKUP(B491,'[1]2022 Team'!$B$2:$G$33,2,FALSE))</f>
        <v>2.1929824561403508E-3</v>
      </c>
      <c r="K491" s="9">
        <v>100</v>
      </c>
      <c r="L491" s="5">
        <v>1</v>
      </c>
    </row>
    <row r="492" spans="1:12" x14ac:dyDescent="0.25">
      <c r="A492" s="5" t="s">
        <v>2505</v>
      </c>
      <c r="B492" s="5" t="s">
        <v>64</v>
      </c>
      <c r="C492" s="7" t="s">
        <v>153</v>
      </c>
      <c r="D492" s="8">
        <v>1</v>
      </c>
      <c r="E492" s="8">
        <v>1</v>
      </c>
      <c r="F492" s="8">
        <v>7</v>
      </c>
      <c r="G492" s="5">
        <v>7</v>
      </c>
      <c r="H492" s="5">
        <v>1</v>
      </c>
      <c r="I492" s="6">
        <f t="shared" ref="I492:I555" si="8">H492/E492</f>
        <v>1</v>
      </c>
      <c r="J492" s="6">
        <f>D492/(VLOOKUP(B492,'[1]2022 Team'!$B$2:$G$33,2,FALSE))</f>
        <v>1.7452006980802793E-3</v>
      </c>
      <c r="K492" s="9">
        <v>100</v>
      </c>
      <c r="L492" s="5">
        <v>0</v>
      </c>
    </row>
    <row r="493" spans="1:12" x14ac:dyDescent="0.25">
      <c r="A493" s="5" t="s">
        <v>91</v>
      </c>
      <c r="B493" s="5" t="s">
        <v>38</v>
      </c>
      <c r="C493" s="7" t="s">
        <v>82</v>
      </c>
      <c r="D493" s="8">
        <v>1</v>
      </c>
      <c r="E493" s="8">
        <v>1</v>
      </c>
      <c r="F493" s="8">
        <v>6</v>
      </c>
      <c r="G493" s="5">
        <v>6</v>
      </c>
      <c r="H493" s="5">
        <v>0</v>
      </c>
      <c r="I493" s="6">
        <f t="shared" si="8"/>
        <v>0</v>
      </c>
      <c r="J493" s="6">
        <f>D493/(VLOOKUP(B493,'[1]2022 Team'!$B$2:$G$33,2,FALSE))</f>
        <v>1.5360983102918587E-3</v>
      </c>
      <c r="K493" s="9">
        <v>100</v>
      </c>
      <c r="L493" s="5">
        <v>5</v>
      </c>
    </row>
    <row r="494" spans="1:12" x14ac:dyDescent="0.25">
      <c r="A494" s="5" t="s">
        <v>2510</v>
      </c>
      <c r="B494" s="5" t="s">
        <v>42</v>
      </c>
      <c r="C494" s="7" t="s">
        <v>163</v>
      </c>
      <c r="D494" s="8">
        <v>2</v>
      </c>
      <c r="E494" s="8">
        <v>1</v>
      </c>
      <c r="F494" s="8">
        <v>5</v>
      </c>
      <c r="G494" s="5">
        <v>5</v>
      </c>
      <c r="H494" s="5">
        <v>0</v>
      </c>
      <c r="I494" s="6">
        <f t="shared" si="8"/>
        <v>0</v>
      </c>
      <c r="J494" s="6">
        <f>D494/(VLOOKUP(B494,'[1]2022 Team'!$B$2:$G$33,2,FALSE))</f>
        <v>2.8129395218002813E-3</v>
      </c>
      <c r="K494" s="9">
        <v>50</v>
      </c>
      <c r="L494" s="5">
        <v>0</v>
      </c>
    </row>
    <row r="495" spans="1:12" x14ac:dyDescent="0.25">
      <c r="A495" s="5" t="s">
        <v>1733</v>
      </c>
      <c r="B495" s="5" t="s">
        <v>26</v>
      </c>
      <c r="C495" s="7" t="s">
        <v>159</v>
      </c>
      <c r="D495" s="8">
        <v>1</v>
      </c>
      <c r="E495" s="8">
        <v>1</v>
      </c>
      <c r="F495" s="8">
        <v>3</v>
      </c>
      <c r="G495" s="5">
        <v>3</v>
      </c>
      <c r="H495" s="5">
        <v>0</v>
      </c>
      <c r="I495" s="6">
        <f t="shared" si="8"/>
        <v>0</v>
      </c>
      <c r="J495" s="6">
        <f>D495/(VLOOKUP(B495,'[1]2022 Team'!$B$2:$G$33,2,FALSE))</f>
        <v>1.7513134851138354E-3</v>
      </c>
      <c r="K495" s="9">
        <v>100</v>
      </c>
      <c r="L495" s="5">
        <v>0</v>
      </c>
    </row>
    <row r="496" spans="1:12" x14ac:dyDescent="0.25">
      <c r="A496" s="5" t="s">
        <v>2514</v>
      </c>
      <c r="B496" s="5" t="s">
        <v>42</v>
      </c>
      <c r="C496" s="7" t="s">
        <v>153</v>
      </c>
      <c r="D496" s="8">
        <v>4</v>
      </c>
      <c r="E496" s="8">
        <v>1</v>
      </c>
      <c r="F496" s="8">
        <v>4</v>
      </c>
      <c r="G496" s="5">
        <v>4</v>
      </c>
      <c r="H496" s="5">
        <v>0</v>
      </c>
      <c r="I496" s="6">
        <f t="shared" si="8"/>
        <v>0</v>
      </c>
      <c r="J496" s="6">
        <f>D496/(VLOOKUP(B496,'[1]2022 Team'!$B$2:$G$33,2,FALSE))</f>
        <v>5.6258790436005627E-3</v>
      </c>
      <c r="K496" s="9">
        <v>25</v>
      </c>
      <c r="L496" s="5">
        <v>0</v>
      </c>
    </row>
    <row r="497" spans="1:12" x14ac:dyDescent="0.25">
      <c r="A497" s="5" t="s">
        <v>982</v>
      </c>
      <c r="B497" s="5" t="s">
        <v>56</v>
      </c>
      <c r="C497" s="7" t="s">
        <v>153</v>
      </c>
      <c r="D497" s="8">
        <v>2</v>
      </c>
      <c r="E497" s="8">
        <v>1</v>
      </c>
      <c r="F497" s="8">
        <v>8</v>
      </c>
      <c r="G497" s="5">
        <v>8</v>
      </c>
      <c r="H497" s="5">
        <v>0</v>
      </c>
      <c r="I497" s="6">
        <f t="shared" si="8"/>
        <v>0</v>
      </c>
      <c r="J497" s="6">
        <f>D497/(VLOOKUP(B497,'[1]2022 Team'!$B$2:$G$33,2,FALSE))</f>
        <v>3.189792663476874E-3</v>
      </c>
      <c r="K497" s="9">
        <v>50</v>
      </c>
      <c r="L497" s="5">
        <v>0</v>
      </c>
    </row>
    <row r="498" spans="1:12" x14ac:dyDescent="0.25">
      <c r="A498" s="5" t="s">
        <v>2086</v>
      </c>
      <c r="B498" s="5" t="s">
        <v>28</v>
      </c>
      <c r="C498" s="7" t="s">
        <v>2087</v>
      </c>
      <c r="D498" s="8">
        <v>1</v>
      </c>
      <c r="E498" s="8">
        <v>1</v>
      </c>
      <c r="F498" s="8">
        <v>9</v>
      </c>
      <c r="G498" s="5">
        <v>9</v>
      </c>
      <c r="H498" s="5">
        <v>0</v>
      </c>
      <c r="I498" s="6">
        <f t="shared" si="8"/>
        <v>0</v>
      </c>
      <c r="J498" s="6">
        <f>D498/(VLOOKUP(B498,'[1]2022 Team'!$B$2:$G$33,2,FALSE))</f>
        <v>1.7006802721088435E-3</v>
      </c>
      <c r="K498" s="9">
        <v>100</v>
      </c>
      <c r="L498" s="5">
        <v>0</v>
      </c>
    </row>
    <row r="499" spans="1:12" x14ac:dyDescent="0.25">
      <c r="A499" s="5" t="s">
        <v>1845</v>
      </c>
      <c r="B499" s="5" t="s">
        <v>10</v>
      </c>
      <c r="C499" s="7" t="s">
        <v>163</v>
      </c>
      <c r="D499" s="8">
        <v>2</v>
      </c>
      <c r="E499" s="8">
        <v>1</v>
      </c>
      <c r="F499" s="8">
        <v>8</v>
      </c>
      <c r="G499" s="5">
        <v>8</v>
      </c>
      <c r="H499" s="5">
        <v>0</v>
      </c>
      <c r="I499" s="6">
        <f t="shared" si="8"/>
        <v>0</v>
      </c>
      <c r="J499" s="6">
        <f>D499/(VLOOKUP(B499,'[1]2022 Team'!$B$2:$G$33,2,FALSE))</f>
        <v>4.8192771084337354E-3</v>
      </c>
      <c r="K499" s="9">
        <v>50</v>
      </c>
      <c r="L499" s="5">
        <v>0</v>
      </c>
    </row>
    <row r="500" spans="1:12" x14ac:dyDescent="0.25">
      <c r="A500" s="5" t="s">
        <v>1713</v>
      </c>
      <c r="B500" s="5" t="s">
        <v>18</v>
      </c>
      <c r="C500" s="7" t="s">
        <v>163</v>
      </c>
      <c r="D500" s="8">
        <v>4</v>
      </c>
      <c r="E500" s="8">
        <v>1</v>
      </c>
      <c r="F500" s="8">
        <v>15</v>
      </c>
      <c r="G500" s="5">
        <v>15</v>
      </c>
      <c r="H500" s="5">
        <v>0</v>
      </c>
      <c r="I500" s="6">
        <f t="shared" si="8"/>
        <v>0</v>
      </c>
      <c r="J500" s="6">
        <f>D500/(VLOOKUP(B500,'[1]2022 Team'!$B$2:$G$33,2,FALSE))</f>
        <v>1.0610079575596816E-2</v>
      </c>
      <c r="K500" s="9">
        <v>25</v>
      </c>
      <c r="L500" s="5">
        <v>1</v>
      </c>
    </row>
    <row r="501" spans="1:12" x14ac:dyDescent="0.25">
      <c r="A501" s="5" t="s">
        <v>2523</v>
      </c>
      <c r="B501" s="5" t="s">
        <v>14</v>
      </c>
      <c r="C501" s="7" t="s">
        <v>153</v>
      </c>
      <c r="D501" s="8">
        <v>1</v>
      </c>
      <c r="E501" s="8">
        <v>1</v>
      </c>
      <c r="F501" s="8">
        <v>7</v>
      </c>
      <c r="G501" s="5">
        <v>7</v>
      </c>
      <c r="H501" s="5">
        <v>0</v>
      </c>
      <c r="I501" s="6">
        <f t="shared" si="8"/>
        <v>0</v>
      </c>
      <c r="J501" s="6">
        <f>D501/(VLOOKUP(B501,'[1]2022 Team'!$B$2:$G$33,2,FALSE))</f>
        <v>1.7421602787456446E-3</v>
      </c>
      <c r="K501" s="9">
        <v>100</v>
      </c>
      <c r="L501" s="5">
        <v>0</v>
      </c>
    </row>
    <row r="502" spans="1:12" x14ac:dyDescent="0.25">
      <c r="A502" s="5" t="s">
        <v>2141</v>
      </c>
      <c r="B502" s="5" t="s">
        <v>50</v>
      </c>
      <c r="C502" s="7" t="s">
        <v>159</v>
      </c>
      <c r="D502" s="8">
        <v>1</v>
      </c>
      <c r="E502" s="8">
        <v>1</v>
      </c>
      <c r="F502" s="8">
        <v>8</v>
      </c>
      <c r="G502" s="5">
        <v>8</v>
      </c>
      <c r="H502" s="5">
        <v>0</v>
      </c>
      <c r="I502" s="6">
        <f t="shared" si="8"/>
        <v>0</v>
      </c>
      <c r="J502" s="6">
        <f>D502/(VLOOKUP(B502,'[1]2022 Team'!$B$2:$G$33,2,FALSE))</f>
        <v>1.8518518518518519E-3</v>
      </c>
      <c r="K502" s="9">
        <v>100</v>
      </c>
      <c r="L502" s="5">
        <v>0</v>
      </c>
    </row>
    <row r="503" spans="1:12" x14ac:dyDescent="0.25">
      <c r="A503" s="5" t="s">
        <v>1683</v>
      </c>
      <c r="B503" s="5" t="s">
        <v>30</v>
      </c>
      <c r="C503" s="7" t="s">
        <v>159</v>
      </c>
      <c r="D503" s="8">
        <v>1</v>
      </c>
      <c r="E503" s="8">
        <v>1</v>
      </c>
      <c r="F503" s="8">
        <v>17</v>
      </c>
      <c r="G503" s="5">
        <v>17</v>
      </c>
      <c r="H503" s="5">
        <v>0</v>
      </c>
      <c r="I503" s="6">
        <f t="shared" si="8"/>
        <v>0</v>
      </c>
      <c r="J503" s="6">
        <f>D503/(VLOOKUP(B503,'[1]2022 Team'!$B$2:$G$33,2,FALSE))</f>
        <v>1.7761989342806395E-3</v>
      </c>
      <c r="K503" s="9">
        <v>100</v>
      </c>
      <c r="L503" s="5">
        <v>0</v>
      </c>
    </row>
    <row r="504" spans="1:12" x14ac:dyDescent="0.25">
      <c r="A504" s="5" t="s">
        <v>558</v>
      </c>
      <c r="B504" s="5" t="s">
        <v>24</v>
      </c>
      <c r="C504" s="7" t="s">
        <v>163</v>
      </c>
      <c r="D504" s="8">
        <v>2</v>
      </c>
      <c r="E504" s="8">
        <v>1</v>
      </c>
      <c r="F504" s="8">
        <v>9</v>
      </c>
      <c r="G504" s="5">
        <v>9</v>
      </c>
      <c r="H504" s="5">
        <v>0</v>
      </c>
      <c r="I504" s="6">
        <f t="shared" si="8"/>
        <v>0</v>
      </c>
      <c r="J504" s="6">
        <f>D504/(VLOOKUP(B504,'[1]2022 Team'!$B$2:$G$33,2,FALSE))</f>
        <v>3.5971223021582736E-3</v>
      </c>
      <c r="K504" s="9">
        <v>50</v>
      </c>
      <c r="L504" s="5">
        <v>3</v>
      </c>
    </row>
    <row r="505" spans="1:12" x14ac:dyDescent="0.25">
      <c r="A505" s="5" t="s">
        <v>2428</v>
      </c>
      <c r="B505" s="5" t="s">
        <v>52</v>
      </c>
      <c r="C505" s="7" t="s">
        <v>159</v>
      </c>
      <c r="D505" s="8">
        <v>1</v>
      </c>
      <c r="E505" s="8">
        <v>1</v>
      </c>
      <c r="F505" s="8">
        <v>7</v>
      </c>
      <c r="G505" s="5">
        <v>7</v>
      </c>
      <c r="H505" s="5">
        <v>0</v>
      </c>
      <c r="I505" s="6">
        <f t="shared" si="8"/>
        <v>0</v>
      </c>
      <c r="J505" s="6">
        <f>D505/(VLOOKUP(B505,'[1]2022 Team'!$B$2:$G$33,2,FALSE))</f>
        <v>1.953125E-3</v>
      </c>
      <c r="K505" s="9">
        <v>100</v>
      </c>
      <c r="L505" s="5">
        <v>0</v>
      </c>
    </row>
    <row r="506" spans="1:12" x14ac:dyDescent="0.25">
      <c r="A506" s="5" t="s">
        <v>1012</v>
      </c>
      <c r="B506" s="5" t="s">
        <v>60</v>
      </c>
      <c r="C506" s="7" t="s">
        <v>163</v>
      </c>
      <c r="D506" s="8">
        <v>1</v>
      </c>
      <c r="E506" s="8">
        <v>1</v>
      </c>
      <c r="F506" s="8">
        <v>2</v>
      </c>
      <c r="G506" s="5">
        <v>2</v>
      </c>
      <c r="H506" s="5">
        <v>0</v>
      </c>
      <c r="I506" s="6">
        <f t="shared" si="8"/>
        <v>0</v>
      </c>
      <c r="J506" s="6">
        <f>D506/(VLOOKUP(B506,'[1]2022 Team'!$B$2:$G$33,2,FALSE))</f>
        <v>1.7513134851138354E-3</v>
      </c>
      <c r="K506" s="9">
        <v>100</v>
      </c>
      <c r="L506" s="5">
        <v>0</v>
      </c>
    </row>
    <row r="507" spans="1:12" x14ac:dyDescent="0.25">
      <c r="A507" s="5" t="s">
        <v>642</v>
      </c>
      <c r="B507" s="5" t="s">
        <v>28</v>
      </c>
      <c r="C507" s="7" t="s">
        <v>163</v>
      </c>
      <c r="D507" s="8">
        <v>9</v>
      </c>
      <c r="E507" s="8">
        <v>1</v>
      </c>
      <c r="F507" s="8">
        <v>41</v>
      </c>
      <c r="G507" s="5">
        <v>41</v>
      </c>
      <c r="H507" s="5">
        <v>1</v>
      </c>
      <c r="I507" s="6">
        <f t="shared" si="8"/>
        <v>1</v>
      </c>
      <c r="J507" s="6">
        <f>D507/(VLOOKUP(B507,'[1]2022 Team'!$B$2:$G$33,2,FALSE))</f>
        <v>1.5306122448979591E-2</v>
      </c>
      <c r="K507" s="9">
        <v>11.1</v>
      </c>
      <c r="L507" s="5">
        <v>0</v>
      </c>
    </row>
    <row r="508" spans="1:12" x14ac:dyDescent="0.25">
      <c r="A508" s="5" t="s">
        <v>2532</v>
      </c>
      <c r="B508" s="5" t="s">
        <v>8</v>
      </c>
      <c r="C508" s="7" t="s">
        <v>159</v>
      </c>
      <c r="D508" s="8">
        <v>1</v>
      </c>
      <c r="E508" s="8">
        <v>1</v>
      </c>
      <c r="F508" s="8">
        <v>5</v>
      </c>
      <c r="G508" s="5">
        <v>5</v>
      </c>
      <c r="H508" s="5">
        <v>0</v>
      </c>
      <c r="I508" s="6">
        <f t="shared" si="8"/>
        <v>0</v>
      </c>
      <c r="J508" s="6">
        <f>D508/(VLOOKUP(B508,'[1]2022 Team'!$B$2:$G$33,2,FALSE))</f>
        <v>1.5060240963855422E-3</v>
      </c>
      <c r="K508" s="9">
        <v>100</v>
      </c>
      <c r="L508" s="5">
        <v>0</v>
      </c>
    </row>
    <row r="509" spans="1:12" x14ac:dyDescent="0.25">
      <c r="A509" s="5" t="s">
        <v>126</v>
      </c>
      <c r="B509" s="5" t="s">
        <v>26</v>
      </c>
      <c r="C509" s="7" t="s">
        <v>82</v>
      </c>
      <c r="D509" s="8">
        <v>1</v>
      </c>
      <c r="E509" s="8">
        <v>1</v>
      </c>
      <c r="F509" s="8">
        <v>1</v>
      </c>
      <c r="G509" s="5">
        <v>1</v>
      </c>
      <c r="H509" s="5">
        <v>0</v>
      </c>
      <c r="I509" s="6">
        <f t="shared" si="8"/>
        <v>0</v>
      </c>
      <c r="J509" s="6">
        <f>D509/(VLOOKUP(B509,'[1]2022 Team'!$B$2:$G$33,2,FALSE))</f>
        <v>1.7513134851138354E-3</v>
      </c>
      <c r="K509" s="9">
        <v>100</v>
      </c>
      <c r="L509" s="5">
        <v>6</v>
      </c>
    </row>
    <row r="510" spans="1:12" x14ac:dyDescent="0.25">
      <c r="A510" s="5" t="s">
        <v>150</v>
      </c>
      <c r="B510" s="5" t="s">
        <v>56</v>
      </c>
      <c r="C510" s="7" t="s">
        <v>82</v>
      </c>
      <c r="D510" s="8">
        <v>1</v>
      </c>
      <c r="E510" s="8">
        <v>1</v>
      </c>
      <c r="F510" s="8">
        <v>2</v>
      </c>
      <c r="G510" s="5">
        <v>2</v>
      </c>
      <c r="H510" s="5">
        <v>1</v>
      </c>
      <c r="I510" s="6">
        <f t="shared" si="8"/>
        <v>1</v>
      </c>
      <c r="J510" s="6">
        <f>D510/(VLOOKUP(B510,'[1]2022 Team'!$B$2:$G$33,2,FALSE))</f>
        <v>1.594896331738437E-3</v>
      </c>
      <c r="K510" s="9">
        <v>100</v>
      </c>
      <c r="L510" s="5">
        <v>1</v>
      </c>
    </row>
    <row r="511" spans="1:12" x14ac:dyDescent="0.25">
      <c r="A511" s="5" t="s">
        <v>1865</v>
      </c>
      <c r="B511" s="5" t="s">
        <v>30</v>
      </c>
      <c r="C511" s="7" t="s">
        <v>163</v>
      </c>
      <c r="D511" s="8">
        <v>4</v>
      </c>
      <c r="E511" s="8">
        <v>1</v>
      </c>
      <c r="F511" s="8">
        <v>17</v>
      </c>
      <c r="G511" s="5">
        <v>17</v>
      </c>
      <c r="H511" s="5">
        <v>0</v>
      </c>
      <c r="I511" s="6">
        <f t="shared" si="8"/>
        <v>0</v>
      </c>
      <c r="J511" s="6">
        <f>D511/(VLOOKUP(B511,'[1]2022 Team'!$B$2:$G$33,2,FALSE))</f>
        <v>7.104795737122558E-3</v>
      </c>
      <c r="K511" s="9">
        <v>25</v>
      </c>
      <c r="L511" s="5">
        <v>0</v>
      </c>
    </row>
    <row r="512" spans="1:12" x14ac:dyDescent="0.25">
      <c r="A512" s="5" t="s">
        <v>1556</v>
      </c>
      <c r="B512" s="5" t="s">
        <v>50</v>
      </c>
      <c r="C512" s="7" t="s">
        <v>82</v>
      </c>
      <c r="D512" s="8">
        <v>1</v>
      </c>
      <c r="E512" s="8">
        <v>1</v>
      </c>
      <c r="F512" s="8">
        <v>-6</v>
      </c>
      <c r="G512" s="5">
        <v>-6</v>
      </c>
      <c r="H512" s="5">
        <v>0</v>
      </c>
      <c r="I512" s="6">
        <f t="shared" si="8"/>
        <v>0</v>
      </c>
      <c r="J512" s="6">
        <f>D512/(VLOOKUP(B512,'[1]2022 Team'!$B$2:$G$33,2,FALSE))</f>
        <v>1.8518518518518519E-3</v>
      </c>
      <c r="K512" s="9">
        <v>100</v>
      </c>
      <c r="L512" s="5">
        <v>4</v>
      </c>
    </row>
    <row r="513" spans="1:12" x14ac:dyDescent="0.25">
      <c r="A513" s="5" t="s">
        <v>2459</v>
      </c>
      <c r="B513" s="5" t="s">
        <v>10</v>
      </c>
      <c r="C513" s="7" t="s">
        <v>163</v>
      </c>
      <c r="D513" s="8">
        <v>1</v>
      </c>
      <c r="E513" s="8">
        <v>0</v>
      </c>
      <c r="F513" s="8">
        <v>0</v>
      </c>
      <c r="G513" s="5"/>
      <c r="H513" s="5">
        <v>0</v>
      </c>
      <c r="I513" s="6" t="e">
        <f t="shared" si="8"/>
        <v>#DIV/0!</v>
      </c>
      <c r="J513" s="6">
        <f>D513/(VLOOKUP(B513,'[1]2022 Team'!$B$2:$G$33,2,FALSE))</f>
        <v>2.4096385542168677E-3</v>
      </c>
      <c r="K513" s="9">
        <v>0</v>
      </c>
      <c r="L513" s="5">
        <v>0</v>
      </c>
    </row>
    <row r="514" spans="1:12" x14ac:dyDescent="0.25">
      <c r="A514" s="5" t="s">
        <v>143</v>
      </c>
      <c r="B514" s="5" t="s">
        <v>20</v>
      </c>
      <c r="C514" s="7" t="s">
        <v>82</v>
      </c>
      <c r="D514" s="8">
        <v>0</v>
      </c>
      <c r="E514" s="8">
        <v>0</v>
      </c>
      <c r="F514" s="8">
        <v>0</v>
      </c>
      <c r="G514" s="5"/>
      <c r="H514" s="5">
        <v>0</v>
      </c>
      <c r="I514" s="6" t="e">
        <f t="shared" si="8"/>
        <v>#DIV/0!</v>
      </c>
      <c r="J514" s="6">
        <f>D514/(VLOOKUP(B514,'[1]2022 Team'!$B$2:$G$33,2,FALSE))</f>
        <v>0</v>
      </c>
      <c r="K514" s="9"/>
      <c r="L514" s="5">
        <v>0</v>
      </c>
    </row>
    <row r="515" spans="1:12" x14ac:dyDescent="0.25">
      <c r="A515" s="5" t="s">
        <v>97</v>
      </c>
      <c r="B515" s="5" t="s">
        <v>14</v>
      </c>
      <c r="C515" s="7" t="s">
        <v>82</v>
      </c>
      <c r="D515" s="8">
        <v>0</v>
      </c>
      <c r="E515" s="8">
        <v>0</v>
      </c>
      <c r="F515" s="8">
        <v>0</v>
      </c>
      <c r="G515" s="5"/>
      <c r="H515" s="5">
        <v>0</v>
      </c>
      <c r="I515" s="6" t="e">
        <f t="shared" si="8"/>
        <v>#DIV/0!</v>
      </c>
      <c r="J515" s="6">
        <f>D515/(VLOOKUP(B515,'[1]2022 Team'!$B$2:$G$33,2,FALSE))</f>
        <v>0</v>
      </c>
      <c r="K515" s="9"/>
      <c r="L515" s="5">
        <v>13</v>
      </c>
    </row>
    <row r="516" spans="1:12" x14ac:dyDescent="0.25">
      <c r="A516" s="5" t="s">
        <v>160</v>
      </c>
      <c r="B516" s="5" t="s">
        <v>32</v>
      </c>
      <c r="C516" s="7" t="s">
        <v>82</v>
      </c>
      <c r="D516" s="8">
        <v>0</v>
      </c>
      <c r="E516" s="8">
        <v>0</v>
      </c>
      <c r="F516" s="8">
        <v>0</v>
      </c>
      <c r="G516" s="5"/>
      <c r="H516" s="5">
        <v>0</v>
      </c>
      <c r="I516" s="6" t="e">
        <f t="shared" si="8"/>
        <v>#DIV/0!</v>
      </c>
      <c r="J516" s="6">
        <f>D516/(VLOOKUP(B516,'[1]2022 Team'!$B$2:$G$33,2,FALSE))</f>
        <v>0</v>
      </c>
      <c r="K516" s="9"/>
      <c r="L516" s="5">
        <v>4</v>
      </c>
    </row>
    <row r="517" spans="1:12" x14ac:dyDescent="0.25">
      <c r="A517" s="5" t="s">
        <v>2445</v>
      </c>
      <c r="B517" s="5" t="s">
        <v>60</v>
      </c>
      <c r="C517" s="7" t="s">
        <v>980</v>
      </c>
      <c r="D517" s="8">
        <v>0</v>
      </c>
      <c r="E517" s="8">
        <v>0</v>
      </c>
      <c r="F517" s="8">
        <v>0</v>
      </c>
      <c r="G517" s="5"/>
      <c r="H517" s="5">
        <v>0</v>
      </c>
      <c r="I517" s="6" t="e">
        <f t="shared" si="8"/>
        <v>#DIV/0!</v>
      </c>
      <c r="J517" s="6">
        <f>D517/(VLOOKUP(B517,'[1]2022 Team'!$B$2:$G$33,2,FALSE))</f>
        <v>0</v>
      </c>
      <c r="K517" s="9"/>
      <c r="L517" s="5">
        <v>0</v>
      </c>
    </row>
    <row r="518" spans="1:12" x14ac:dyDescent="0.25">
      <c r="A518" s="5" t="s">
        <v>2082</v>
      </c>
      <c r="B518" s="5" t="s">
        <v>24</v>
      </c>
      <c r="C518" s="7" t="s">
        <v>165</v>
      </c>
      <c r="D518" s="8">
        <v>0</v>
      </c>
      <c r="E518" s="8">
        <v>0</v>
      </c>
      <c r="F518" s="8">
        <v>0</v>
      </c>
      <c r="G518" s="5"/>
      <c r="H518" s="5">
        <v>0</v>
      </c>
      <c r="I518" s="6" t="e">
        <f t="shared" si="8"/>
        <v>#DIV/0!</v>
      </c>
      <c r="J518" s="6">
        <f>D518/(VLOOKUP(B518,'[1]2022 Team'!$B$2:$G$33,2,FALSE))</f>
        <v>0</v>
      </c>
      <c r="K518" s="9"/>
      <c r="L518" s="5">
        <v>1</v>
      </c>
    </row>
    <row r="519" spans="1:12" x14ac:dyDescent="0.25">
      <c r="A519" s="5" t="s">
        <v>2463</v>
      </c>
      <c r="B519" s="5" t="s">
        <v>30</v>
      </c>
      <c r="C519" s="7" t="s">
        <v>2184</v>
      </c>
      <c r="D519" s="8">
        <v>1</v>
      </c>
      <c r="E519" s="8">
        <v>0</v>
      </c>
      <c r="F519" s="8">
        <v>0</v>
      </c>
      <c r="G519" s="5"/>
      <c r="H519" s="5">
        <v>0</v>
      </c>
      <c r="I519" s="6" t="e">
        <f t="shared" si="8"/>
        <v>#DIV/0!</v>
      </c>
      <c r="J519" s="6">
        <f>D519/(VLOOKUP(B519,'[1]2022 Team'!$B$2:$G$33,2,FALSE))</f>
        <v>1.7761989342806395E-3</v>
      </c>
      <c r="K519" s="9">
        <v>0</v>
      </c>
      <c r="L519" s="5">
        <v>0</v>
      </c>
    </row>
    <row r="520" spans="1:12" x14ac:dyDescent="0.25">
      <c r="A520" s="5" t="s">
        <v>1565</v>
      </c>
      <c r="B520" s="5" t="s">
        <v>36</v>
      </c>
      <c r="C520" s="7" t="s">
        <v>82</v>
      </c>
      <c r="D520" s="8">
        <v>0</v>
      </c>
      <c r="E520" s="8">
        <v>0</v>
      </c>
      <c r="F520" s="8">
        <v>0</v>
      </c>
      <c r="G520" s="5"/>
      <c r="H520" s="5">
        <v>0</v>
      </c>
      <c r="I520" s="6" t="e">
        <f t="shared" si="8"/>
        <v>#DIV/0!</v>
      </c>
      <c r="J520" s="6">
        <f>D520/(VLOOKUP(B520,'[1]2022 Team'!$B$2:$G$33,2,FALSE))</f>
        <v>0</v>
      </c>
      <c r="K520" s="9"/>
      <c r="L520" s="5">
        <v>0</v>
      </c>
    </row>
    <row r="521" spans="1:12" x14ac:dyDescent="0.25">
      <c r="A521" s="5" t="s">
        <v>2446</v>
      </c>
      <c r="B521" s="5" t="s">
        <v>64</v>
      </c>
      <c r="C521" s="7" t="s">
        <v>186</v>
      </c>
      <c r="D521" s="8">
        <v>0</v>
      </c>
      <c r="E521" s="8">
        <v>0</v>
      </c>
      <c r="F521" s="8">
        <v>0</v>
      </c>
      <c r="G521" s="5"/>
      <c r="H521" s="5">
        <v>0</v>
      </c>
      <c r="I521" s="6" t="e">
        <f t="shared" si="8"/>
        <v>#DIV/0!</v>
      </c>
      <c r="J521" s="6">
        <f>D521/(VLOOKUP(B521,'[1]2022 Team'!$B$2:$G$33,2,FALSE))</f>
        <v>0</v>
      </c>
      <c r="K521" s="9"/>
      <c r="L521" s="5">
        <v>0</v>
      </c>
    </row>
    <row r="522" spans="1:12" x14ac:dyDescent="0.25">
      <c r="A522" s="5" t="s">
        <v>1712</v>
      </c>
      <c r="B522" s="5" t="s">
        <v>18</v>
      </c>
      <c r="C522" s="7" t="s">
        <v>613</v>
      </c>
      <c r="D522" s="8">
        <v>1</v>
      </c>
      <c r="E522" s="8">
        <v>0</v>
      </c>
      <c r="F522" s="8">
        <v>0</v>
      </c>
      <c r="G522" s="5"/>
      <c r="H522" s="5">
        <v>0</v>
      </c>
      <c r="I522" s="6" t="e">
        <f t="shared" si="8"/>
        <v>#DIV/0!</v>
      </c>
      <c r="J522" s="6">
        <f>D522/(VLOOKUP(B522,'[1]2022 Team'!$B$2:$G$33,2,FALSE))</f>
        <v>2.6525198938992041E-3</v>
      </c>
      <c r="K522" s="9">
        <v>0</v>
      </c>
      <c r="L522" s="5">
        <v>0</v>
      </c>
    </row>
    <row r="523" spans="1:12" x14ac:dyDescent="0.25">
      <c r="A523" s="5" t="s">
        <v>2369</v>
      </c>
      <c r="B523" s="5" t="s">
        <v>8</v>
      </c>
      <c r="C523" s="7" t="s">
        <v>82</v>
      </c>
      <c r="D523" s="8">
        <v>0</v>
      </c>
      <c r="E523" s="8">
        <v>0</v>
      </c>
      <c r="F523" s="8">
        <v>0</v>
      </c>
      <c r="G523" s="5"/>
      <c r="H523" s="5">
        <v>0</v>
      </c>
      <c r="I523" s="6" t="e">
        <f t="shared" si="8"/>
        <v>#DIV/0!</v>
      </c>
      <c r="J523" s="6">
        <f>D523/(VLOOKUP(B523,'[1]2022 Team'!$B$2:$G$33,2,FALSE))</f>
        <v>0</v>
      </c>
      <c r="K523" s="9"/>
      <c r="L523" s="5">
        <v>1</v>
      </c>
    </row>
    <row r="524" spans="1:12" x14ac:dyDescent="0.25">
      <c r="A524" s="5" t="s">
        <v>2437</v>
      </c>
      <c r="B524" s="5" t="s">
        <v>70</v>
      </c>
      <c r="C524" s="7" t="s">
        <v>186</v>
      </c>
      <c r="D524" s="8">
        <v>0</v>
      </c>
      <c r="E524" s="8">
        <v>0</v>
      </c>
      <c r="F524" s="8">
        <v>0</v>
      </c>
      <c r="G524" s="5"/>
      <c r="H524" s="5">
        <v>0</v>
      </c>
      <c r="I524" s="6" t="e">
        <f t="shared" si="8"/>
        <v>#DIV/0!</v>
      </c>
      <c r="J524" s="6">
        <f>D524/(VLOOKUP(B524,'[1]2022 Team'!$B$2:$G$33,2,FALSE))</f>
        <v>0</v>
      </c>
      <c r="K524" s="9"/>
      <c r="L524" s="5">
        <v>0</v>
      </c>
    </row>
    <row r="525" spans="1:12" x14ac:dyDescent="0.25">
      <c r="A525" s="5" t="s">
        <v>1564</v>
      </c>
      <c r="B525" s="5" t="s">
        <v>18</v>
      </c>
      <c r="C525" s="7" t="s">
        <v>82</v>
      </c>
      <c r="D525" s="8">
        <v>0</v>
      </c>
      <c r="E525" s="8">
        <v>0</v>
      </c>
      <c r="F525" s="8">
        <v>0</v>
      </c>
      <c r="G525" s="5"/>
      <c r="H525" s="5">
        <v>0</v>
      </c>
      <c r="I525" s="6" t="e">
        <f t="shared" si="8"/>
        <v>#DIV/0!</v>
      </c>
      <c r="J525" s="6">
        <f>D525/(VLOOKUP(B525,'[1]2022 Team'!$B$2:$G$33,2,FALSE))</f>
        <v>0</v>
      </c>
      <c r="K525" s="9"/>
      <c r="L525" s="5">
        <v>0</v>
      </c>
    </row>
    <row r="526" spans="1:12" x14ac:dyDescent="0.25">
      <c r="A526" s="5" t="s">
        <v>2364</v>
      </c>
      <c r="B526" s="5" t="s">
        <v>66</v>
      </c>
      <c r="C526" s="7" t="s">
        <v>82</v>
      </c>
      <c r="D526" s="8">
        <v>1</v>
      </c>
      <c r="E526" s="8">
        <v>0</v>
      </c>
      <c r="F526" s="8">
        <v>0</v>
      </c>
      <c r="G526" s="5"/>
      <c r="H526" s="5">
        <v>0</v>
      </c>
      <c r="I526" s="6" t="e">
        <f t="shared" si="8"/>
        <v>#DIV/0!</v>
      </c>
      <c r="J526" s="6">
        <f>D526/(VLOOKUP(B526,'[1]2022 Team'!$B$2:$G$33,2,FALSE))</f>
        <v>1.3315579227696406E-3</v>
      </c>
      <c r="K526" s="9">
        <v>0</v>
      </c>
      <c r="L526" s="5">
        <v>5</v>
      </c>
    </row>
    <row r="527" spans="1:12" x14ac:dyDescent="0.25">
      <c r="A527" s="5" t="s">
        <v>147</v>
      </c>
      <c r="B527" s="5" t="s">
        <v>46</v>
      </c>
      <c r="C527" s="7" t="s">
        <v>82</v>
      </c>
      <c r="D527" s="8">
        <v>0</v>
      </c>
      <c r="E527" s="8">
        <v>0</v>
      </c>
      <c r="F527" s="8">
        <v>0</v>
      </c>
      <c r="G527" s="5"/>
      <c r="H527" s="5">
        <v>0</v>
      </c>
      <c r="I527" s="6" t="e">
        <f t="shared" si="8"/>
        <v>#DIV/0!</v>
      </c>
      <c r="J527" s="6">
        <f>D527/(VLOOKUP(B527,'[1]2022 Team'!$B$2:$G$33,2,FALSE))</f>
        <v>0</v>
      </c>
      <c r="K527" s="9"/>
      <c r="L527" s="5">
        <v>0</v>
      </c>
    </row>
    <row r="528" spans="1:12" x14ac:dyDescent="0.25">
      <c r="A528" s="5" t="s">
        <v>94</v>
      </c>
      <c r="B528" s="5" t="s">
        <v>22</v>
      </c>
      <c r="C528" s="7" t="s">
        <v>82</v>
      </c>
      <c r="D528" s="8">
        <v>0</v>
      </c>
      <c r="E528" s="8">
        <v>0</v>
      </c>
      <c r="F528" s="8">
        <v>0</v>
      </c>
      <c r="G528" s="5"/>
      <c r="H528" s="5">
        <v>0</v>
      </c>
      <c r="I528" s="6" t="e">
        <f t="shared" si="8"/>
        <v>#DIV/0!</v>
      </c>
      <c r="J528" s="6">
        <f>D528/(VLOOKUP(B528,'[1]2022 Team'!$B$2:$G$33,2,FALSE))</f>
        <v>0</v>
      </c>
      <c r="K528" s="9"/>
      <c r="L528" s="5">
        <v>6</v>
      </c>
    </row>
    <row r="529" spans="1:12" x14ac:dyDescent="0.25">
      <c r="A529" s="5" t="s">
        <v>2371</v>
      </c>
      <c r="B529" s="5" t="s">
        <v>12</v>
      </c>
      <c r="C529" s="7" t="s">
        <v>82</v>
      </c>
      <c r="D529" s="8">
        <v>0</v>
      </c>
      <c r="E529" s="8">
        <v>0</v>
      </c>
      <c r="F529" s="8">
        <v>0</v>
      </c>
      <c r="G529" s="5"/>
      <c r="H529" s="5">
        <v>0</v>
      </c>
      <c r="I529" s="6" t="e">
        <f t="shared" si="8"/>
        <v>#DIV/0!</v>
      </c>
      <c r="J529" s="6">
        <f>D529/(VLOOKUP(B529,'[1]2022 Team'!$B$2:$G$33,2,FALSE))</f>
        <v>0</v>
      </c>
      <c r="K529" s="9"/>
      <c r="L529" s="5">
        <v>1</v>
      </c>
    </row>
    <row r="530" spans="1:12" x14ac:dyDescent="0.25">
      <c r="A530" s="5" t="s">
        <v>111</v>
      </c>
      <c r="B530" s="5" t="s">
        <v>20</v>
      </c>
      <c r="C530" s="7" t="s">
        <v>82</v>
      </c>
      <c r="D530" s="8">
        <v>0</v>
      </c>
      <c r="E530" s="8">
        <v>0</v>
      </c>
      <c r="F530" s="8">
        <v>0</v>
      </c>
      <c r="G530" s="5"/>
      <c r="H530" s="5">
        <v>0</v>
      </c>
      <c r="I530" s="6" t="e">
        <f t="shared" si="8"/>
        <v>#DIV/0!</v>
      </c>
      <c r="J530" s="6">
        <f>D530/(VLOOKUP(B530,'[1]2022 Team'!$B$2:$G$33,2,FALSE))</f>
        <v>0</v>
      </c>
      <c r="K530" s="9"/>
      <c r="L530" s="5">
        <v>6</v>
      </c>
    </row>
    <row r="531" spans="1:12" x14ac:dyDescent="0.25">
      <c r="A531" s="5" t="s">
        <v>1552</v>
      </c>
      <c r="B531" s="5" t="s">
        <v>40</v>
      </c>
      <c r="C531" s="7" t="s">
        <v>82</v>
      </c>
      <c r="D531" s="8">
        <v>0</v>
      </c>
      <c r="E531" s="8">
        <v>0</v>
      </c>
      <c r="F531" s="8">
        <v>0</v>
      </c>
      <c r="G531" s="5"/>
      <c r="H531" s="5">
        <v>0</v>
      </c>
      <c r="I531" s="6" t="e">
        <f t="shared" si="8"/>
        <v>#DIV/0!</v>
      </c>
      <c r="J531" s="6">
        <f>D531/(VLOOKUP(B531,'[1]2022 Team'!$B$2:$G$33,2,FALSE))</f>
        <v>0</v>
      </c>
      <c r="K531" s="9"/>
      <c r="L531" s="5">
        <v>4</v>
      </c>
    </row>
    <row r="532" spans="1:12" x14ac:dyDescent="0.25">
      <c r="A532" s="5" t="s">
        <v>2447</v>
      </c>
      <c r="B532" s="5" t="s">
        <v>16</v>
      </c>
      <c r="C532" s="7" t="s">
        <v>755</v>
      </c>
      <c r="D532" s="8">
        <v>0</v>
      </c>
      <c r="E532" s="8">
        <v>0</v>
      </c>
      <c r="F532" s="8">
        <v>0</v>
      </c>
      <c r="G532" s="5"/>
      <c r="H532" s="5">
        <v>0</v>
      </c>
      <c r="I532" s="6" t="e">
        <f t="shared" si="8"/>
        <v>#DIV/0!</v>
      </c>
      <c r="J532" s="6">
        <f>D532/(VLOOKUP(B532,'[1]2022 Team'!$B$2:$G$33,2,FALSE))</f>
        <v>0</v>
      </c>
      <c r="K532" s="9"/>
      <c r="L532" s="5">
        <v>0</v>
      </c>
    </row>
    <row r="533" spans="1:12" x14ac:dyDescent="0.25">
      <c r="A533" s="5" t="s">
        <v>540</v>
      </c>
      <c r="B533" s="5" t="s">
        <v>48</v>
      </c>
      <c r="C533" s="7" t="s">
        <v>159</v>
      </c>
      <c r="D533" s="8">
        <v>0</v>
      </c>
      <c r="E533" s="8">
        <v>0</v>
      </c>
      <c r="F533" s="8">
        <v>0</v>
      </c>
      <c r="G533" s="5"/>
      <c r="H533" s="5">
        <v>0</v>
      </c>
      <c r="I533" s="6" t="e">
        <f t="shared" si="8"/>
        <v>#DIV/0!</v>
      </c>
      <c r="J533" s="6">
        <f>D533/(VLOOKUP(B533,'[1]2022 Team'!$B$2:$G$33,2,FALSE))</f>
        <v>0</v>
      </c>
      <c r="K533" s="9"/>
      <c r="L533" s="5">
        <v>0</v>
      </c>
    </row>
    <row r="534" spans="1:12" x14ac:dyDescent="0.25">
      <c r="A534" s="5" t="s">
        <v>2473</v>
      </c>
      <c r="B534" s="5" t="s">
        <v>22</v>
      </c>
      <c r="C534" s="7" t="s">
        <v>2087</v>
      </c>
      <c r="D534" s="8">
        <v>1</v>
      </c>
      <c r="E534" s="8">
        <v>0</v>
      </c>
      <c r="F534" s="8">
        <v>0</v>
      </c>
      <c r="G534" s="5"/>
      <c r="H534" s="5">
        <v>0</v>
      </c>
      <c r="I534" s="6" t="e">
        <f t="shared" si="8"/>
        <v>#DIV/0!</v>
      </c>
      <c r="J534" s="6">
        <f>D534/(VLOOKUP(B534,'[1]2022 Team'!$B$2:$G$33,2,FALSE))</f>
        <v>1.8518518518518519E-3</v>
      </c>
      <c r="K534" s="9">
        <v>0</v>
      </c>
      <c r="L534" s="5">
        <v>0</v>
      </c>
    </row>
    <row r="535" spans="1:12" x14ac:dyDescent="0.25">
      <c r="A535" s="5" t="s">
        <v>2426</v>
      </c>
      <c r="B535" s="5" t="s">
        <v>36</v>
      </c>
      <c r="C535" s="7" t="s">
        <v>159</v>
      </c>
      <c r="D535" s="8">
        <v>0</v>
      </c>
      <c r="E535" s="8">
        <v>0</v>
      </c>
      <c r="F535" s="8">
        <v>0</v>
      </c>
      <c r="G535" s="5"/>
      <c r="H535" s="5">
        <v>0</v>
      </c>
      <c r="I535" s="6" t="e">
        <f t="shared" si="8"/>
        <v>#DIV/0!</v>
      </c>
      <c r="J535" s="6">
        <f>D535/(VLOOKUP(B535,'[1]2022 Team'!$B$2:$G$33,2,FALSE))</f>
        <v>0</v>
      </c>
      <c r="K535" s="9"/>
      <c r="L535" s="5">
        <v>0</v>
      </c>
    </row>
    <row r="536" spans="1:12" x14ac:dyDescent="0.25">
      <c r="A536" s="5" t="s">
        <v>941</v>
      </c>
      <c r="B536" s="5" t="s">
        <v>46</v>
      </c>
      <c r="C536" s="7" t="s">
        <v>153</v>
      </c>
      <c r="D536" s="8">
        <v>3</v>
      </c>
      <c r="E536" s="8">
        <v>0</v>
      </c>
      <c r="F536" s="8">
        <v>0</v>
      </c>
      <c r="G536" s="5"/>
      <c r="H536" s="5">
        <v>0</v>
      </c>
      <c r="I536" s="6" t="e">
        <f t="shared" si="8"/>
        <v>#DIV/0!</v>
      </c>
      <c r="J536" s="6">
        <f>D536/(VLOOKUP(B536,'[1]2022 Team'!$B$2:$G$33,2,FALSE))</f>
        <v>5.1369863013698627E-3</v>
      </c>
      <c r="K536" s="9">
        <v>0</v>
      </c>
      <c r="L536" s="5">
        <v>0</v>
      </c>
    </row>
    <row r="537" spans="1:12" x14ac:dyDescent="0.25">
      <c r="A537" s="5" t="s">
        <v>110</v>
      </c>
      <c r="B537" s="5" t="s">
        <v>48</v>
      </c>
      <c r="C537" s="7" t="s">
        <v>82</v>
      </c>
      <c r="D537" s="8">
        <v>0</v>
      </c>
      <c r="E537" s="8">
        <v>0</v>
      </c>
      <c r="F537" s="8">
        <v>0</v>
      </c>
      <c r="G537" s="5"/>
      <c r="H537" s="5">
        <v>0</v>
      </c>
      <c r="I537" s="6" t="e">
        <f t="shared" si="8"/>
        <v>#DIV/0!</v>
      </c>
      <c r="J537" s="6">
        <f>D537/(VLOOKUP(B537,'[1]2022 Team'!$B$2:$G$33,2,FALSE))</f>
        <v>0</v>
      </c>
      <c r="K537" s="9"/>
      <c r="L537" s="5">
        <v>7</v>
      </c>
    </row>
    <row r="538" spans="1:12" x14ac:dyDescent="0.25">
      <c r="A538" s="5" t="s">
        <v>140</v>
      </c>
      <c r="B538" s="5" t="s">
        <v>52</v>
      </c>
      <c r="C538" s="7" t="s">
        <v>82</v>
      </c>
      <c r="D538" s="8">
        <v>0</v>
      </c>
      <c r="E538" s="8">
        <v>0</v>
      </c>
      <c r="F538" s="8">
        <v>0</v>
      </c>
      <c r="G538" s="5"/>
      <c r="H538" s="5">
        <v>0</v>
      </c>
      <c r="I538" s="6" t="e">
        <f t="shared" si="8"/>
        <v>#DIV/0!</v>
      </c>
      <c r="J538" s="6">
        <f>D538/(VLOOKUP(B538,'[1]2022 Team'!$B$2:$G$33,2,FALSE))</f>
        <v>0</v>
      </c>
      <c r="K538" s="9"/>
      <c r="L538" s="5">
        <v>5</v>
      </c>
    </row>
    <row r="539" spans="1:12" x14ac:dyDescent="0.25">
      <c r="A539" s="5" t="s">
        <v>2377</v>
      </c>
      <c r="B539" s="5" t="s">
        <v>42</v>
      </c>
      <c r="C539" s="7" t="s">
        <v>82</v>
      </c>
      <c r="D539" s="8">
        <v>0</v>
      </c>
      <c r="E539" s="8">
        <v>0</v>
      </c>
      <c r="F539" s="8">
        <v>0</v>
      </c>
      <c r="G539" s="5"/>
      <c r="H539" s="5">
        <v>0</v>
      </c>
      <c r="I539" s="6" t="e">
        <f t="shared" si="8"/>
        <v>#DIV/0!</v>
      </c>
      <c r="J539" s="6">
        <f>D539/(VLOOKUP(B539,'[1]2022 Team'!$B$2:$G$33,2,FALSE))</f>
        <v>0</v>
      </c>
      <c r="K539" s="9"/>
      <c r="L539" s="5">
        <v>0</v>
      </c>
    </row>
    <row r="540" spans="1:12" x14ac:dyDescent="0.25">
      <c r="A540" s="5" t="s">
        <v>96</v>
      </c>
      <c r="B540" s="5" t="s">
        <v>16</v>
      </c>
      <c r="C540" s="7" t="s">
        <v>82</v>
      </c>
      <c r="D540" s="8">
        <v>0</v>
      </c>
      <c r="E540" s="8">
        <v>0</v>
      </c>
      <c r="F540" s="8">
        <v>0</v>
      </c>
      <c r="G540" s="5"/>
      <c r="H540" s="5">
        <v>0</v>
      </c>
      <c r="I540" s="6" t="e">
        <f t="shared" si="8"/>
        <v>#DIV/0!</v>
      </c>
      <c r="J540" s="6">
        <f>D540/(VLOOKUP(B540,'[1]2022 Team'!$B$2:$G$33,2,FALSE))</f>
        <v>0</v>
      </c>
      <c r="K540" s="9"/>
      <c r="L540" s="5">
        <v>6</v>
      </c>
    </row>
    <row r="541" spans="1:12" x14ac:dyDescent="0.25">
      <c r="A541" s="5" t="s">
        <v>1737</v>
      </c>
      <c r="B541" s="5" t="s">
        <v>56</v>
      </c>
      <c r="C541" s="7" t="s">
        <v>755</v>
      </c>
      <c r="D541" s="8">
        <v>0</v>
      </c>
      <c r="E541" s="8">
        <v>0</v>
      </c>
      <c r="F541" s="8">
        <v>0</v>
      </c>
      <c r="G541" s="5"/>
      <c r="H541" s="5">
        <v>0</v>
      </c>
      <c r="I541" s="6" t="e">
        <f t="shared" si="8"/>
        <v>#DIV/0!</v>
      </c>
      <c r="J541" s="6">
        <f>D541/(VLOOKUP(B541,'[1]2022 Team'!$B$2:$G$33,2,FALSE))</f>
        <v>0</v>
      </c>
      <c r="K541" s="9"/>
      <c r="L541" s="5">
        <v>0</v>
      </c>
    </row>
    <row r="542" spans="1:12" x14ac:dyDescent="0.25">
      <c r="A542" s="5" t="s">
        <v>1716</v>
      </c>
      <c r="B542" s="5" t="s">
        <v>62</v>
      </c>
      <c r="C542" s="7" t="s">
        <v>159</v>
      </c>
      <c r="D542" s="8">
        <v>2</v>
      </c>
      <c r="E542" s="8">
        <v>0</v>
      </c>
      <c r="F542" s="8">
        <v>0</v>
      </c>
      <c r="G542" s="5"/>
      <c r="H542" s="5">
        <v>0</v>
      </c>
      <c r="I542" s="6" t="e">
        <f t="shared" si="8"/>
        <v>#DIV/0!</v>
      </c>
      <c r="J542" s="6">
        <f>D542/(VLOOKUP(B542,'[1]2022 Team'!$B$2:$G$33,2,FALSE))</f>
        <v>3.90625E-3</v>
      </c>
      <c r="K542" s="9">
        <v>0</v>
      </c>
      <c r="L542" s="5">
        <v>0</v>
      </c>
    </row>
    <row r="543" spans="1:12" x14ac:dyDescent="0.25">
      <c r="A543" s="5" t="s">
        <v>2439</v>
      </c>
      <c r="B543" s="5" t="s">
        <v>64</v>
      </c>
      <c r="C543" s="7" t="s">
        <v>165</v>
      </c>
      <c r="D543" s="8">
        <v>0</v>
      </c>
      <c r="E543" s="8">
        <v>0</v>
      </c>
      <c r="F543" s="8">
        <v>0</v>
      </c>
      <c r="G543" s="5"/>
      <c r="H543" s="5">
        <v>0</v>
      </c>
      <c r="I543" s="6" t="e">
        <f t="shared" si="8"/>
        <v>#DIV/0!</v>
      </c>
      <c r="J543" s="6">
        <f>D543/(VLOOKUP(B543,'[1]2022 Team'!$B$2:$G$33,2,FALSE))</f>
        <v>0</v>
      </c>
      <c r="K543" s="9"/>
      <c r="L543" s="5">
        <v>1</v>
      </c>
    </row>
    <row r="544" spans="1:12" x14ac:dyDescent="0.25">
      <c r="A544" s="5" t="s">
        <v>151</v>
      </c>
      <c r="B544" s="5" t="s">
        <v>68</v>
      </c>
      <c r="C544" s="7" t="s">
        <v>82</v>
      </c>
      <c r="D544" s="8">
        <v>0</v>
      </c>
      <c r="E544" s="8">
        <v>0</v>
      </c>
      <c r="F544" s="8">
        <v>0</v>
      </c>
      <c r="G544" s="5"/>
      <c r="H544" s="5">
        <v>0</v>
      </c>
      <c r="I544" s="6" t="e">
        <f t="shared" si="8"/>
        <v>#DIV/0!</v>
      </c>
      <c r="J544" s="6">
        <f>D544/(VLOOKUP(B544,'[1]2022 Team'!$B$2:$G$33,2,FALSE))</f>
        <v>0</v>
      </c>
      <c r="K544" s="9"/>
      <c r="L544" s="5">
        <v>4</v>
      </c>
    </row>
    <row r="545" spans="1:12" x14ac:dyDescent="0.25">
      <c r="A545" s="5" t="s">
        <v>1624</v>
      </c>
      <c r="B545" s="5" t="s">
        <v>12</v>
      </c>
      <c r="C545" s="7" t="s">
        <v>159</v>
      </c>
      <c r="D545" s="8">
        <v>2</v>
      </c>
      <c r="E545" s="8">
        <v>0</v>
      </c>
      <c r="F545" s="8">
        <v>0</v>
      </c>
      <c r="G545" s="5"/>
      <c r="H545" s="5">
        <v>0</v>
      </c>
      <c r="I545" s="6" t="e">
        <f t="shared" si="8"/>
        <v>#DIV/0!</v>
      </c>
      <c r="J545" s="6">
        <f>D545/(VLOOKUP(B545,'[1]2022 Team'!$B$2:$G$33,2,FALSE))</f>
        <v>4.0983606557377051E-3</v>
      </c>
      <c r="K545" s="9">
        <v>0</v>
      </c>
      <c r="L545" s="5">
        <v>1</v>
      </c>
    </row>
    <row r="546" spans="1:12" x14ac:dyDescent="0.25">
      <c r="A546" s="5" t="s">
        <v>2367</v>
      </c>
      <c r="B546" s="5" t="s">
        <v>34</v>
      </c>
      <c r="C546" s="7" t="s">
        <v>82</v>
      </c>
      <c r="D546" s="8">
        <v>0</v>
      </c>
      <c r="E546" s="8">
        <v>0</v>
      </c>
      <c r="F546" s="8">
        <v>0</v>
      </c>
      <c r="G546" s="5"/>
      <c r="H546" s="5">
        <v>0</v>
      </c>
      <c r="I546" s="6" t="e">
        <f t="shared" si="8"/>
        <v>#DIV/0!</v>
      </c>
      <c r="J546" s="6">
        <f>D546/(VLOOKUP(B546,'[1]2022 Team'!$B$2:$G$33,2,FALSE))</f>
        <v>0</v>
      </c>
      <c r="K546" s="9"/>
      <c r="L546" s="5">
        <v>2</v>
      </c>
    </row>
    <row r="547" spans="1:12" x14ac:dyDescent="0.25">
      <c r="A547" s="5" t="s">
        <v>2394</v>
      </c>
      <c r="B547" s="5" t="s">
        <v>40</v>
      </c>
      <c r="C547" s="7" t="s">
        <v>755</v>
      </c>
      <c r="D547" s="8">
        <v>0</v>
      </c>
      <c r="E547" s="8">
        <v>0</v>
      </c>
      <c r="F547" s="8">
        <v>0</v>
      </c>
      <c r="G547" s="5"/>
      <c r="H547" s="5">
        <v>0</v>
      </c>
      <c r="I547" s="6" t="e">
        <f t="shared" si="8"/>
        <v>#DIV/0!</v>
      </c>
      <c r="J547" s="6">
        <f>D547/(VLOOKUP(B547,'[1]2022 Team'!$B$2:$G$33,2,FALSE))</f>
        <v>0</v>
      </c>
      <c r="K547" s="9"/>
      <c r="L547" s="5">
        <v>0</v>
      </c>
    </row>
    <row r="548" spans="1:12" x14ac:dyDescent="0.25">
      <c r="A548" s="5" t="s">
        <v>2448</v>
      </c>
      <c r="B548" s="5" t="s">
        <v>46</v>
      </c>
      <c r="C548" s="7" t="s">
        <v>755</v>
      </c>
      <c r="D548" s="8">
        <v>0</v>
      </c>
      <c r="E548" s="8">
        <v>0</v>
      </c>
      <c r="F548" s="8">
        <v>0</v>
      </c>
      <c r="G548" s="5"/>
      <c r="H548" s="5">
        <v>0</v>
      </c>
      <c r="I548" s="6" t="e">
        <f t="shared" si="8"/>
        <v>#DIV/0!</v>
      </c>
      <c r="J548" s="6">
        <f>D548/(VLOOKUP(B548,'[1]2022 Team'!$B$2:$G$33,2,FALSE))</f>
        <v>0</v>
      </c>
      <c r="K548" s="9"/>
      <c r="L548" s="5">
        <v>0</v>
      </c>
    </row>
    <row r="549" spans="1:12" x14ac:dyDescent="0.25">
      <c r="A549" s="5" t="s">
        <v>117</v>
      </c>
      <c r="B549" s="5" t="s">
        <v>18</v>
      </c>
      <c r="C549" s="7" t="s">
        <v>82</v>
      </c>
      <c r="D549" s="8">
        <v>0</v>
      </c>
      <c r="E549" s="8">
        <v>0</v>
      </c>
      <c r="F549" s="8">
        <v>0</v>
      </c>
      <c r="G549" s="5"/>
      <c r="H549" s="5">
        <v>0</v>
      </c>
      <c r="I549" s="6" t="e">
        <f t="shared" si="8"/>
        <v>#DIV/0!</v>
      </c>
      <c r="J549" s="6">
        <f>D549/(VLOOKUP(B549,'[1]2022 Team'!$B$2:$G$33,2,FALSE))</f>
        <v>0</v>
      </c>
      <c r="K549" s="9"/>
      <c r="L549" s="5">
        <v>16</v>
      </c>
    </row>
    <row r="550" spans="1:12" x14ac:dyDescent="0.25">
      <c r="A550" s="5" t="s">
        <v>113</v>
      </c>
      <c r="B550" s="5" t="s">
        <v>56</v>
      </c>
      <c r="C550" s="7" t="s">
        <v>82</v>
      </c>
      <c r="D550" s="8">
        <v>0</v>
      </c>
      <c r="E550" s="8">
        <v>0</v>
      </c>
      <c r="F550" s="8">
        <v>-3</v>
      </c>
      <c r="G550" s="5"/>
      <c r="H550" s="5">
        <v>0</v>
      </c>
      <c r="I550" s="6" t="e">
        <f t="shared" si="8"/>
        <v>#DIV/0!</v>
      </c>
      <c r="J550" s="6">
        <f>D550/(VLOOKUP(B550,'[1]2022 Team'!$B$2:$G$33,2,FALSE))</f>
        <v>0</v>
      </c>
      <c r="K550" s="9"/>
      <c r="L550" s="5">
        <v>5</v>
      </c>
    </row>
    <row r="551" spans="1:12" x14ac:dyDescent="0.25">
      <c r="A551" s="5" t="s">
        <v>2372</v>
      </c>
      <c r="B551" s="5" t="s">
        <v>34</v>
      </c>
      <c r="C551" s="7" t="s">
        <v>82</v>
      </c>
      <c r="D551" s="8">
        <v>0</v>
      </c>
      <c r="E551" s="8">
        <v>0</v>
      </c>
      <c r="F551" s="8">
        <v>0</v>
      </c>
      <c r="G551" s="5"/>
      <c r="H551" s="5">
        <v>0</v>
      </c>
      <c r="I551" s="6" t="e">
        <f t="shared" si="8"/>
        <v>#DIV/0!</v>
      </c>
      <c r="J551" s="6">
        <f>D551/(VLOOKUP(B551,'[1]2022 Team'!$B$2:$G$33,2,FALSE))</f>
        <v>0</v>
      </c>
      <c r="K551" s="9"/>
      <c r="L551" s="5">
        <v>0</v>
      </c>
    </row>
    <row r="552" spans="1:12" x14ac:dyDescent="0.25">
      <c r="A552" s="5" t="s">
        <v>519</v>
      </c>
      <c r="B552" s="5" t="s">
        <v>22</v>
      </c>
      <c r="C552" s="7" t="s">
        <v>159</v>
      </c>
      <c r="D552" s="8">
        <v>0</v>
      </c>
      <c r="E552" s="8">
        <v>0</v>
      </c>
      <c r="F552" s="8">
        <v>0</v>
      </c>
      <c r="G552" s="5"/>
      <c r="H552" s="5">
        <v>0</v>
      </c>
      <c r="I552" s="6" t="e">
        <f t="shared" si="8"/>
        <v>#DIV/0!</v>
      </c>
      <c r="J552" s="6">
        <f>D552/(VLOOKUP(B552,'[1]2022 Team'!$B$2:$G$33,2,FALSE))</f>
        <v>0</v>
      </c>
      <c r="K552" s="9"/>
      <c r="L552" s="5">
        <v>0</v>
      </c>
    </row>
    <row r="553" spans="1:12" x14ac:dyDescent="0.25">
      <c r="A553" s="5" t="s">
        <v>2480</v>
      </c>
      <c r="B553" s="5" t="s">
        <v>22</v>
      </c>
      <c r="C553" s="7" t="s">
        <v>153</v>
      </c>
      <c r="D553" s="8">
        <v>1</v>
      </c>
      <c r="E553" s="8">
        <v>0</v>
      </c>
      <c r="F553" s="8">
        <v>0</v>
      </c>
      <c r="G553" s="5"/>
      <c r="H553" s="5">
        <v>0</v>
      </c>
      <c r="I553" s="6" t="e">
        <f t="shared" si="8"/>
        <v>#DIV/0!</v>
      </c>
      <c r="J553" s="6">
        <f>D553/(VLOOKUP(B553,'[1]2022 Team'!$B$2:$G$33,2,FALSE))</f>
        <v>1.8518518518518519E-3</v>
      </c>
      <c r="K553" s="9">
        <v>0</v>
      </c>
      <c r="L553" s="5">
        <v>0</v>
      </c>
    </row>
    <row r="554" spans="1:12" x14ac:dyDescent="0.25">
      <c r="A554" s="5" t="s">
        <v>705</v>
      </c>
      <c r="B554" s="5" t="s">
        <v>10</v>
      </c>
      <c r="C554" s="7" t="s">
        <v>82</v>
      </c>
      <c r="D554" s="8">
        <v>2</v>
      </c>
      <c r="E554" s="8">
        <v>0</v>
      </c>
      <c r="F554" s="8">
        <v>0</v>
      </c>
      <c r="G554" s="5"/>
      <c r="H554" s="5">
        <v>0</v>
      </c>
      <c r="I554" s="6" t="e">
        <f t="shared" si="8"/>
        <v>#DIV/0!</v>
      </c>
      <c r="J554" s="6">
        <f>D554/(VLOOKUP(B554,'[1]2022 Team'!$B$2:$G$33,2,FALSE))</f>
        <v>4.8192771084337354E-3</v>
      </c>
      <c r="K554" s="9">
        <v>0</v>
      </c>
      <c r="L554" s="5">
        <v>0</v>
      </c>
    </row>
    <row r="555" spans="1:12" x14ac:dyDescent="0.25">
      <c r="A555" s="5" t="s">
        <v>617</v>
      </c>
      <c r="B555" s="5" t="s">
        <v>62</v>
      </c>
      <c r="C555" s="7" t="s">
        <v>82</v>
      </c>
      <c r="D555" s="8">
        <v>0</v>
      </c>
      <c r="E555" s="8">
        <v>0</v>
      </c>
      <c r="F555" s="8">
        <v>0</v>
      </c>
      <c r="G555" s="5"/>
      <c r="H555" s="5">
        <v>0</v>
      </c>
      <c r="I555" s="6" t="e">
        <f t="shared" si="8"/>
        <v>#DIV/0!</v>
      </c>
      <c r="J555" s="6">
        <f>D555/(VLOOKUP(B555,'[1]2022 Team'!$B$2:$G$33,2,FALSE))</f>
        <v>0</v>
      </c>
      <c r="K555" s="9"/>
      <c r="L555" s="5">
        <v>3</v>
      </c>
    </row>
    <row r="556" spans="1:12" x14ac:dyDescent="0.25">
      <c r="A556" s="5" t="s">
        <v>2482</v>
      </c>
      <c r="B556" s="5" t="s">
        <v>14</v>
      </c>
      <c r="C556" s="7" t="s">
        <v>163</v>
      </c>
      <c r="D556" s="8">
        <v>1</v>
      </c>
      <c r="E556" s="8">
        <v>0</v>
      </c>
      <c r="F556" s="8">
        <v>0</v>
      </c>
      <c r="G556" s="5"/>
      <c r="H556" s="5">
        <v>0</v>
      </c>
      <c r="I556" s="6" t="e">
        <f t="shared" ref="I556:I618" si="9">H556/E556</f>
        <v>#DIV/0!</v>
      </c>
      <c r="J556" s="6">
        <f>D556/(VLOOKUP(B556,'[1]2022 Team'!$B$2:$G$33,2,FALSE))</f>
        <v>1.7421602787456446E-3</v>
      </c>
      <c r="K556" s="9">
        <v>0</v>
      </c>
      <c r="L556" s="5">
        <v>0</v>
      </c>
    </row>
    <row r="557" spans="1:12" x14ac:dyDescent="0.25">
      <c r="A557" s="5" t="s">
        <v>756</v>
      </c>
      <c r="B557" s="5" t="s">
        <v>54</v>
      </c>
      <c r="C557" s="7" t="s">
        <v>165</v>
      </c>
      <c r="D557" s="8">
        <v>0</v>
      </c>
      <c r="E557" s="8">
        <v>0</v>
      </c>
      <c r="F557" s="8">
        <v>0</v>
      </c>
      <c r="G557" s="5"/>
      <c r="H557" s="5">
        <v>0</v>
      </c>
      <c r="I557" s="6" t="e">
        <f t="shared" si="9"/>
        <v>#DIV/0!</v>
      </c>
      <c r="J557" s="6">
        <f>D557/(VLOOKUP(B557,'[1]2022 Team'!$B$2:$G$33,2,FALSE))</f>
        <v>0</v>
      </c>
      <c r="K557" s="9"/>
      <c r="L557" s="5">
        <v>1</v>
      </c>
    </row>
    <row r="558" spans="1:12" x14ac:dyDescent="0.25">
      <c r="A558" s="5" t="s">
        <v>2486</v>
      </c>
      <c r="B558" s="5" t="s">
        <v>68</v>
      </c>
      <c r="C558" s="7" t="s">
        <v>163</v>
      </c>
      <c r="D558" s="8">
        <v>1</v>
      </c>
      <c r="E558" s="8">
        <v>0</v>
      </c>
      <c r="F558" s="8">
        <v>0</v>
      </c>
      <c r="G558" s="5"/>
      <c r="H558" s="5">
        <v>0</v>
      </c>
      <c r="I558" s="6" t="e">
        <f t="shared" si="9"/>
        <v>#DIV/0!</v>
      </c>
      <c r="J558" s="6">
        <f>D558/(VLOOKUP(B558,'[1]2022 Team'!$B$2:$G$33,2,FALSE))</f>
        <v>2.1929824561403508E-3</v>
      </c>
      <c r="K558" s="9">
        <v>0</v>
      </c>
      <c r="L558" s="5">
        <v>0</v>
      </c>
    </row>
    <row r="559" spans="1:12" x14ac:dyDescent="0.25">
      <c r="A559" s="5" t="s">
        <v>1700</v>
      </c>
      <c r="B559" s="5" t="s">
        <v>50</v>
      </c>
      <c r="C559" s="7" t="s">
        <v>159</v>
      </c>
      <c r="D559" s="8">
        <v>0</v>
      </c>
      <c r="E559" s="8">
        <v>0</v>
      </c>
      <c r="F559" s="8">
        <v>0</v>
      </c>
      <c r="G559" s="5"/>
      <c r="H559" s="5">
        <v>0</v>
      </c>
      <c r="I559" s="6" t="e">
        <f t="shared" si="9"/>
        <v>#DIV/0!</v>
      </c>
      <c r="J559" s="6">
        <f>D559/(VLOOKUP(B559,'[1]2022 Team'!$B$2:$G$33,2,FALSE))</f>
        <v>0</v>
      </c>
      <c r="K559" s="9"/>
      <c r="L559" s="5">
        <v>0</v>
      </c>
    </row>
    <row r="560" spans="1:12" x14ac:dyDescent="0.25">
      <c r="A560" s="5" t="s">
        <v>1560</v>
      </c>
      <c r="B560" s="5" t="s">
        <v>70</v>
      </c>
      <c r="C560" s="7" t="s">
        <v>82</v>
      </c>
      <c r="D560" s="8">
        <v>0</v>
      </c>
      <c r="E560" s="8">
        <v>0</v>
      </c>
      <c r="F560" s="8">
        <v>0</v>
      </c>
      <c r="G560" s="5"/>
      <c r="H560" s="5">
        <v>0</v>
      </c>
      <c r="I560" s="6" t="e">
        <f t="shared" si="9"/>
        <v>#DIV/0!</v>
      </c>
      <c r="J560" s="6">
        <f>D560/(VLOOKUP(B560,'[1]2022 Team'!$B$2:$G$33,2,FALSE))</f>
        <v>0</v>
      </c>
      <c r="K560" s="9"/>
      <c r="L560" s="5">
        <v>7</v>
      </c>
    </row>
    <row r="561" spans="1:12" x14ac:dyDescent="0.25">
      <c r="A561" s="5" t="s">
        <v>2381</v>
      </c>
      <c r="B561" s="5" t="s">
        <v>38</v>
      </c>
      <c r="C561" s="7" t="s">
        <v>82</v>
      </c>
      <c r="D561" s="8">
        <v>0</v>
      </c>
      <c r="E561" s="8">
        <v>0</v>
      </c>
      <c r="F561" s="8">
        <v>0</v>
      </c>
      <c r="G561" s="5"/>
      <c r="H561" s="5">
        <v>0</v>
      </c>
      <c r="I561" s="6" t="e">
        <f t="shared" si="9"/>
        <v>#DIV/0!</v>
      </c>
      <c r="J561" s="6">
        <f>D561/(VLOOKUP(B561,'[1]2022 Team'!$B$2:$G$33,2,FALSE))</f>
        <v>0</v>
      </c>
      <c r="K561" s="9"/>
      <c r="L561" s="5">
        <v>1</v>
      </c>
    </row>
    <row r="562" spans="1:12" x14ac:dyDescent="0.25">
      <c r="A562" s="5" t="s">
        <v>2451</v>
      </c>
      <c r="B562" s="5" t="s">
        <v>30</v>
      </c>
      <c r="C562" s="7" t="s">
        <v>159</v>
      </c>
      <c r="D562" s="8">
        <v>0</v>
      </c>
      <c r="E562" s="8">
        <v>0</v>
      </c>
      <c r="F562" s="8">
        <v>0</v>
      </c>
      <c r="G562" s="5"/>
      <c r="H562" s="5">
        <v>0</v>
      </c>
      <c r="I562" s="6" t="e">
        <f t="shared" si="9"/>
        <v>#DIV/0!</v>
      </c>
      <c r="J562" s="6">
        <f>D562/(VLOOKUP(B562,'[1]2022 Team'!$B$2:$G$33,2,FALSE))</f>
        <v>0</v>
      </c>
      <c r="K562" s="9"/>
      <c r="L562" s="5">
        <v>0</v>
      </c>
    </row>
    <row r="563" spans="1:12" x14ac:dyDescent="0.25">
      <c r="A563" s="5" t="s">
        <v>2452</v>
      </c>
      <c r="B563" s="5" t="s">
        <v>52</v>
      </c>
      <c r="C563" s="7" t="s">
        <v>159</v>
      </c>
      <c r="D563" s="8">
        <v>0</v>
      </c>
      <c r="E563" s="8">
        <v>0</v>
      </c>
      <c r="F563" s="8">
        <v>0</v>
      </c>
      <c r="G563" s="5"/>
      <c r="H563" s="5">
        <v>0</v>
      </c>
      <c r="I563" s="6" t="e">
        <f t="shared" si="9"/>
        <v>#DIV/0!</v>
      </c>
      <c r="J563" s="6">
        <f>D563/(VLOOKUP(B563,'[1]2022 Team'!$B$2:$G$33,2,FALSE))</f>
        <v>0</v>
      </c>
      <c r="K563" s="9"/>
      <c r="L563" s="5">
        <v>0</v>
      </c>
    </row>
    <row r="564" spans="1:12" x14ac:dyDescent="0.25">
      <c r="A564" s="5" t="s">
        <v>1551</v>
      </c>
      <c r="B564" s="5" t="s">
        <v>70</v>
      </c>
      <c r="C564" s="7" t="s">
        <v>82</v>
      </c>
      <c r="D564" s="8">
        <v>0</v>
      </c>
      <c r="E564" s="8">
        <v>0</v>
      </c>
      <c r="F564" s="8">
        <v>0</v>
      </c>
      <c r="G564" s="5"/>
      <c r="H564" s="5">
        <v>0</v>
      </c>
      <c r="I564" s="6" t="e">
        <f t="shared" si="9"/>
        <v>#DIV/0!</v>
      </c>
      <c r="J564" s="6">
        <f>D564/(VLOOKUP(B564,'[1]2022 Team'!$B$2:$G$33,2,FALSE))</f>
        <v>0</v>
      </c>
      <c r="K564" s="9"/>
      <c r="L564" s="5">
        <v>0</v>
      </c>
    </row>
    <row r="565" spans="1:12" x14ac:dyDescent="0.25">
      <c r="A565" s="5" t="s">
        <v>2453</v>
      </c>
      <c r="B565" s="5" t="s">
        <v>46</v>
      </c>
      <c r="C565" s="7" t="s">
        <v>2205</v>
      </c>
      <c r="D565" s="8">
        <v>0</v>
      </c>
      <c r="E565" s="8">
        <v>0</v>
      </c>
      <c r="F565" s="8">
        <v>0</v>
      </c>
      <c r="G565" s="5"/>
      <c r="H565" s="5">
        <v>0</v>
      </c>
      <c r="I565" s="6" t="e">
        <f t="shared" si="9"/>
        <v>#DIV/0!</v>
      </c>
      <c r="J565" s="6">
        <f>D565/(VLOOKUP(B565,'[1]2022 Team'!$B$2:$G$33,2,FALSE))</f>
        <v>0</v>
      </c>
      <c r="K565" s="9"/>
      <c r="L565" s="5">
        <v>1</v>
      </c>
    </row>
    <row r="566" spans="1:12" x14ac:dyDescent="0.25">
      <c r="A566" s="5" t="s">
        <v>130</v>
      </c>
      <c r="B566" s="5" t="s">
        <v>12</v>
      </c>
      <c r="C566" s="7" t="s">
        <v>82</v>
      </c>
      <c r="D566" s="8">
        <v>0</v>
      </c>
      <c r="E566" s="8">
        <v>0</v>
      </c>
      <c r="F566" s="8">
        <v>0</v>
      </c>
      <c r="G566" s="5"/>
      <c r="H566" s="5">
        <v>0</v>
      </c>
      <c r="I566" s="6" t="e">
        <f t="shared" si="9"/>
        <v>#DIV/0!</v>
      </c>
      <c r="J566" s="6">
        <f>D566/(VLOOKUP(B566,'[1]2022 Team'!$B$2:$G$33,2,FALSE))</f>
        <v>0</v>
      </c>
      <c r="K566" s="9"/>
      <c r="L566" s="5">
        <v>3</v>
      </c>
    </row>
    <row r="567" spans="1:12" x14ac:dyDescent="0.25">
      <c r="A567" s="5" t="s">
        <v>98</v>
      </c>
      <c r="B567" s="5" t="s">
        <v>58</v>
      </c>
      <c r="C567" s="7" t="s">
        <v>82</v>
      </c>
      <c r="D567" s="8">
        <v>0</v>
      </c>
      <c r="E567" s="8">
        <v>0</v>
      </c>
      <c r="F567" s="8">
        <v>0</v>
      </c>
      <c r="G567" s="5"/>
      <c r="H567" s="5">
        <v>0</v>
      </c>
      <c r="I567" s="6" t="e">
        <f t="shared" si="9"/>
        <v>#DIV/0!</v>
      </c>
      <c r="J567" s="6">
        <f>D567/(VLOOKUP(B567,'[1]2022 Team'!$B$2:$G$33,2,FALSE))</f>
        <v>0</v>
      </c>
      <c r="K567" s="9"/>
      <c r="L567" s="5">
        <v>9</v>
      </c>
    </row>
    <row r="568" spans="1:12" x14ac:dyDescent="0.25">
      <c r="A568" s="5" t="s">
        <v>106</v>
      </c>
      <c r="B568" s="5" t="s">
        <v>12</v>
      </c>
      <c r="C568" s="7" t="s">
        <v>82</v>
      </c>
      <c r="D568" s="8">
        <v>0</v>
      </c>
      <c r="E568" s="8">
        <v>0</v>
      </c>
      <c r="F568" s="8">
        <v>0</v>
      </c>
      <c r="G568" s="5"/>
      <c r="H568" s="5">
        <v>0</v>
      </c>
      <c r="I568" s="6" t="e">
        <f t="shared" si="9"/>
        <v>#DIV/0!</v>
      </c>
      <c r="J568" s="6">
        <f>D568/(VLOOKUP(B568,'[1]2022 Team'!$B$2:$G$33,2,FALSE))</f>
        <v>0</v>
      </c>
      <c r="K568" s="9"/>
      <c r="L568" s="5">
        <v>5</v>
      </c>
    </row>
    <row r="569" spans="1:12" x14ac:dyDescent="0.25">
      <c r="A569" s="5" t="s">
        <v>2441</v>
      </c>
      <c r="B569" s="5" t="s">
        <v>14</v>
      </c>
      <c r="C569" s="7" t="s">
        <v>159</v>
      </c>
      <c r="D569" s="8">
        <v>0</v>
      </c>
      <c r="E569" s="8">
        <v>0</v>
      </c>
      <c r="F569" s="8">
        <v>0</v>
      </c>
      <c r="G569" s="5"/>
      <c r="H569" s="5">
        <v>0</v>
      </c>
      <c r="I569" s="6" t="e">
        <f t="shared" si="9"/>
        <v>#DIV/0!</v>
      </c>
      <c r="J569" s="6">
        <f>D569/(VLOOKUP(B569,'[1]2022 Team'!$B$2:$G$33,2,FALSE))</f>
        <v>0</v>
      </c>
      <c r="K569" s="9"/>
      <c r="L569" s="5">
        <v>0</v>
      </c>
    </row>
    <row r="570" spans="1:12" x14ac:dyDescent="0.25">
      <c r="A570" s="5" t="s">
        <v>135</v>
      </c>
      <c r="B570" s="5" t="s">
        <v>62</v>
      </c>
      <c r="C570" s="7" t="s">
        <v>82</v>
      </c>
      <c r="D570" s="8">
        <v>0</v>
      </c>
      <c r="E570" s="8">
        <v>0</v>
      </c>
      <c r="F570" s="8">
        <v>0</v>
      </c>
      <c r="G570" s="5"/>
      <c r="H570" s="5">
        <v>0</v>
      </c>
      <c r="I570" s="6" t="e">
        <f t="shared" si="9"/>
        <v>#DIV/0!</v>
      </c>
      <c r="J570" s="6">
        <f>D570/(VLOOKUP(B570,'[1]2022 Team'!$B$2:$G$33,2,FALSE))</f>
        <v>0</v>
      </c>
      <c r="K570" s="9"/>
      <c r="L570" s="5">
        <v>0</v>
      </c>
    </row>
    <row r="571" spans="1:12" x14ac:dyDescent="0.25">
      <c r="A571" s="5" t="s">
        <v>102</v>
      </c>
      <c r="B571" s="5" t="s">
        <v>54</v>
      </c>
      <c r="C571" s="7" t="s">
        <v>82</v>
      </c>
      <c r="D571" s="8">
        <v>0</v>
      </c>
      <c r="E571" s="8">
        <v>0</v>
      </c>
      <c r="F571" s="8">
        <v>0</v>
      </c>
      <c r="G571" s="5"/>
      <c r="H571" s="5">
        <v>0</v>
      </c>
      <c r="I571" s="6" t="e">
        <f t="shared" si="9"/>
        <v>#DIV/0!</v>
      </c>
      <c r="J571" s="6">
        <f>D571/(VLOOKUP(B571,'[1]2022 Team'!$B$2:$G$33,2,FALSE))</f>
        <v>0</v>
      </c>
      <c r="K571" s="9"/>
      <c r="L571" s="5">
        <v>6</v>
      </c>
    </row>
    <row r="572" spans="1:12" x14ac:dyDescent="0.25">
      <c r="A572" s="5" t="s">
        <v>107</v>
      </c>
      <c r="B572" s="5" t="s">
        <v>50</v>
      </c>
      <c r="C572" s="7" t="s">
        <v>82</v>
      </c>
      <c r="D572" s="8">
        <v>0</v>
      </c>
      <c r="E572" s="8">
        <v>0</v>
      </c>
      <c r="F572" s="8">
        <v>0</v>
      </c>
      <c r="G572" s="5"/>
      <c r="H572" s="5">
        <v>0</v>
      </c>
      <c r="I572" s="6" t="e">
        <f t="shared" si="9"/>
        <v>#DIV/0!</v>
      </c>
      <c r="J572" s="6">
        <f>D572/(VLOOKUP(B572,'[1]2022 Team'!$B$2:$G$33,2,FALSE))</f>
        <v>0</v>
      </c>
      <c r="K572" s="9"/>
      <c r="L572" s="5">
        <v>5</v>
      </c>
    </row>
    <row r="573" spans="1:12" x14ac:dyDescent="0.25">
      <c r="A573" s="5" t="s">
        <v>1566</v>
      </c>
      <c r="B573" s="5" t="s">
        <v>14</v>
      </c>
      <c r="C573" s="7" t="s">
        <v>82</v>
      </c>
      <c r="D573" s="8">
        <v>0</v>
      </c>
      <c r="E573" s="8">
        <v>0</v>
      </c>
      <c r="F573" s="8">
        <v>0</v>
      </c>
      <c r="G573" s="5"/>
      <c r="H573" s="5">
        <v>0</v>
      </c>
      <c r="I573" s="6" t="e">
        <f t="shared" si="9"/>
        <v>#DIV/0!</v>
      </c>
      <c r="J573" s="6">
        <f>D573/(VLOOKUP(B573,'[1]2022 Team'!$B$2:$G$33,2,FALSE))</f>
        <v>0</v>
      </c>
      <c r="K573" s="9"/>
      <c r="L573" s="5">
        <v>0</v>
      </c>
    </row>
    <row r="574" spans="1:12" x14ac:dyDescent="0.25">
      <c r="A574" s="5" t="s">
        <v>133</v>
      </c>
      <c r="B574" s="5" t="s">
        <v>62</v>
      </c>
      <c r="C574" s="7" t="s">
        <v>82</v>
      </c>
      <c r="D574" s="8">
        <v>0</v>
      </c>
      <c r="E574" s="8">
        <v>0</v>
      </c>
      <c r="F574" s="8">
        <v>0</v>
      </c>
      <c r="G574" s="5"/>
      <c r="H574" s="5">
        <v>0</v>
      </c>
      <c r="I574" s="6" t="e">
        <f t="shared" si="9"/>
        <v>#DIV/0!</v>
      </c>
      <c r="J574" s="6">
        <f>D574/(VLOOKUP(B574,'[1]2022 Team'!$B$2:$G$33,2,FALSE))</f>
        <v>0</v>
      </c>
      <c r="K574" s="9"/>
      <c r="L574" s="5">
        <v>1</v>
      </c>
    </row>
    <row r="575" spans="1:12" x14ac:dyDescent="0.25">
      <c r="A575" s="5" t="s">
        <v>87</v>
      </c>
      <c r="B575" s="5" t="s">
        <v>36</v>
      </c>
      <c r="C575" s="7" t="s">
        <v>82</v>
      </c>
      <c r="D575" s="8">
        <v>0</v>
      </c>
      <c r="E575" s="8">
        <v>0</v>
      </c>
      <c r="F575" s="8">
        <v>0</v>
      </c>
      <c r="G575" s="5"/>
      <c r="H575" s="5">
        <v>0</v>
      </c>
      <c r="I575" s="6" t="e">
        <f t="shared" si="9"/>
        <v>#DIV/0!</v>
      </c>
      <c r="J575" s="6">
        <f>D575/(VLOOKUP(B575,'[1]2022 Team'!$B$2:$G$33,2,FALSE))</f>
        <v>0</v>
      </c>
      <c r="K575" s="9"/>
      <c r="L575" s="5">
        <v>12</v>
      </c>
    </row>
    <row r="576" spans="1:12" x14ac:dyDescent="0.25">
      <c r="A576" s="5" t="s">
        <v>2455</v>
      </c>
      <c r="B576" s="5" t="s">
        <v>30</v>
      </c>
      <c r="C576" s="7" t="s">
        <v>755</v>
      </c>
      <c r="D576" s="8">
        <v>0</v>
      </c>
      <c r="E576" s="8">
        <v>0</v>
      </c>
      <c r="F576" s="8">
        <v>0</v>
      </c>
      <c r="G576" s="5"/>
      <c r="H576" s="5">
        <v>0</v>
      </c>
      <c r="I576" s="6" t="e">
        <f t="shared" si="9"/>
        <v>#DIV/0!</v>
      </c>
      <c r="J576" s="6">
        <f>D576/(VLOOKUP(B576,'[1]2022 Team'!$B$2:$G$33,2,FALSE))</f>
        <v>0</v>
      </c>
      <c r="K576" s="9"/>
      <c r="L576" s="5">
        <v>0</v>
      </c>
    </row>
    <row r="577" spans="1:12" x14ac:dyDescent="0.25">
      <c r="A577" s="5" t="s">
        <v>100</v>
      </c>
      <c r="B577" s="5" t="s">
        <v>30</v>
      </c>
      <c r="C577" s="7" t="s">
        <v>82</v>
      </c>
      <c r="D577" s="8">
        <v>0</v>
      </c>
      <c r="E577" s="8">
        <v>0</v>
      </c>
      <c r="F577" s="8">
        <v>0</v>
      </c>
      <c r="G577" s="5"/>
      <c r="H577" s="5">
        <v>0</v>
      </c>
      <c r="I577" s="6" t="e">
        <f t="shared" si="9"/>
        <v>#DIV/0!</v>
      </c>
      <c r="J577" s="6">
        <f>D577/(VLOOKUP(B577,'[1]2022 Team'!$B$2:$G$33,2,FALSE))</f>
        <v>0</v>
      </c>
      <c r="K577" s="9"/>
      <c r="L577" s="5">
        <v>0</v>
      </c>
    </row>
    <row r="578" spans="1:12" x14ac:dyDescent="0.25">
      <c r="A578" s="5" t="s">
        <v>115</v>
      </c>
      <c r="B578" s="5" t="s">
        <v>10</v>
      </c>
      <c r="C578" s="7" t="s">
        <v>82</v>
      </c>
      <c r="D578" s="8">
        <v>0</v>
      </c>
      <c r="E578" s="8">
        <v>0</v>
      </c>
      <c r="F578" s="8">
        <v>0</v>
      </c>
      <c r="G578" s="5"/>
      <c r="H578" s="5">
        <v>0</v>
      </c>
      <c r="I578" s="6" t="e">
        <f t="shared" si="9"/>
        <v>#DIV/0!</v>
      </c>
      <c r="J578" s="6">
        <f>D578/(VLOOKUP(B578,'[1]2022 Team'!$B$2:$G$33,2,FALSE))</f>
        <v>0</v>
      </c>
      <c r="K578" s="9"/>
      <c r="L578" s="5">
        <v>8</v>
      </c>
    </row>
    <row r="579" spans="1:12" x14ac:dyDescent="0.25">
      <c r="A579" s="5" t="s">
        <v>294</v>
      </c>
      <c r="B579" s="5" t="s">
        <v>62</v>
      </c>
      <c r="C579" s="7" t="s">
        <v>159</v>
      </c>
      <c r="D579" s="8">
        <v>0</v>
      </c>
      <c r="E579" s="8">
        <v>0</v>
      </c>
      <c r="F579" s="8">
        <v>0</v>
      </c>
      <c r="G579" s="5"/>
      <c r="H579" s="5">
        <v>0</v>
      </c>
      <c r="I579" s="6" t="e">
        <f t="shared" si="9"/>
        <v>#DIV/0!</v>
      </c>
      <c r="J579" s="6">
        <f>D579/(VLOOKUP(B579,'[1]2022 Team'!$B$2:$G$33,2,FALSE))</f>
        <v>0</v>
      </c>
      <c r="K579" s="9"/>
      <c r="L579" s="5">
        <v>0</v>
      </c>
    </row>
    <row r="580" spans="1:12" x14ac:dyDescent="0.25">
      <c r="A580" s="5" t="s">
        <v>88</v>
      </c>
      <c r="B580" s="5" t="s">
        <v>16</v>
      </c>
      <c r="C580" s="7" t="s">
        <v>82</v>
      </c>
      <c r="D580" s="8">
        <v>0</v>
      </c>
      <c r="E580" s="8">
        <v>0</v>
      </c>
      <c r="F580" s="8">
        <v>0</v>
      </c>
      <c r="G580" s="5"/>
      <c r="H580" s="5">
        <v>0</v>
      </c>
      <c r="I580" s="6" t="e">
        <f t="shared" si="9"/>
        <v>#DIV/0!</v>
      </c>
      <c r="J580" s="6">
        <f>D580/(VLOOKUP(B580,'[1]2022 Team'!$B$2:$G$33,2,FALSE))</f>
        <v>0</v>
      </c>
      <c r="K580" s="9"/>
      <c r="L580" s="5">
        <v>6</v>
      </c>
    </row>
    <row r="581" spans="1:12" x14ac:dyDescent="0.25">
      <c r="A581" s="5" t="s">
        <v>88</v>
      </c>
      <c r="B581" s="5" t="s">
        <v>44</v>
      </c>
      <c r="C581" s="7" t="s">
        <v>82</v>
      </c>
      <c r="D581" s="8">
        <v>0</v>
      </c>
      <c r="E581" s="8">
        <v>0</v>
      </c>
      <c r="F581" s="8">
        <v>0</v>
      </c>
      <c r="G581" s="5"/>
      <c r="H581" s="5">
        <v>0</v>
      </c>
      <c r="I581" s="6" t="e">
        <f t="shared" si="9"/>
        <v>#DIV/0!</v>
      </c>
      <c r="J581" s="6">
        <f>D581/(VLOOKUP(B581,'[1]2022 Team'!$B$2:$G$33,2,FALSE))</f>
        <v>0</v>
      </c>
      <c r="K581" s="9"/>
      <c r="L581" s="5">
        <v>3</v>
      </c>
    </row>
    <row r="582" spans="1:12" x14ac:dyDescent="0.25">
      <c r="A582" s="5" t="s">
        <v>2366</v>
      </c>
      <c r="B582" s="5" t="s">
        <v>8</v>
      </c>
      <c r="C582" s="7" t="s">
        <v>82</v>
      </c>
      <c r="D582" s="8">
        <v>0</v>
      </c>
      <c r="E582" s="8">
        <v>0</v>
      </c>
      <c r="F582" s="8">
        <v>0</v>
      </c>
      <c r="G582" s="5"/>
      <c r="H582" s="5">
        <v>0</v>
      </c>
      <c r="I582" s="6" t="e">
        <f t="shared" si="9"/>
        <v>#DIV/0!</v>
      </c>
      <c r="J582" s="6">
        <f>D582/(VLOOKUP(B582,'[1]2022 Team'!$B$2:$G$33,2,FALSE))</f>
        <v>0</v>
      </c>
      <c r="K582" s="9"/>
      <c r="L582" s="5">
        <v>2</v>
      </c>
    </row>
    <row r="583" spans="1:12" x14ac:dyDescent="0.25">
      <c r="A583" s="5" t="s">
        <v>2506</v>
      </c>
      <c r="B583" s="5" t="s">
        <v>44</v>
      </c>
      <c r="C583" s="7" t="s">
        <v>163</v>
      </c>
      <c r="D583" s="8">
        <v>5</v>
      </c>
      <c r="E583" s="8">
        <v>0</v>
      </c>
      <c r="F583" s="8">
        <v>0</v>
      </c>
      <c r="G583" s="5"/>
      <c r="H583" s="5">
        <v>0</v>
      </c>
      <c r="I583" s="6" t="e">
        <f t="shared" si="9"/>
        <v>#DIV/0!</v>
      </c>
      <c r="J583" s="6">
        <f>D583/(VLOOKUP(B583,'[1]2022 Team'!$B$2:$G$33,2,FALSE))</f>
        <v>9.4161958568738224E-3</v>
      </c>
      <c r="K583" s="9">
        <v>0</v>
      </c>
      <c r="L583" s="5">
        <v>0</v>
      </c>
    </row>
    <row r="584" spans="1:12" x14ac:dyDescent="0.25">
      <c r="A584" s="5" t="s">
        <v>2368</v>
      </c>
      <c r="B584" s="5" t="s">
        <v>8</v>
      </c>
      <c r="C584" s="7" t="s">
        <v>82</v>
      </c>
      <c r="D584" s="8">
        <v>0</v>
      </c>
      <c r="E584" s="8">
        <v>0</v>
      </c>
      <c r="F584" s="8">
        <v>0</v>
      </c>
      <c r="G584" s="5"/>
      <c r="H584" s="5">
        <v>0</v>
      </c>
      <c r="I584" s="6" t="e">
        <f t="shared" si="9"/>
        <v>#DIV/0!</v>
      </c>
      <c r="J584" s="6">
        <f>D584/(VLOOKUP(B584,'[1]2022 Team'!$B$2:$G$33,2,FALSE))</f>
        <v>0</v>
      </c>
      <c r="K584" s="9"/>
      <c r="L584" s="5">
        <v>2</v>
      </c>
    </row>
    <row r="585" spans="1:12" x14ac:dyDescent="0.25">
      <c r="A585" s="5" t="s">
        <v>122</v>
      </c>
      <c r="B585" s="5" t="s">
        <v>32</v>
      </c>
      <c r="C585" s="7" t="s">
        <v>82</v>
      </c>
      <c r="D585" s="8">
        <v>0</v>
      </c>
      <c r="E585" s="8">
        <v>0</v>
      </c>
      <c r="F585" s="8">
        <v>0</v>
      </c>
      <c r="G585" s="5"/>
      <c r="H585" s="5">
        <v>0</v>
      </c>
      <c r="I585" s="6" t="e">
        <f t="shared" si="9"/>
        <v>#DIV/0!</v>
      </c>
      <c r="J585" s="6">
        <f>D585/(VLOOKUP(B585,'[1]2022 Team'!$B$2:$G$33,2,FALSE))</f>
        <v>0</v>
      </c>
      <c r="K585" s="9"/>
      <c r="L585" s="5">
        <v>8</v>
      </c>
    </row>
    <row r="586" spans="1:12" x14ac:dyDescent="0.25">
      <c r="A586" s="5" t="s">
        <v>149</v>
      </c>
      <c r="B586" s="5" t="s">
        <v>58</v>
      </c>
      <c r="C586" s="7" t="s">
        <v>82</v>
      </c>
      <c r="D586" s="8">
        <v>0</v>
      </c>
      <c r="E586" s="8">
        <v>0</v>
      </c>
      <c r="F586" s="8">
        <v>0</v>
      </c>
      <c r="G586" s="5"/>
      <c r="H586" s="5">
        <v>0</v>
      </c>
      <c r="I586" s="6" t="e">
        <f t="shared" si="9"/>
        <v>#DIV/0!</v>
      </c>
      <c r="J586" s="6">
        <f>D586/(VLOOKUP(B586,'[1]2022 Team'!$B$2:$G$33,2,FALSE))</f>
        <v>0</v>
      </c>
      <c r="K586" s="9"/>
      <c r="L586" s="5">
        <v>4</v>
      </c>
    </row>
    <row r="587" spans="1:12" x14ac:dyDescent="0.25">
      <c r="A587" s="5" t="s">
        <v>2442</v>
      </c>
      <c r="B587" s="5" t="s">
        <v>28</v>
      </c>
      <c r="C587" s="7" t="s">
        <v>755</v>
      </c>
      <c r="D587" s="8">
        <v>0</v>
      </c>
      <c r="E587" s="8">
        <v>0</v>
      </c>
      <c r="F587" s="8">
        <v>0</v>
      </c>
      <c r="G587" s="5"/>
      <c r="H587" s="5">
        <v>0</v>
      </c>
      <c r="I587" s="6" t="e">
        <f t="shared" si="9"/>
        <v>#DIV/0!</v>
      </c>
      <c r="J587" s="6">
        <f>D587/(VLOOKUP(B587,'[1]2022 Team'!$B$2:$G$33,2,FALSE))</f>
        <v>0</v>
      </c>
      <c r="K587" s="9"/>
      <c r="L587" s="5">
        <v>1</v>
      </c>
    </row>
    <row r="588" spans="1:12" x14ac:dyDescent="0.25">
      <c r="A588" s="5" t="s">
        <v>2511</v>
      </c>
      <c r="B588" s="5" t="s">
        <v>20</v>
      </c>
      <c r="C588" s="7" t="s">
        <v>163</v>
      </c>
      <c r="D588" s="8">
        <v>1</v>
      </c>
      <c r="E588" s="8">
        <v>0</v>
      </c>
      <c r="F588" s="8">
        <v>0</v>
      </c>
      <c r="G588" s="5"/>
      <c r="H588" s="5">
        <v>0</v>
      </c>
      <c r="I588" s="6" t="e">
        <f t="shared" si="9"/>
        <v>#DIV/0!</v>
      </c>
      <c r="J588" s="6">
        <f>D588/(VLOOKUP(B588,'[1]2022 Team'!$B$2:$G$33,2,FALSE))</f>
        <v>1.639344262295082E-3</v>
      </c>
      <c r="K588" s="9">
        <v>0</v>
      </c>
      <c r="L588" s="5">
        <v>0</v>
      </c>
    </row>
    <row r="589" spans="1:12" x14ac:dyDescent="0.25">
      <c r="A589" s="5" t="s">
        <v>155</v>
      </c>
      <c r="B589" s="5" t="s">
        <v>48</v>
      </c>
      <c r="C589" s="7" t="s">
        <v>82</v>
      </c>
      <c r="D589" s="8">
        <v>0</v>
      </c>
      <c r="E589" s="8">
        <v>0</v>
      </c>
      <c r="F589" s="8">
        <v>0</v>
      </c>
      <c r="G589" s="5"/>
      <c r="H589" s="5">
        <v>0</v>
      </c>
      <c r="I589" s="6" t="e">
        <f t="shared" si="9"/>
        <v>#DIV/0!</v>
      </c>
      <c r="J589" s="6">
        <f>D589/(VLOOKUP(B589,'[1]2022 Team'!$B$2:$G$33,2,FALSE))</f>
        <v>0</v>
      </c>
      <c r="K589" s="9"/>
      <c r="L589" s="5">
        <v>0</v>
      </c>
    </row>
    <row r="590" spans="1:12" x14ac:dyDescent="0.25">
      <c r="A590" s="5" t="s">
        <v>121</v>
      </c>
      <c r="B590" s="5" t="s">
        <v>8</v>
      </c>
      <c r="C590" s="7" t="s">
        <v>82</v>
      </c>
      <c r="D590" s="8">
        <v>0</v>
      </c>
      <c r="E590" s="8">
        <v>0</v>
      </c>
      <c r="F590" s="8">
        <v>0</v>
      </c>
      <c r="G590" s="5"/>
      <c r="H590" s="5">
        <v>0</v>
      </c>
      <c r="I590" s="6" t="e">
        <f t="shared" si="9"/>
        <v>#DIV/0!</v>
      </c>
      <c r="J590" s="6">
        <f>D590/(VLOOKUP(B590,'[1]2022 Team'!$B$2:$G$33,2,FALSE))</f>
        <v>0</v>
      </c>
      <c r="K590" s="9"/>
      <c r="L590" s="5">
        <v>8</v>
      </c>
    </row>
    <row r="591" spans="1:12" x14ac:dyDescent="0.25">
      <c r="A591" s="5" t="s">
        <v>469</v>
      </c>
      <c r="B591" s="5" t="s">
        <v>70</v>
      </c>
      <c r="C591" s="7" t="s">
        <v>159</v>
      </c>
      <c r="D591" s="8">
        <v>1</v>
      </c>
      <c r="E591" s="8">
        <v>0</v>
      </c>
      <c r="F591" s="8">
        <v>0</v>
      </c>
      <c r="G591" s="5"/>
      <c r="H591" s="5">
        <v>0</v>
      </c>
      <c r="I591" s="6" t="e">
        <f t="shared" si="9"/>
        <v>#DIV/0!</v>
      </c>
      <c r="J591" s="6">
        <f>D591/(VLOOKUP(B591,'[1]2022 Team'!$B$2:$G$33,2,FALSE))</f>
        <v>1.8050541516245488E-3</v>
      </c>
      <c r="K591" s="9">
        <v>0</v>
      </c>
      <c r="L591" s="5">
        <v>0</v>
      </c>
    </row>
    <row r="592" spans="1:12" x14ac:dyDescent="0.25">
      <c r="A592" s="5" t="s">
        <v>2374</v>
      </c>
      <c r="B592" s="5" t="s">
        <v>44</v>
      </c>
      <c r="C592" s="7" t="s">
        <v>82</v>
      </c>
      <c r="D592" s="8">
        <v>0</v>
      </c>
      <c r="E592" s="8">
        <v>0</v>
      </c>
      <c r="F592" s="8">
        <v>0</v>
      </c>
      <c r="G592" s="5"/>
      <c r="H592" s="5">
        <v>0</v>
      </c>
      <c r="I592" s="6" t="e">
        <f t="shared" si="9"/>
        <v>#DIV/0!</v>
      </c>
      <c r="J592" s="6">
        <f>D592/(VLOOKUP(B592,'[1]2022 Team'!$B$2:$G$33,2,FALSE))</f>
        <v>0</v>
      </c>
      <c r="K592" s="9"/>
      <c r="L592" s="5">
        <v>0</v>
      </c>
    </row>
    <row r="593" spans="1:12" x14ac:dyDescent="0.25">
      <c r="A593" s="5" t="s">
        <v>1585</v>
      </c>
      <c r="B593" s="5" t="s">
        <v>18</v>
      </c>
      <c r="C593" s="7" t="s">
        <v>82</v>
      </c>
      <c r="D593" s="8">
        <v>0</v>
      </c>
      <c r="E593" s="8">
        <v>0</v>
      </c>
      <c r="F593" s="8">
        <v>0</v>
      </c>
      <c r="G593" s="5"/>
      <c r="H593" s="5">
        <v>0</v>
      </c>
      <c r="I593" s="6" t="e">
        <f t="shared" si="9"/>
        <v>#DIV/0!</v>
      </c>
      <c r="J593" s="6">
        <f>D593/(VLOOKUP(B593,'[1]2022 Team'!$B$2:$G$33,2,FALSE))</f>
        <v>0</v>
      </c>
      <c r="K593" s="9"/>
      <c r="L593" s="5">
        <v>0</v>
      </c>
    </row>
    <row r="594" spans="1:12" x14ac:dyDescent="0.25">
      <c r="A594" s="5" t="s">
        <v>138</v>
      </c>
      <c r="B594" s="5" t="s">
        <v>60</v>
      </c>
      <c r="C594" s="7" t="s">
        <v>82</v>
      </c>
      <c r="D594" s="8">
        <v>0</v>
      </c>
      <c r="E594" s="8">
        <v>0</v>
      </c>
      <c r="F594" s="8">
        <v>0</v>
      </c>
      <c r="G594" s="5"/>
      <c r="H594" s="5">
        <v>0</v>
      </c>
      <c r="I594" s="6" t="e">
        <f t="shared" si="9"/>
        <v>#DIV/0!</v>
      </c>
      <c r="J594" s="6">
        <f>D594/(VLOOKUP(B594,'[1]2022 Team'!$B$2:$G$33,2,FALSE))</f>
        <v>0</v>
      </c>
      <c r="K594" s="9"/>
      <c r="L594" s="5">
        <v>4</v>
      </c>
    </row>
    <row r="595" spans="1:12" x14ac:dyDescent="0.25">
      <c r="A595" s="5" t="s">
        <v>83</v>
      </c>
      <c r="B595" s="5" t="s">
        <v>24</v>
      </c>
      <c r="C595" s="7" t="s">
        <v>82</v>
      </c>
      <c r="D595" s="8">
        <v>0</v>
      </c>
      <c r="E595" s="8">
        <v>0</v>
      </c>
      <c r="F595" s="8">
        <v>0</v>
      </c>
      <c r="G595" s="5"/>
      <c r="H595" s="5">
        <v>0</v>
      </c>
      <c r="I595" s="6" t="e">
        <f t="shared" si="9"/>
        <v>#DIV/0!</v>
      </c>
      <c r="J595" s="6">
        <f>D595/(VLOOKUP(B595,'[1]2022 Team'!$B$2:$G$33,2,FALSE))</f>
        <v>0</v>
      </c>
      <c r="K595" s="9"/>
      <c r="L595" s="5">
        <v>4</v>
      </c>
    </row>
    <row r="596" spans="1:12" x14ac:dyDescent="0.25">
      <c r="A596" s="5" t="s">
        <v>108</v>
      </c>
      <c r="B596" s="5" t="s">
        <v>62</v>
      </c>
      <c r="C596" s="7" t="s">
        <v>82</v>
      </c>
      <c r="D596" s="8">
        <v>0</v>
      </c>
      <c r="E596" s="8">
        <v>0</v>
      </c>
      <c r="F596" s="8">
        <v>0</v>
      </c>
      <c r="G596" s="5"/>
      <c r="H596" s="5">
        <v>0</v>
      </c>
      <c r="I596" s="6" t="e">
        <f t="shared" si="9"/>
        <v>#DIV/0!</v>
      </c>
      <c r="J596" s="6">
        <f>D596/(VLOOKUP(B596,'[1]2022 Team'!$B$2:$G$33,2,FALSE))</f>
        <v>0</v>
      </c>
      <c r="K596" s="9"/>
      <c r="L596" s="5">
        <v>0</v>
      </c>
    </row>
    <row r="597" spans="1:12" x14ac:dyDescent="0.25">
      <c r="A597" s="5" t="s">
        <v>1553</v>
      </c>
      <c r="B597" s="5" t="s">
        <v>10</v>
      </c>
      <c r="C597" s="7" t="s">
        <v>82</v>
      </c>
      <c r="D597" s="8">
        <v>0</v>
      </c>
      <c r="E597" s="8">
        <v>0</v>
      </c>
      <c r="F597" s="8">
        <v>0</v>
      </c>
      <c r="G597" s="5"/>
      <c r="H597" s="5">
        <v>0</v>
      </c>
      <c r="I597" s="6" t="e">
        <f t="shared" si="9"/>
        <v>#DIV/0!</v>
      </c>
      <c r="J597" s="6">
        <f>D597/(VLOOKUP(B597,'[1]2022 Team'!$B$2:$G$33,2,FALSE))</f>
        <v>0</v>
      </c>
      <c r="K597" s="9"/>
      <c r="L597" s="5">
        <v>3</v>
      </c>
    </row>
    <row r="598" spans="1:12" x14ac:dyDescent="0.25">
      <c r="A598" s="5" t="s">
        <v>92</v>
      </c>
      <c r="B598" s="5" t="s">
        <v>30</v>
      </c>
      <c r="C598" s="7" t="s">
        <v>82</v>
      </c>
      <c r="D598" s="8">
        <v>0</v>
      </c>
      <c r="E598" s="8">
        <v>0</v>
      </c>
      <c r="F598" s="8">
        <v>0</v>
      </c>
      <c r="G598" s="5"/>
      <c r="H598" s="5">
        <v>0</v>
      </c>
      <c r="I598" s="6" t="e">
        <f t="shared" si="9"/>
        <v>#DIV/0!</v>
      </c>
      <c r="J598" s="6">
        <f>D598/(VLOOKUP(B598,'[1]2022 Team'!$B$2:$G$33,2,FALSE))</f>
        <v>0</v>
      </c>
      <c r="K598" s="9"/>
      <c r="L598" s="5">
        <v>8</v>
      </c>
    </row>
    <row r="599" spans="1:12" x14ac:dyDescent="0.25">
      <c r="A599" s="5" t="s">
        <v>136</v>
      </c>
      <c r="B599" s="5" t="s">
        <v>24</v>
      </c>
      <c r="C599" s="7" t="s">
        <v>82</v>
      </c>
      <c r="D599" s="8">
        <v>0</v>
      </c>
      <c r="E599" s="8">
        <v>0</v>
      </c>
      <c r="F599" s="8">
        <v>0</v>
      </c>
      <c r="G599" s="5"/>
      <c r="H599" s="5">
        <v>0</v>
      </c>
      <c r="I599" s="6" t="e">
        <f t="shared" si="9"/>
        <v>#DIV/0!</v>
      </c>
      <c r="J599" s="6">
        <f>D599/(VLOOKUP(B599,'[1]2022 Team'!$B$2:$G$33,2,FALSE))</f>
        <v>0</v>
      </c>
      <c r="K599" s="9"/>
      <c r="L599" s="5">
        <v>2</v>
      </c>
    </row>
    <row r="600" spans="1:12" x14ac:dyDescent="0.25">
      <c r="A600" s="5" t="s">
        <v>2365</v>
      </c>
      <c r="B600" s="5" t="s">
        <v>34</v>
      </c>
      <c r="C600" s="7" t="s">
        <v>82</v>
      </c>
      <c r="D600" s="8">
        <v>0</v>
      </c>
      <c r="E600" s="8">
        <v>0</v>
      </c>
      <c r="F600" s="8">
        <v>0</v>
      </c>
      <c r="G600" s="5"/>
      <c r="H600" s="5">
        <v>0</v>
      </c>
      <c r="I600" s="6" t="e">
        <f t="shared" si="9"/>
        <v>#DIV/0!</v>
      </c>
      <c r="J600" s="6">
        <f>D600/(VLOOKUP(B600,'[1]2022 Team'!$B$2:$G$33,2,FALSE))</f>
        <v>0</v>
      </c>
      <c r="K600" s="9"/>
      <c r="L600" s="5">
        <v>15</v>
      </c>
    </row>
    <row r="601" spans="1:12" x14ac:dyDescent="0.25">
      <c r="A601" s="5" t="s">
        <v>183</v>
      </c>
      <c r="B601" s="5" t="s">
        <v>26</v>
      </c>
      <c r="C601" s="7" t="s">
        <v>82</v>
      </c>
      <c r="D601" s="8">
        <v>0</v>
      </c>
      <c r="E601" s="8">
        <v>0</v>
      </c>
      <c r="F601" s="8">
        <v>0</v>
      </c>
      <c r="G601" s="5"/>
      <c r="H601" s="5">
        <v>0</v>
      </c>
      <c r="I601" s="6" t="e">
        <f t="shared" si="9"/>
        <v>#DIV/0!</v>
      </c>
      <c r="J601" s="6">
        <f>D601/(VLOOKUP(B601,'[1]2022 Team'!$B$2:$G$33,2,FALSE))</f>
        <v>0</v>
      </c>
      <c r="K601" s="9"/>
      <c r="L601" s="5">
        <v>4</v>
      </c>
    </row>
    <row r="602" spans="1:12" x14ac:dyDescent="0.25">
      <c r="A602" s="5" t="s">
        <v>1682</v>
      </c>
      <c r="B602" s="5" t="s">
        <v>58</v>
      </c>
      <c r="C602" s="7" t="s">
        <v>159</v>
      </c>
      <c r="D602" s="8">
        <v>0</v>
      </c>
      <c r="E602" s="8">
        <v>0</v>
      </c>
      <c r="F602" s="8">
        <v>0</v>
      </c>
      <c r="G602" s="5"/>
      <c r="H602" s="5">
        <v>0</v>
      </c>
      <c r="I602" s="6" t="e">
        <f t="shared" si="9"/>
        <v>#DIV/0!</v>
      </c>
      <c r="J602" s="6">
        <f>D602/(VLOOKUP(B602,'[1]2022 Team'!$B$2:$G$33,2,FALSE))</f>
        <v>0</v>
      </c>
      <c r="K602" s="9"/>
      <c r="L602" s="5">
        <v>0</v>
      </c>
    </row>
    <row r="603" spans="1:12" x14ac:dyDescent="0.25">
      <c r="A603" s="5" t="s">
        <v>1561</v>
      </c>
      <c r="B603" s="5" t="s">
        <v>18</v>
      </c>
      <c r="C603" s="7" t="s">
        <v>82</v>
      </c>
      <c r="D603" s="8">
        <v>0</v>
      </c>
      <c r="E603" s="8">
        <v>0</v>
      </c>
      <c r="F603" s="8">
        <v>0</v>
      </c>
      <c r="G603" s="5"/>
      <c r="H603" s="5">
        <v>0</v>
      </c>
      <c r="I603" s="6" t="e">
        <f t="shared" si="9"/>
        <v>#DIV/0!</v>
      </c>
      <c r="J603" s="6">
        <f>D603/(VLOOKUP(B603,'[1]2022 Team'!$B$2:$G$33,2,FALSE))</f>
        <v>0</v>
      </c>
      <c r="K603" s="9"/>
      <c r="L603" s="5">
        <v>0</v>
      </c>
    </row>
    <row r="604" spans="1:12" x14ac:dyDescent="0.25">
      <c r="A604" s="5" t="s">
        <v>99</v>
      </c>
      <c r="B604" s="5" t="s">
        <v>64</v>
      </c>
      <c r="C604" s="7" t="s">
        <v>82</v>
      </c>
      <c r="D604" s="8">
        <v>0</v>
      </c>
      <c r="E604" s="8">
        <v>0</v>
      </c>
      <c r="F604" s="8">
        <v>0</v>
      </c>
      <c r="G604" s="5"/>
      <c r="H604" s="5">
        <v>0</v>
      </c>
      <c r="I604" s="6" t="e">
        <f t="shared" si="9"/>
        <v>#DIV/0!</v>
      </c>
      <c r="J604" s="6">
        <f>D604/(VLOOKUP(B604,'[1]2022 Team'!$B$2:$G$33,2,FALSE))</f>
        <v>0</v>
      </c>
      <c r="K604" s="9"/>
      <c r="L604" s="5">
        <v>8</v>
      </c>
    </row>
    <row r="605" spans="1:12" x14ac:dyDescent="0.25">
      <c r="A605" s="5" t="s">
        <v>84</v>
      </c>
      <c r="B605" s="5" t="s">
        <v>44</v>
      </c>
      <c r="C605" s="7" t="s">
        <v>82</v>
      </c>
      <c r="D605" s="8">
        <v>0</v>
      </c>
      <c r="E605" s="8">
        <v>0</v>
      </c>
      <c r="F605" s="8">
        <v>0</v>
      </c>
      <c r="G605" s="5"/>
      <c r="H605" s="5">
        <v>0</v>
      </c>
      <c r="I605" s="6" t="e">
        <f t="shared" si="9"/>
        <v>#DIV/0!</v>
      </c>
      <c r="J605" s="6">
        <f>D605/(VLOOKUP(B605,'[1]2022 Team'!$B$2:$G$33,2,FALSE))</f>
        <v>0</v>
      </c>
      <c r="K605" s="9"/>
      <c r="L605" s="5">
        <v>5</v>
      </c>
    </row>
    <row r="606" spans="1:12" x14ac:dyDescent="0.25">
      <c r="A606" s="5" t="s">
        <v>2457</v>
      </c>
      <c r="B606" s="5" t="s">
        <v>32</v>
      </c>
      <c r="C606" s="7" t="s">
        <v>980</v>
      </c>
      <c r="D606" s="8">
        <v>0</v>
      </c>
      <c r="E606" s="8">
        <v>0</v>
      </c>
      <c r="F606" s="8">
        <v>0</v>
      </c>
      <c r="G606" s="5"/>
      <c r="H606" s="5">
        <v>0</v>
      </c>
      <c r="I606" s="6" t="e">
        <f t="shared" si="9"/>
        <v>#DIV/0!</v>
      </c>
      <c r="J606" s="6">
        <f>D606/(VLOOKUP(B606,'[1]2022 Team'!$B$2:$G$33,2,FALSE))</f>
        <v>0</v>
      </c>
      <c r="K606" s="9"/>
      <c r="L606" s="5">
        <v>0</v>
      </c>
    </row>
    <row r="607" spans="1:12" x14ac:dyDescent="0.25">
      <c r="A607" s="5" t="s">
        <v>782</v>
      </c>
      <c r="B607" s="5" t="s">
        <v>40</v>
      </c>
      <c r="C607" s="7" t="s">
        <v>82</v>
      </c>
      <c r="D607" s="8">
        <v>0</v>
      </c>
      <c r="E607" s="8">
        <v>0</v>
      </c>
      <c r="F607" s="8">
        <v>0</v>
      </c>
      <c r="G607" s="5"/>
      <c r="H607" s="5">
        <v>0</v>
      </c>
      <c r="I607" s="6" t="e">
        <f t="shared" si="9"/>
        <v>#DIV/0!</v>
      </c>
      <c r="J607" s="6">
        <f>D607/(VLOOKUP(B607,'[1]2022 Team'!$B$2:$G$33,2,FALSE))</f>
        <v>0</v>
      </c>
      <c r="K607" s="9"/>
      <c r="L607" s="5">
        <v>3</v>
      </c>
    </row>
    <row r="608" spans="1:12" x14ac:dyDescent="0.25">
      <c r="A608" s="5" t="s">
        <v>2375</v>
      </c>
      <c r="B608" s="5" t="s">
        <v>56</v>
      </c>
      <c r="C608" s="7" t="s">
        <v>82</v>
      </c>
      <c r="D608" s="8">
        <v>0</v>
      </c>
      <c r="E608" s="8">
        <v>0</v>
      </c>
      <c r="F608" s="8">
        <v>0</v>
      </c>
      <c r="G608" s="5"/>
      <c r="H608" s="5">
        <v>0</v>
      </c>
      <c r="I608" s="6" t="e">
        <f t="shared" si="9"/>
        <v>#DIV/0!</v>
      </c>
      <c r="J608" s="6">
        <f>D608/(VLOOKUP(B608,'[1]2022 Team'!$B$2:$G$33,2,FALSE))</f>
        <v>0</v>
      </c>
      <c r="K608" s="9"/>
      <c r="L608" s="5">
        <v>1</v>
      </c>
    </row>
    <row r="609" spans="1:12" x14ac:dyDescent="0.25">
      <c r="A609" s="5" t="s">
        <v>2382</v>
      </c>
      <c r="B609" s="5" t="s">
        <v>28</v>
      </c>
      <c r="C609" s="7" t="s">
        <v>82</v>
      </c>
      <c r="D609" s="8">
        <v>0</v>
      </c>
      <c r="E609" s="8">
        <v>0</v>
      </c>
      <c r="F609" s="8">
        <v>0</v>
      </c>
      <c r="G609" s="5"/>
      <c r="H609" s="5">
        <v>0</v>
      </c>
      <c r="I609" s="6" t="e">
        <f t="shared" si="9"/>
        <v>#DIV/0!</v>
      </c>
      <c r="J609" s="6">
        <f>D609/(VLOOKUP(B609,'[1]2022 Team'!$B$2:$G$33,2,FALSE))</f>
        <v>0</v>
      </c>
      <c r="K609" s="9"/>
      <c r="L609" s="5">
        <v>0</v>
      </c>
    </row>
    <row r="610" spans="1:12" x14ac:dyDescent="0.25">
      <c r="A610" s="5" t="s">
        <v>103</v>
      </c>
      <c r="B610" s="5" t="s">
        <v>46</v>
      </c>
      <c r="C610" s="7" t="s">
        <v>82</v>
      </c>
      <c r="D610" s="8">
        <v>0</v>
      </c>
      <c r="E610" s="8">
        <v>0</v>
      </c>
      <c r="F610" s="8">
        <v>0</v>
      </c>
      <c r="G610" s="5"/>
      <c r="H610" s="5">
        <v>0</v>
      </c>
      <c r="I610" s="6" t="e">
        <f t="shared" si="9"/>
        <v>#DIV/0!</v>
      </c>
      <c r="J610" s="6">
        <f>D610/(VLOOKUP(B610,'[1]2022 Team'!$B$2:$G$33,2,FALSE))</f>
        <v>0</v>
      </c>
      <c r="K610" s="9"/>
      <c r="L610" s="5">
        <v>6</v>
      </c>
    </row>
    <row r="611" spans="1:12" x14ac:dyDescent="0.25">
      <c r="A611" s="5" t="s">
        <v>1555</v>
      </c>
      <c r="B611" s="5" t="s">
        <v>68</v>
      </c>
      <c r="C611" s="7" t="s">
        <v>82</v>
      </c>
      <c r="D611" s="8">
        <v>0</v>
      </c>
      <c r="E611" s="8">
        <v>0</v>
      </c>
      <c r="F611" s="8">
        <v>0</v>
      </c>
      <c r="G611" s="5"/>
      <c r="H611" s="5">
        <v>0</v>
      </c>
      <c r="I611" s="6" t="e">
        <f t="shared" si="9"/>
        <v>#DIV/0!</v>
      </c>
      <c r="J611" s="6">
        <f>D611/(VLOOKUP(B611,'[1]2022 Team'!$B$2:$G$33,2,FALSE))</f>
        <v>0</v>
      </c>
      <c r="K611" s="9"/>
      <c r="L611" s="5">
        <v>3</v>
      </c>
    </row>
    <row r="612" spans="1:12" x14ac:dyDescent="0.25">
      <c r="A612" s="5" t="s">
        <v>124</v>
      </c>
      <c r="B612" s="5" t="s">
        <v>54</v>
      </c>
      <c r="C612" s="7" t="s">
        <v>82</v>
      </c>
      <c r="D612" s="8">
        <v>0</v>
      </c>
      <c r="E612" s="8">
        <v>0</v>
      </c>
      <c r="F612" s="8">
        <v>0</v>
      </c>
      <c r="G612" s="5"/>
      <c r="H612" s="5">
        <v>0</v>
      </c>
      <c r="I612" s="6" t="e">
        <f t="shared" si="9"/>
        <v>#DIV/0!</v>
      </c>
      <c r="J612" s="6">
        <f>D612/(VLOOKUP(B612,'[1]2022 Team'!$B$2:$G$33,2,FALSE))</f>
        <v>0</v>
      </c>
      <c r="K612" s="9"/>
      <c r="L612" s="5">
        <v>2</v>
      </c>
    </row>
    <row r="613" spans="1:12" x14ac:dyDescent="0.25">
      <c r="A613" s="5" t="s">
        <v>2078</v>
      </c>
      <c r="B613" s="5" t="s">
        <v>46</v>
      </c>
      <c r="C613" s="7" t="s">
        <v>82</v>
      </c>
      <c r="D613" s="8">
        <v>0</v>
      </c>
      <c r="E613" s="8">
        <v>0</v>
      </c>
      <c r="F613" s="8">
        <v>0</v>
      </c>
      <c r="G613" s="5"/>
      <c r="H613" s="5">
        <v>0</v>
      </c>
      <c r="I613" s="6" t="e">
        <f t="shared" si="9"/>
        <v>#DIV/0!</v>
      </c>
      <c r="J613" s="6">
        <f>D613/(VLOOKUP(B613,'[1]2022 Team'!$B$2:$G$33,2,FALSE))</f>
        <v>0</v>
      </c>
      <c r="K613" s="9"/>
      <c r="L613" s="5">
        <v>2</v>
      </c>
    </row>
    <row r="614" spans="1:12" x14ac:dyDescent="0.25">
      <c r="A614" s="5" t="s">
        <v>2525</v>
      </c>
      <c r="B614" s="5" t="s">
        <v>58</v>
      </c>
      <c r="C614" s="7" t="s">
        <v>153</v>
      </c>
      <c r="D614" s="8">
        <v>1</v>
      </c>
      <c r="E614" s="8">
        <v>0</v>
      </c>
      <c r="F614" s="8">
        <v>0</v>
      </c>
      <c r="G614" s="5"/>
      <c r="H614" s="5">
        <v>0</v>
      </c>
      <c r="I614" s="6" t="e">
        <f t="shared" si="9"/>
        <v>#DIV/0!</v>
      </c>
      <c r="J614" s="6">
        <f>D614/(VLOOKUP(B614,'[1]2022 Team'!$B$2:$G$33,2,FALSE))</f>
        <v>1.8656716417910447E-3</v>
      </c>
      <c r="K614" s="9">
        <v>0</v>
      </c>
      <c r="L614" s="5">
        <v>0</v>
      </c>
    </row>
    <row r="615" spans="1:12" x14ac:dyDescent="0.25">
      <c r="A615" s="5" t="s">
        <v>1018</v>
      </c>
      <c r="B615" s="5" t="s">
        <v>18</v>
      </c>
      <c r="C615" s="7" t="s">
        <v>153</v>
      </c>
      <c r="D615" s="8">
        <v>1</v>
      </c>
      <c r="E615" s="8">
        <v>0</v>
      </c>
      <c r="F615" s="8">
        <v>0</v>
      </c>
      <c r="G615" s="5"/>
      <c r="H615" s="5">
        <v>0</v>
      </c>
      <c r="I615" s="6" t="e">
        <f t="shared" si="9"/>
        <v>#DIV/0!</v>
      </c>
      <c r="J615" s="6">
        <f>D615/(VLOOKUP(B615,'[1]2022 Team'!$B$2:$G$33,2,FALSE))</f>
        <v>2.6525198938992041E-3</v>
      </c>
      <c r="K615" s="9">
        <v>0</v>
      </c>
      <c r="L615" s="5">
        <v>0</v>
      </c>
    </row>
    <row r="616" spans="1:12" x14ac:dyDescent="0.25">
      <c r="A616" s="5" t="s">
        <v>141</v>
      </c>
      <c r="B616" s="5" t="s">
        <v>60</v>
      </c>
      <c r="C616" s="7" t="s">
        <v>82</v>
      </c>
      <c r="D616" s="8">
        <v>0</v>
      </c>
      <c r="E616" s="8">
        <v>0</v>
      </c>
      <c r="F616" s="8">
        <v>0</v>
      </c>
      <c r="G616" s="5"/>
      <c r="H616" s="5">
        <v>0</v>
      </c>
      <c r="I616" s="6" t="e">
        <f t="shared" si="9"/>
        <v>#DIV/0!</v>
      </c>
      <c r="J616" s="6">
        <f>D616/(VLOOKUP(B616,'[1]2022 Team'!$B$2:$G$33,2,FALSE))</f>
        <v>0</v>
      </c>
      <c r="K616" s="9"/>
      <c r="L616" s="5">
        <v>0</v>
      </c>
    </row>
    <row r="617" spans="1:12" x14ac:dyDescent="0.25">
      <c r="A617" s="5" t="s">
        <v>2151</v>
      </c>
      <c r="B617" s="5" t="s">
        <v>40</v>
      </c>
      <c r="C617" s="7" t="s">
        <v>163</v>
      </c>
      <c r="D617" s="8">
        <v>1</v>
      </c>
      <c r="E617" s="8">
        <v>0</v>
      </c>
      <c r="F617" s="8">
        <v>0</v>
      </c>
      <c r="G617" s="5"/>
      <c r="H617" s="5">
        <v>0</v>
      </c>
      <c r="I617" s="6" t="e">
        <f t="shared" si="9"/>
        <v>#DIV/0!</v>
      </c>
      <c r="J617" s="6">
        <f>D617/(VLOOKUP(B617,'[1]2022 Team'!$B$2:$G$33,2,FALSE))</f>
        <v>1.7064846416382253E-3</v>
      </c>
      <c r="K617" s="9">
        <v>0</v>
      </c>
      <c r="L617" s="5">
        <v>1</v>
      </c>
    </row>
    <row r="618" spans="1:12" x14ac:dyDescent="0.25">
      <c r="A618" s="5" t="s">
        <v>1562</v>
      </c>
      <c r="B618" s="5" t="s">
        <v>16</v>
      </c>
      <c r="C618" s="7" t="s">
        <v>82</v>
      </c>
      <c r="D618" s="8">
        <v>0</v>
      </c>
      <c r="E618" s="8">
        <v>0</v>
      </c>
      <c r="F618" s="8">
        <v>0</v>
      </c>
      <c r="G618" s="5"/>
      <c r="H618" s="5">
        <v>0</v>
      </c>
      <c r="I618" s="6" t="e">
        <f t="shared" si="9"/>
        <v>#DIV/0!</v>
      </c>
      <c r="J618" s="6">
        <f>D618/(VLOOKUP(B618,'[1]2022 Team'!$B$2:$G$33,2,FALSE))</f>
        <v>0</v>
      </c>
      <c r="K618" s="9"/>
      <c r="L618" s="5">
        <v>0</v>
      </c>
    </row>
    <row r="619" spans="1:12" x14ac:dyDescent="0.25">
      <c r="A619" s="5" t="s">
        <v>2527</v>
      </c>
      <c r="B619" s="5" t="s">
        <v>24</v>
      </c>
      <c r="C619" s="7" t="s">
        <v>163</v>
      </c>
      <c r="D619" s="8">
        <v>1</v>
      </c>
      <c r="E619" s="8">
        <v>0</v>
      </c>
      <c r="F619" s="8">
        <v>0</v>
      </c>
      <c r="G619" s="5"/>
      <c r="H619" s="5">
        <v>0</v>
      </c>
      <c r="I619" s="6" t="e">
        <f t="shared" ref="I619:I629" si="10">H619/E619</f>
        <v>#DIV/0!</v>
      </c>
      <c r="J619" s="6">
        <f>D619/(VLOOKUP(B619,'[1]2022 Team'!$B$2:$G$33,2,FALSE))</f>
        <v>1.7985611510791368E-3</v>
      </c>
      <c r="K619" s="9">
        <v>0</v>
      </c>
      <c r="L619" s="5">
        <v>0</v>
      </c>
    </row>
    <row r="620" spans="1:12" x14ac:dyDescent="0.25">
      <c r="A620" s="5" t="s">
        <v>1558</v>
      </c>
      <c r="B620" s="5" t="s">
        <v>22</v>
      </c>
      <c r="C620" s="7" t="s">
        <v>82</v>
      </c>
      <c r="D620" s="8">
        <v>0</v>
      </c>
      <c r="E620" s="8">
        <v>0</v>
      </c>
      <c r="F620" s="8">
        <v>0</v>
      </c>
      <c r="G620" s="5"/>
      <c r="H620" s="5">
        <v>0</v>
      </c>
      <c r="I620" s="6" t="e">
        <f t="shared" si="10"/>
        <v>#DIV/0!</v>
      </c>
      <c r="J620" s="6">
        <f>D620/(VLOOKUP(B620,'[1]2022 Team'!$B$2:$G$33,2,FALSE))</f>
        <v>0</v>
      </c>
      <c r="K620" s="9"/>
      <c r="L620" s="5">
        <v>1</v>
      </c>
    </row>
    <row r="621" spans="1:12" x14ac:dyDescent="0.25">
      <c r="A621" s="5" t="s">
        <v>2373</v>
      </c>
      <c r="B621" s="5" t="s">
        <v>54</v>
      </c>
      <c r="C621" s="7" t="s">
        <v>82</v>
      </c>
      <c r="D621" s="8">
        <v>0</v>
      </c>
      <c r="E621" s="8">
        <v>0</v>
      </c>
      <c r="F621" s="8">
        <v>0</v>
      </c>
      <c r="G621" s="5"/>
      <c r="H621" s="5">
        <v>0</v>
      </c>
      <c r="I621" s="6" t="e">
        <f t="shared" si="10"/>
        <v>#DIV/0!</v>
      </c>
      <c r="J621" s="6">
        <f>D621/(VLOOKUP(B621,'[1]2022 Team'!$B$2:$G$33,2,FALSE))</f>
        <v>0</v>
      </c>
      <c r="K621" s="9"/>
      <c r="L621" s="5">
        <v>0</v>
      </c>
    </row>
    <row r="622" spans="1:12" x14ac:dyDescent="0.25">
      <c r="A622" s="5" t="s">
        <v>120</v>
      </c>
      <c r="B622" s="5" t="s">
        <v>70</v>
      </c>
      <c r="C622" s="7" t="s">
        <v>82</v>
      </c>
      <c r="D622" s="8">
        <v>0</v>
      </c>
      <c r="E622" s="8">
        <v>0</v>
      </c>
      <c r="F622" s="8">
        <v>0</v>
      </c>
      <c r="G622" s="5"/>
      <c r="H622" s="5">
        <v>0</v>
      </c>
      <c r="I622" s="6" t="e">
        <f t="shared" si="10"/>
        <v>#DIV/0!</v>
      </c>
      <c r="J622" s="6">
        <f>D622/(VLOOKUP(B622,'[1]2022 Team'!$B$2:$G$33,2,FALSE))</f>
        <v>0</v>
      </c>
      <c r="K622" s="9"/>
      <c r="L622" s="5">
        <v>6</v>
      </c>
    </row>
    <row r="623" spans="1:12" x14ac:dyDescent="0.25">
      <c r="A623" s="5" t="s">
        <v>1572</v>
      </c>
      <c r="B623" s="5" t="s">
        <v>56</v>
      </c>
      <c r="C623" s="7" t="s">
        <v>82</v>
      </c>
      <c r="D623" s="8">
        <v>0</v>
      </c>
      <c r="E623" s="8">
        <v>0</v>
      </c>
      <c r="F623" s="8">
        <v>0</v>
      </c>
      <c r="G623" s="5"/>
      <c r="H623" s="5">
        <v>0</v>
      </c>
      <c r="I623" s="6" t="e">
        <f t="shared" si="10"/>
        <v>#DIV/0!</v>
      </c>
      <c r="J623" s="6">
        <f>D623/(VLOOKUP(B623,'[1]2022 Team'!$B$2:$G$33,2,FALSE))</f>
        <v>0</v>
      </c>
      <c r="K623" s="9"/>
      <c r="L623" s="5">
        <v>2</v>
      </c>
    </row>
    <row r="624" spans="1:12" x14ac:dyDescent="0.25">
      <c r="A624" s="5" t="s">
        <v>576</v>
      </c>
      <c r="B624" s="5" t="s">
        <v>40</v>
      </c>
      <c r="C624" s="7" t="s">
        <v>159</v>
      </c>
      <c r="D624" s="8">
        <v>0</v>
      </c>
      <c r="E624" s="8">
        <v>0</v>
      </c>
      <c r="F624" s="8">
        <v>0</v>
      </c>
      <c r="G624" s="5"/>
      <c r="H624" s="5">
        <v>0</v>
      </c>
      <c r="I624" s="6" t="e">
        <f t="shared" si="10"/>
        <v>#DIV/0!</v>
      </c>
      <c r="J624" s="6">
        <f>D624/(VLOOKUP(B624,'[1]2022 Team'!$B$2:$G$33,2,FALSE))</f>
        <v>0</v>
      </c>
      <c r="K624" s="9"/>
      <c r="L624" s="5">
        <v>0</v>
      </c>
    </row>
    <row r="625" spans="1:12" x14ac:dyDescent="0.25">
      <c r="A625" s="5" t="s">
        <v>1707</v>
      </c>
      <c r="B625" s="5" t="s">
        <v>10</v>
      </c>
      <c r="C625" s="7" t="s">
        <v>159</v>
      </c>
      <c r="D625" s="8">
        <v>0</v>
      </c>
      <c r="E625" s="8">
        <v>0</v>
      </c>
      <c r="F625" s="8">
        <v>0</v>
      </c>
      <c r="G625" s="5"/>
      <c r="H625" s="5">
        <v>0</v>
      </c>
      <c r="I625" s="6" t="e">
        <f t="shared" si="10"/>
        <v>#DIV/0!</v>
      </c>
      <c r="J625" s="6">
        <f>D625/(VLOOKUP(B625,'[1]2022 Team'!$B$2:$G$33,2,FALSE))</f>
        <v>0</v>
      </c>
      <c r="K625" s="9"/>
      <c r="L625" s="5">
        <v>0</v>
      </c>
    </row>
    <row r="626" spans="1:12" x14ac:dyDescent="0.25">
      <c r="A626" s="5" t="s">
        <v>142</v>
      </c>
      <c r="B626" s="5" t="s">
        <v>68</v>
      </c>
      <c r="C626" s="7" t="s">
        <v>82</v>
      </c>
      <c r="D626" s="8">
        <v>0</v>
      </c>
      <c r="E626" s="8">
        <v>0</v>
      </c>
      <c r="F626" s="8">
        <v>0</v>
      </c>
      <c r="G626" s="5"/>
      <c r="H626" s="5">
        <v>0</v>
      </c>
      <c r="I626" s="6" t="e">
        <f t="shared" si="10"/>
        <v>#DIV/0!</v>
      </c>
      <c r="J626" s="6">
        <f>D626/(VLOOKUP(B626,'[1]2022 Team'!$B$2:$G$33,2,FALSE))</f>
        <v>0</v>
      </c>
      <c r="K626" s="9"/>
      <c r="L626" s="5">
        <v>3</v>
      </c>
    </row>
    <row r="627" spans="1:12" x14ac:dyDescent="0.25">
      <c r="A627" s="5" t="s">
        <v>132</v>
      </c>
      <c r="B627" s="5" t="s">
        <v>52</v>
      </c>
      <c r="C627" s="7" t="s">
        <v>82</v>
      </c>
      <c r="D627" s="8">
        <v>0</v>
      </c>
      <c r="E627" s="8">
        <v>0</v>
      </c>
      <c r="F627" s="8">
        <v>0</v>
      </c>
      <c r="G627" s="5"/>
      <c r="H627" s="5">
        <v>0</v>
      </c>
      <c r="I627" s="6" t="e">
        <f t="shared" si="10"/>
        <v>#DIV/0!</v>
      </c>
      <c r="J627" s="6">
        <f>D627/(VLOOKUP(B627,'[1]2022 Team'!$B$2:$G$33,2,FALSE))</f>
        <v>0</v>
      </c>
      <c r="K627" s="9"/>
      <c r="L627" s="5">
        <v>3</v>
      </c>
    </row>
    <row r="628" spans="1:12" x14ac:dyDescent="0.25">
      <c r="A628" s="5" t="s">
        <v>811</v>
      </c>
      <c r="B628" s="5" t="s">
        <v>62</v>
      </c>
      <c r="C628" s="7" t="s">
        <v>153</v>
      </c>
      <c r="D628" s="8">
        <v>2</v>
      </c>
      <c r="E628" s="8">
        <v>0</v>
      </c>
      <c r="F628" s="8">
        <v>0</v>
      </c>
      <c r="G628" s="5"/>
      <c r="H628" s="5">
        <v>0</v>
      </c>
      <c r="I628" s="6" t="e">
        <f t="shared" si="10"/>
        <v>#DIV/0!</v>
      </c>
      <c r="J628" s="6">
        <f>D628/(VLOOKUP(B628,'[1]2022 Team'!$B$2:$G$33,2,FALSE))</f>
        <v>3.90625E-3</v>
      </c>
      <c r="K628" s="9">
        <v>0</v>
      </c>
      <c r="L628" s="5">
        <v>0</v>
      </c>
    </row>
    <row r="629" spans="1:12" x14ac:dyDescent="0.25">
      <c r="A629" s="5" t="s">
        <v>2370</v>
      </c>
      <c r="B629" s="5" t="s">
        <v>44</v>
      </c>
      <c r="C629" s="7" t="s">
        <v>82</v>
      </c>
      <c r="D629" s="8">
        <v>0</v>
      </c>
      <c r="E629" s="8">
        <v>0</v>
      </c>
      <c r="F629" s="8">
        <v>0</v>
      </c>
      <c r="G629" s="5"/>
      <c r="H629" s="5">
        <v>0</v>
      </c>
      <c r="I629" s="6" t="e">
        <f t="shared" si="10"/>
        <v>#DIV/0!</v>
      </c>
      <c r="J629" s="6">
        <f>D629/(VLOOKUP(B629,'[1]2022 Team'!$B$2:$G$33,2,FALSE))</f>
        <v>0</v>
      </c>
      <c r="K629" s="9"/>
      <c r="L629" s="5">
        <v>3</v>
      </c>
    </row>
  </sheetData>
  <autoFilter ref="A1:L629" xr:uid="{59A35632-2C62-400A-AFCC-960A9C63C35F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7CB6-5964-4416-88C9-D3AE15B2000A}">
  <dimension ref="A1:L655"/>
  <sheetViews>
    <sheetView workbookViewId="0"/>
  </sheetViews>
  <sheetFormatPr defaultRowHeight="15" x14ac:dyDescent="0.25"/>
  <sheetData>
    <row r="1" spans="1:12" x14ac:dyDescent="0.25">
      <c r="A1" t="s">
        <v>71</v>
      </c>
      <c r="B1" t="s">
        <v>0</v>
      </c>
      <c r="C1" s="1" t="s">
        <v>72</v>
      </c>
      <c r="D1" s="4" t="s">
        <v>1051</v>
      </c>
      <c r="E1" s="4" t="s">
        <v>1052</v>
      </c>
      <c r="F1" s="4" t="s">
        <v>76</v>
      </c>
      <c r="G1" t="s">
        <v>1053</v>
      </c>
      <c r="H1" t="s">
        <v>188</v>
      </c>
      <c r="I1" s="3" t="s">
        <v>189</v>
      </c>
      <c r="J1" s="3" t="s">
        <v>1054</v>
      </c>
      <c r="K1" t="s">
        <v>1055</v>
      </c>
      <c r="L1" t="s">
        <v>1056</v>
      </c>
    </row>
    <row r="2" spans="1:12" x14ac:dyDescent="0.25">
      <c r="A2" s="5" t="s">
        <v>181</v>
      </c>
      <c r="B2" s="5" t="s">
        <v>44</v>
      </c>
      <c r="C2" s="7" t="s">
        <v>163</v>
      </c>
      <c r="D2" s="8">
        <v>191</v>
      </c>
      <c r="E2" s="8">
        <v>145</v>
      </c>
      <c r="F2" s="8">
        <v>1947</v>
      </c>
      <c r="G2" s="5">
        <v>13.4</v>
      </c>
      <c r="H2" s="5">
        <v>16</v>
      </c>
      <c r="I2" s="6">
        <f t="shared" ref="I2:I64" si="0">H2/E2</f>
        <v>0.1103448275862069</v>
      </c>
      <c r="J2" s="6">
        <f>D2/(VLOOKUP(B2,'[1]2021 Team'!$B$2:$G$33,2,FALSE))</f>
        <v>0.31466227347611203</v>
      </c>
      <c r="K2" s="9">
        <v>75.900000000000006</v>
      </c>
      <c r="L2" s="5">
        <v>0</v>
      </c>
    </row>
    <row r="3" spans="1:12" x14ac:dyDescent="0.25">
      <c r="A3" s="5" t="s">
        <v>924</v>
      </c>
      <c r="B3" s="5" t="s">
        <v>30</v>
      </c>
      <c r="C3" s="7" t="s">
        <v>163</v>
      </c>
      <c r="D3" s="8">
        <v>169</v>
      </c>
      <c r="E3" s="8">
        <v>123</v>
      </c>
      <c r="F3" s="8">
        <v>1553</v>
      </c>
      <c r="G3" s="5">
        <v>12.6</v>
      </c>
      <c r="H3" s="5">
        <v>11</v>
      </c>
      <c r="I3" s="6">
        <f t="shared" si="0"/>
        <v>8.943089430894309E-2</v>
      </c>
      <c r="J3" s="6">
        <f>D3/(VLOOKUP(B3,'[1]2021 Team'!$B$2:$G$33,2,FALSE))</f>
        <v>0.28499156829679595</v>
      </c>
      <c r="K3" s="9">
        <v>72.8</v>
      </c>
      <c r="L3" s="5">
        <v>0</v>
      </c>
    </row>
    <row r="4" spans="1:12" x14ac:dyDescent="0.25">
      <c r="A4" s="5" t="s">
        <v>944</v>
      </c>
      <c r="B4" s="5" t="s">
        <v>38</v>
      </c>
      <c r="C4" s="7" t="s">
        <v>163</v>
      </c>
      <c r="D4" s="8">
        <v>159</v>
      </c>
      <c r="E4" s="8">
        <v>111</v>
      </c>
      <c r="F4" s="8">
        <v>1239</v>
      </c>
      <c r="G4" s="5">
        <v>11.2</v>
      </c>
      <c r="H4" s="5">
        <v>9</v>
      </c>
      <c r="I4" s="6">
        <f t="shared" si="0"/>
        <v>8.1081081081081086E-2</v>
      </c>
      <c r="J4" s="6">
        <f>D4/(VLOOKUP(B4,'[1]2021 Team'!$B$2:$G$33,2,FALSE))</f>
        <v>0.23555555555555555</v>
      </c>
      <c r="K4" s="9">
        <v>69.8</v>
      </c>
      <c r="L4" s="5">
        <v>2</v>
      </c>
    </row>
    <row r="5" spans="1:12" x14ac:dyDescent="0.25">
      <c r="A5" s="5" t="s">
        <v>700</v>
      </c>
      <c r="B5" s="5" t="s">
        <v>48</v>
      </c>
      <c r="C5" s="7" t="s">
        <v>163</v>
      </c>
      <c r="D5" s="8">
        <v>167</v>
      </c>
      <c r="E5" s="8">
        <v>108</v>
      </c>
      <c r="F5" s="8">
        <v>1616</v>
      </c>
      <c r="G5" s="5">
        <v>15</v>
      </c>
      <c r="H5" s="5">
        <v>10</v>
      </c>
      <c r="I5" s="6">
        <f t="shared" si="0"/>
        <v>9.2592592592592587E-2</v>
      </c>
      <c r="J5" s="6">
        <f>D5/(VLOOKUP(B5,'[1]2021 Team'!$B$2:$G$33,2,FALSE))</f>
        <v>0.27649006622516559</v>
      </c>
      <c r="K5" s="9">
        <v>64.7</v>
      </c>
      <c r="L5" s="5">
        <v>1</v>
      </c>
    </row>
    <row r="6" spans="1:12" x14ac:dyDescent="0.25">
      <c r="A6" s="5" t="s">
        <v>571</v>
      </c>
      <c r="B6" s="5" t="s">
        <v>12</v>
      </c>
      <c r="C6" s="7" t="s">
        <v>153</v>
      </c>
      <c r="D6" s="8">
        <v>153</v>
      </c>
      <c r="E6" s="8">
        <v>107</v>
      </c>
      <c r="F6" s="8">
        <v>1361</v>
      </c>
      <c r="G6" s="5">
        <v>12.7</v>
      </c>
      <c r="H6" s="5">
        <v>9</v>
      </c>
      <c r="I6" s="6">
        <f t="shared" si="0"/>
        <v>8.4112149532710276E-2</v>
      </c>
      <c r="J6" s="6">
        <f>D6/(VLOOKUP(B6,'[1]2021 Team'!$B$2:$G$33,2,FALSE))</f>
        <v>0.25040916530278234</v>
      </c>
      <c r="K6" s="9">
        <v>69.900000000000006</v>
      </c>
      <c r="L6" s="5">
        <v>1</v>
      </c>
    </row>
    <row r="7" spans="1:12" x14ac:dyDescent="0.25">
      <c r="A7" s="5" t="s">
        <v>1812</v>
      </c>
      <c r="B7" s="5" t="s">
        <v>60</v>
      </c>
      <c r="C7" s="7" t="s">
        <v>163</v>
      </c>
      <c r="D7" s="8">
        <v>169</v>
      </c>
      <c r="E7" s="8">
        <v>107</v>
      </c>
      <c r="F7" s="8">
        <v>1161</v>
      </c>
      <c r="G7" s="5">
        <v>10.9</v>
      </c>
      <c r="H7" s="5">
        <v>8</v>
      </c>
      <c r="I7" s="6">
        <f t="shared" si="0"/>
        <v>7.476635514018691E-2</v>
      </c>
      <c r="J7" s="6">
        <f>D7/(VLOOKUP(B7,'[1]2021 Team'!$B$2:$G$33,2,FALSE))</f>
        <v>0.25451807228915663</v>
      </c>
      <c r="K7" s="9">
        <v>63.3</v>
      </c>
      <c r="L7" s="5">
        <v>2</v>
      </c>
    </row>
    <row r="8" spans="1:12" x14ac:dyDescent="0.25">
      <c r="A8" s="5" t="s">
        <v>916</v>
      </c>
      <c r="B8" s="5" t="s">
        <v>42</v>
      </c>
      <c r="C8" s="7" t="s">
        <v>163</v>
      </c>
      <c r="D8" s="8">
        <v>157</v>
      </c>
      <c r="E8" s="8">
        <v>106</v>
      </c>
      <c r="F8" s="8">
        <v>1138</v>
      </c>
      <c r="G8" s="5">
        <v>10.7</v>
      </c>
      <c r="H8" s="5">
        <v>6</v>
      </c>
      <c r="I8" s="6">
        <f t="shared" si="0"/>
        <v>5.6603773584905662E-2</v>
      </c>
      <c r="J8" s="6">
        <f>D8/(VLOOKUP(B8,'[1]2021 Team'!$B$2:$G$33,2,FALSE))</f>
        <v>0.23293768545994065</v>
      </c>
      <c r="K8" s="9">
        <v>67.5</v>
      </c>
      <c r="L8" s="5">
        <v>1</v>
      </c>
    </row>
    <row r="9" spans="1:12" x14ac:dyDescent="0.25">
      <c r="A9" s="5" t="s">
        <v>175</v>
      </c>
      <c r="B9" s="5" t="s">
        <v>46</v>
      </c>
      <c r="C9" s="7" t="s">
        <v>163</v>
      </c>
      <c r="D9" s="8">
        <v>140</v>
      </c>
      <c r="E9" s="8">
        <v>104</v>
      </c>
      <c r="F9" s="8">
        <v>1015</v>
      </c>
      <c r="G9" s="5">
        <v>9.8000000000000007</v>
      </c>
      <c r="H9" s="5">
        <v>6</v>
      </c>
      <c r="I9" s="6">
        <f t="shared" si="0"/>
        <v>5.7692307692307696E-2</v>
      </c>
      <c r="J9" s="6">
        <f>D9/(VLOOKUP(B9,'[1]2021 Team'!$B$2:$G$33,2,FALSE))</f>
        <v>0.22764227642276422</v>
      </c>
      <c r="K9" s="9">
        <v>74.3</v>
      </c>
      <c r="L9" s="5">
        <v>2</v>
      </c>
    </row>
    <row r="10" spans="1:12" x14ac:dyDescent="0.25">
      <c r="A10" s="5" t="s">
        <v>965</v>
      </c>
      <c r="B10" s="5" t="s">
        <v>14</v>
      </c>
      <c r="C10" s="7" t="s">
        <v>163</v>
      </c>
      <c r="D10" s="8">
        <v>164</v>
      </c>
      <c r="E10" s="8">
        <v>103</v>
      </c>
      <c r="F10" s="8">
        <v>1225</v>
      </c>
      <c r="G10" s="5">
        <v>11.9</v>
      </c>
      <c r="H10" s="5">
        <v>10</v>
      </c>
      <c r="I10" s="6">
        <f t="shared" si="0"/>
        <v>9.7087378640776698E-2</v>
      </c>
      <c r="J10" s="6">
        <f>D10/(VLOOKUP(B10,'[1]2021 Team'!$B$2:$G$33,2,FALSE))</f>
        <v>0.25038167938931299</v>
      </c>
      <c r="K10" s="9">
        <v>62.8</v>
      </c>
      <c r="L10" s="5">
        <v>1</v>
      </c>
    </row>
    <row r="11" spans="1:12" x14ac:dyDescent="0.25">
      <c r="A11" s="5" t="s">
        <v>833</v>
      </c>
      <c r="B11" s="5" t="s">
        <v>40</v>
      </c>
      <c r="C11" s="7" t="s">
        <v>163</v>
      </c>
      <c r="D11" s="8">
        <v>128</v>
      </c>
      <c r="E11" s="8">
        <v>103</v>
      </c>
      <c r="F11" s="8">
        <v>1038</v>
      </c>
      <c r="G11" s="5">
        <v>10.1</v>
      </c>
      <c r="H11" s="5">
        <v>9</v>
      </c>
      <c r="I11" s="6">
        <f t="shared" si="0"/>
        <v>8.7378640776699032E-2</v>
      </c>
      <c r="J11" s="6">
        <f>D11/(VLOOKUP(B11,'[1]2021 Team'!$B$2:$G$33,2,FALSE))</f>
        <v>0.20382165605095542</v>
      </c>
      <c r="K11" s="9">
        <v>80.5</v>
      </c>
      <c r="L11" s="5">
        <v>5</v>
      </c>
    </row>
    <row r="12" spans="1:12" x14ac:dyDescent="0.25">
      <c r="A12" s="5" t="s">
        <v>1025</v>
      </c>
      <c r="B12" s="5" t="s">
        <v>66</v>
      </c>
      <c r="C12" s="7" t="s">
        <v>163</v>
      </c>
      <c r="D12" s="8">
        <v>127</v>
      </c>
      <c r="E12" s="8">
        <v>98</v>
      </c>
      <c r="F12" s="8">
        <v>1103</v>
      </c>
      <c r="G12" s="5">
        <v>11.3</v>
      </c>
      <c r="H12" s="5">
        <v>5</v>
      </c>
      <c r="I12" s="6">
        <f t="shared" si="0"/>
        <v>5.1020408163265307E-2</v>
      </c>
      <c r="J12" s="6">
        <f>D12/(VLOOKUP(B12,'[1]2021 Team'!$B$2:$G$33,2,FALSE))</f>
        <v>0.17373461012311903</v>
      </c>
      <c r="K12" s="9">
        <v>77.2</v>
      </c>
      <c r="L12" s="5">
        <v>2</v>
      </c>
    </row>
    <row r="13" spans="1:12" x14ac:dyDescent="0.25">
      <c r="A13" s="5" t="s">
        <v>167</v>
      </c>
      <c r="B13" s="5" t="s">
        <v>16</v>
      </c>
      <c r="C13" s="7" t="s">
        <v>163</v>
      </c>
      <c r="D13" s="8">
        <v>163</v>
      </c>
      <c r="E13" s="8">
        <v>93</v>
      </c>
      <c r="F13" s="8">
        <v>1157</v>
      </c>
      <c r="G13" s="5">
        <v>12.4</v>
      </c>
      <c r="H13" s="5">
        <v>4</v>
      </c>
      <c r="I13" s="6">
        <f t="shared" si="0"/>
        <v>4.3010752688172046E-2</v>
      </c>
      <c r="J13" s="6">
        <f>D13/(VLOOKUP(B13,'[1]2021 Team'!$B$2:$G$33,2,FALSE))</f>
        <v>0.27212020033388984</v>
      </c>
      <c r="K13" s="9">
        <v>57.1</v>
      </c>
      <c r="L13" s="5">
        <v>1</v>
      </c>
    </row>
    <row r="14" spans="1:12" x14ac:dyDescent="0.25">
      <c r="A14" s="5" t="s">
        <v>777</v>
      </c>
      <c r="B14" s="5" t="s">
        <v>38</v>
      </c>
      <c r="C14" s="7" t="s">
        <v>153</v>
      </c>
      <c r="D14" s="8">
        <v>134</v>
      </c>
      <c r="E14" s="8">
        <v>92</v>
      </c>
      <c r="F14" s="8">
        <v>1125</v>
      </c>
      <c r="G14" s="5">
        <v>12.2</v>
      </c>
      <c r="H14" s="5">
        <v>9</v>
      </c>
      <c r="I14" s="6">
        <f t="shared" si="0"/>
        <v>9.7826086956521743E-2</v>
      </c>
      <c r="J14" s="6">
        <f>D14/(VLOOKUP(B14,'[1]2021 Team'!$B$2:$G$33,2,FALSE))</f>
        <v>0.19851851851851851</v>
      </c>
      <c r="K14" s="9">
        <v>68.7</v>
      </c>
      <c r="L14" s="5">
        <v>1</v>
      </c>
    </row>
    <row r="15" spans="1:12" x14ac:dyDescent="0.25">
      <c r="A15" s="5" t="s">
        <v>907</v>
      </c>
      <c r="B15" s="5" t="s">
        <v>12</v>
      </c>
      <c r="C15" s="7" t="s">
        <v>163</v>
      </c>
      <c r="D15" s="8">
        <v>146</v>
      </c>
      <c r="E15" s="8">
        <v>91</v>
      </c>
      <c r="F15" s="8">
        <v>1008</v>
      </c>
      <c r="G15" s="5">
        <v>11.1</v>
      </c>
      <c r="H15" s="5">
        <v>6</v>
      </c>
      <c r="I15" s="6">
        <f t="shared" si="0"/>
        <v>6.5934065934065936E-2</v>
      </c>
      <c r="J15" s="6">
        <f>D15/(VLOOKUP(B15,'[1]2021 Team'!$B$2:$G$33,2,FALSE))</f>
        <v>0.23895253682487724</v>
      </c>
      <c r="K15" s="9">
        <v>62.3</v>
      </c>
      <c r="L15" s="5">
        <v>3</v>
      </c>
    </row>
    <row r="16" spans="1:12" x14ac:dyDescent="0.25">
      <c r="A16" s="5" t="s">
        <v>820</v>
      </c>
      <c r="B16" s="5" t="s">
        <v>32</v>
      </c>
      <c r="C16" s="7" t="s">
        <v>163</v>
      </c>
      <c r="D16" s="8">
        <v>134</v>
      </c>
      <c r="E16" s="8">
        <v>90</v>
      </c>
      <c r="F16" s="8">
        <v>1037</v>
      </c>
      <c r="G16" s="5">
        <v>11.5</v>
      </c>
      <c r="H16" s="5">
        <v>6</v>
      </c>
      <c r="I16" s="6">
        <f t="shared" si="0"/>
        <v>6.6666666666666666E-2</v>
      </c>
      <c r="J16" s="6">
        <f>D16/(VLOOKUP(B16,'[1]2021 Team'!$B$2:$G$33,2,FALSE))</f>
        <v>0.24542124542124541</v>
      </c>
      <c r="K16" s="9">
        <v>67.2</v>
      </c>
      <c r="L16" s="5">
        <v>0</v>
      </c>
    </row>
    <row r="17" spans="1:12" x14ac:dyDescent="0.25">
      <c r="A17" s="5" t="s">
        <v>689</v>
      </c>
      <c r="B17" s="5" t="s">
        <v>28</v>
      </c>
      <c r="C17" s="7" t="s">
        <v>163</v>
      </c>
      <c r="D17" s="8">
        <v>119</v>
      </c>
      <c r="E17" s="8">
        <v>90</v>
      </c>
      <c r="F17" s="8">
        <v>912</v>
      </c>
      <c r="G17" s="5">
        <v>10.1</v>
      </c>
      <c r="H17" s="5">
        <v>5</v>
      </c>
      <c r="I17" s="6">
        <f t="shared" si="0"/>
        <v>5.5555555555555552E-2</v>
      </c>
      <c r="J17" s="6">
        <f>D17/(VLOOKUP(B17,'[1]2021 Team'!$B$2:$G$33,2,FALSE))</f>
        <v>0.20067453625632378</v>
      </c>
      <c r="K17" s="9">
        <v>75.599999999999994</v>
      </c>
      <c r="L17" s="5">
        <v>0</v>
      </c>
    </row>
    <row r="18" spans="1:12" x14ac:dyDescent="0.25">
      <c r="A18" s="5" t="s">
        <v>898</v>
      </c>
      <c r="B18" s="5" t="s">
        <v>34</v>
      </c>
      <c r="C18" s="7" t="s">
        <v>163</v>
      </c>
      <c r="D18" s="8">
        <v>129</v>
      </c>
      <c r="E18" s="8">
        <v>88</v>
      </c>
      <c r="F18" s="8">
        <v>1082</v>
      </c>
      <c r="G18" s="5">
        <v>12.3</v>
      </c>
      <c r="H18" s="5">
        <v>6</v>
      </c>
      <c r="I18" s="6">
        <f t="shared" si="0"/>
        <v>6.8181818181818177E-2</v>
      </c>
      <c r="J18" s="6">
        <f>D18/(VLOOKUP(B18,'[1]2021 Team'!$B$2:$G$33,2,FALSE))</f>
        <v>0.24760076775431861</v>
      </c>
      <c r="K18" s="9">
        <v>68.2</v>
      </c>
      <c r="L18" s="5">
        <v>1</v>
      </c>
    </row>
    <row r="19" spans="1:12" x14ac:dyDescent="0.25">
      <c r="A19" s="5" t="s">
        <v>654</v>
      </c>
      <c r="B19" s="5" t="s">
        <v>50</v>
      </c>
      <c r="C19" s="7" t="s">
        <v>163</v>
      </c>
      <c r="D19" s="8">
        <v>126</v>
      </c>
      <c r="E19" s="8">
        <v>83</v>
      </c>
      <c r="F19" s="8">
        <v>866</v>
      </c>
      <c r="G19" s="5">
        <v>10.4</v>
      </c>
      <c r="H19" s="5">
        <v>2</v>
      </c>
      <c r="I19" s="6">
        <f t="shared" si="0"/>
        <v>2.4096385542168676E-2</v>
      </c>
      <c r="J19" s="6">
        <f>D19/(VLOOKUP(B19,'[1]2021 Team'!$B$2:$G$33,2,FALSE))</f>
        <v>0.23551401869158878</v>
      </c>
      <c r="K19" s="9">
        <v>65.900000000000006</v>
      </c>
      <c r="L19" s="5">
        <v>1</v>
      </c>
    </row>
    <row r="20" spans="1:12" x14ac:dyDescent="0.25">
      <c r="A20" s="5" t="s">
        <v>2399</v>
      </c>
      <c r="B20" s="5" t="s">
        <v>14</v>
      </c>
      <c r="C20" s="7" t="s">
        <v>163</v>
      </c>
      <c r="D20" s="8">
        <v>112</v>
      </c>
      <c r="E20" s="8">
        <v>82</v>
      </c>
      <c r="F20" s="8">
        <v>693</v>
      </c>
      <c r="G20" s="5">
        <v>8.5</v>
      </c>
      <c r="H20" s="5">
        <v>1</v>
      </c>
      <c r="I20" s="6">
        <f t="shared" si="0"/>
        <v>1.2195121951219513E-2</v>
      </c>
      <c r="J20" s="6">
        <f>D20/(VLOOKUP(B20,'[1]2021 Team'!$B$2:$G$33,2,FALSE))</f>
        <v>0.17099236641221374</v>
      </c>
      <c r="K20" s="9">
        <v>73.2</v>
      </c>
      <c r="L20" s="5">
        <v>1</v>
      </c>
    </row>
    <row r="21" spans="1:12" x14ac:dyDescent="0.25">
      <c r="A21" s="5" t="s">
        <v>693</v>
      </c>
      <c r="B21" s="5" t="s">
        <v>20</v>
      </c>
      <c r="C21" s="7" t="s">
        <v>163</v>
      </c>
      <c r="D21" s="8">
        <v>128</v>
      </c>
      <c r="E21" s="8">
        <v>81</v>
      </c>
      <c r="F21" s="8">
        <v>1455</v>
      </c>
      <c r="G21" s="5">
        <v>18</v>
      </c>
      <c r="H21" s="5">
        <v>13</v>
      </c>
      <c r="I21" s="6">
        <f t="shared" si="0"/>
        <v>0.16049382716049382</v>
      </c>
      <c r="J21" s="6">
        <f>D21/(VLOOKUP(B21,'[1]2021 Team'!$B$2:$G$33,2,FALSE))</f>
        <v>0.23063063063063063</v>
      </c>
      <c r="K21" s="9">
        <v>63.3</v>
      </c>
      <c r="L21" s="5">
        <v>2</v>
      </c>
    </row>
    <row r="22" spans="1:12" x14ac:dyDescent="0.25">
      <c r="A22" s="5" t="s">
        <v>807</v>
      </c>
      <c r="B22" s="5" t="s">
        <v>18</v>
      </c>
      <c r="C22" s="7" t="s">
        <v>163</v>
      </c>
      <c r="D22" s="8">
        <v>140</v>
      </c>
      <c r="E22" s="8">
        <v>81</v>
      </c>
      <c r="F22" s="8">
        <v>1055</v>
      </c>
      <c r="G22" s="5">
        <v>13</v>
      </c>
      <c r="H22" s="5">
        <v>4</v>
      </c>
      <c r="I22" s="6">
        <f t="shared" si="0"/>
        <v>4.9382716049382713E-2</v>
      </c>
      <c r="J22" s="6">
        <f>D22/(VLOOKUP(B22,'[1]2021 Team'!$B$2:$G$33,2,FALSE))</f>
        <v>0.25830258302583026</v>
      </c>
      <c r="K22" s="9">
        <v>57.9</v>
      </c>
      <c r="L22" s="5">
        <v>0</v>
      </c>
    </row>
    <row r="23" spans="1:12" x14ac:dyDescent="0.25">
      <c r="A23" s="5" t="s">
        <v>785</v>
      </c>
      <c r="B23" s="5" t="s">
        <v>24</v>
      </c>
      <c r="C23" s="7" t="s">
        <v>163</v>
      </c>
      <c r="D23" s="8">
        <v>120</v>
      </c>
      <c r="E23" s="8">
        <v>79</v>
      </c>
      <c r="F23" s="8">
        <v>1102</v>
      </c>
      <c r="G23" s="5">
        <v>13.9</v>
      </c>
      <c r="H23" s="5">
        <v>6</v>
      </c>
      <c r="I23" s="6">
        <f t="shared" si="0"/>
        <v>7.5949367088607597E-2</v>
      </c>
      <c r="J23" s="6">
        <f>D23/(VLOOKUP(B23,'[1]2021 Team'!$B$2:$G$33,2,FALSE))</f>
        <v>0.18547140649149924</v>
      </c>
      <c r="K23" s="9">
        <v>65.8</v>
      </c>
      <c r="L23" s="5">
        <v>0</v>
      </c>
    </row>
    <row r="24" spans="1:12" x14ac:dyDescent="0.25">
      <c r="A24" s="5" t="s">
        <v>889</v>
      </c>
      <c r="B24" s="5" t="s">
        <v>24</v>
      </c>
      <c r="C24" s="7" t="s">
        <v>153</v>
      </c>
      <c r="D24" s="8">
        <v>104</v>
      </c>
      <c r="E24" s="8">
        <v>78</v>
      </c>
      <c r="F24" s="8">
        <v>808</v>
      </c>
      <c r="G24" s="5">
        <v>10.4</v>
      </c>
      <c r="H24" s="5">
        <v>8</v>
      </c>
      <c r="I24" s="6">
        <f t="shared" si="0"/>
        <v>0.10256410256410256</v>
      </c>
      <c r="J24" s="6">
        <f>D24/(VLOOKUP(B24,'[1]2021 Team'!$B$2:$G$33,2,FALSE))</f>
        <v>0.160741885625966</v>
      </c>
      <c r="K24" s="9">
        <v>75</v>
      </c>
      <c r="L24" s="5">
        <v>0</v>
      </c>
    </row>
    <row r="25" spans="1:12" x14ac:dyDescent="0.25">
      <c r="A25" s="5" t="s">
        <v>888</v>
      </c>
      <c r="B25" s="5" t="s">
        <v>8</v>
      </c>
      <c r="C25" s="7" t="s">
        <v>163</v>
      </c>
      <c r="D25" s="8">
        <v>103</v>
      </c>
      <c r="E25" s="8">
        <v>77</v>
      </c>
      <c r="F25" s="8">
        <v>982</v>
      </c>
      <c r="G25" s="5">
        <v>12.8</v>
      </c>
      <c r="H25" s="5">
        <v>5</v>
      </c>
      <c r="I25" s="6">
        <f t="shared" si="0"/>
        <v>6.4935064935064929E-2</v>
      </c>
      <c r="J25" s="6">
        <f>D25/(VLOOKUP(B25,'[1]2021 Team'!$B$2:$G$33,2,FALSE))</f>
        <v>0.17428087986463622</v>
      </c>
      <c r="K25" s="9">
        <v>74.8</v>
      </c>
      <c r="L25" s="5">
        <v>0</v>
      </c>
    </row>
    <row r="26" spans="1:12" x14ac:dyDescent="0.25">
      <c r="A26" s="5" t="s">
        <v>1048</v>
      </c>
      <c r="B26" s="5" t="s">
        <v>70</v>
      </c>
      <c r="C26" s="7" t="s">
        <v>163</v>
      </c>
      <c r="D26" s="8">
        <v>130</v>
      </c>
      <c r="E26" s="8">
        <v>77</v>
      </c>
      <c r="F26" s="8">
        <v>1053</v>
      </c>
      <c r="G26" s="5">
        <v>13.7</v>
      </c>
      <c r="H26" s="5">
        <v>5</v>
      </c>
      <c r="I26" s="6">
        <f t="shared" si="0"/>
        <v>6.4935064935064929E-2</v>
      </c>
      <c r="J26" s="6">
        <f>D26/(VLOOKUP(B26,'[1]2021 Team'!$B$2:$G$33,2,FALSE))</f>
        <v>0.23636363636363636</v>
      </c>
      <c r="K26" s="9">
        <v>59.2</v>
      </c>
      <c r="L26" s="5">
        <v>0</v>
      </c>
    </row>
    <row r="27" spans="1:12" x14ac:dyDescent="0.25">
      <c r="A27" s="5" t="s">
        <v>534</v>
      </c>
      <c r="B27" s="5" t="s">
        <v>62</v>
      </c>
      <c r="C27" s="7" t="s">
        <v>163</v>
      </c>
      <c r="D27" s="8">
        <v>121</v>
      </c>
      <c r="E27" s="8">
        <v>77</v>
      </c>
      <c r="F27" s="8">
        <v>1405</v>
      </c>
      <c r="G27" s="5">
        <v>18.2</v>
      </c>
      <c r="H27" s="5">
        <v>6</v>
      </c>
      <c r="I27" s="6">
        <f t="shared" si="0"/>
        <v>7.792207792207792E-2</v>
      </c>
      <c r="J27" s="6">
        <f>D27/(VLOOKUP(B27,'[1]2021 Team'!$B$2:$G$33,2,FALSE))</f>
        <v>0.23540856031128404</v>
      </c>
      <c r="K27" s="9">
        <v>63.6</v>
      </c>
      <c r="L27" s="5">
        <v>4</v>
      </c>
    </row>
    <row r="28" spans="1:12" x14ac:dyDescent="0.25">
      <c r="A28" s="5" t="s">
        <v>1767</v>
      </c>
      <c r="B28" s="5" t="s">
        <v>42</v>
      </c>
      <c r="C28" s="7" t="s">
        <v>163</v>
      </c>
      <c r="D28" s="8">
        <v>129</v>
      </c>
      <c r="E28" s="8">
        <v>76</v>
      </c>
      <c r="F28" s="8">
        <v>1146</v>
      </c>
      <c r="G28" s="5">
        <v>15.1</v>
      </c>
      <c r="H28" s="5">
        <v>9</v>
      </c>
      <c r="I28" s="6">
        <f t="shared" si="0"/>
        <v>0.11842105263157894</v>
      </c>
      <c r="J28" s="6">
        <f>D28/(VLOOKUP(B28,'[1]2021 Team'!$B$2:$G$33,2,FALSE))</f>
        <v>0.1913946587537092</v>
      </c>
      <c r="K28" s="9">
        <v>58.9</v>
      </c>
      <c r="L28" s="5">
        <v>0</v>
      </c>
    </row>
    <row r="29" spans="1:12" x14ac:dyDescent="0.25">
      <c r="A29" s="5" t="s">
        <v>707</v>
      </c>
      <c r="B29" s="5" t="s">
        <v>64</v>
      </c>
      <c r="C29" s="7" t="s">
        <v>163</v>
      </c>
      <c r="D29" s="8">
        <v>129</v>
      </c>
      <c r="E29" s="8">
        <v>75</v>
      </c>
      <c r="F29" s="8">
        <v>967</v>
      </c>
      <c r="G29" s="5">
        <v>12.9</v>
      </c>
      <c r="H29" s="5">
        <v>12</v>
      </c>
      <c r="I29" s="6">
        <f t="shared" si="0"/>
        <v>0.16</v>
      </c>
      <c r="J29" s="6">
        <f>D29/(VLOOKUP(B29,'[1]2021 Team'!$B$2:$G$33,2,FALSE))</f>
        <v>0.26060606060606062</v>
      </c>
      <c r="K29" s="9">
        <v>58.1</v>
      </c>
      <c r="L29" s="5">
        <v>1</v>
      </c>
    </row>
    <row r="30" spans="1:12" x14ac:dyDescent="0.25">
      <c r="A30" s="5" t="s">
        <v>1024</v>
      </c>
      <c r="B30" s="5" t="s">
        <v>66</v>
      </c>
      <c r="C30" s="7" t="s">
        <v>163</v>
      </c>
      <c r="D30" s="8">
        <v>114</v>
      </c>
      <c r="E30" s="8">
        <v>74</v>
      </c>
      <c r="F30" s="8">
        <v>1035</v>
      </c>
      <c r="G30" s="5">
        <v>14</v>
      </c>
      <c r="H30" s="5">
        <v>14</v>
      </c>
      <c r="I30" s="6">
        <f t="shared" si="0"/>
        <v>0.1891891891891892</v>
      </c>
      <c r="J30" s="6">
        <f>D30/(VLOOKUP(B30,'[1]2021 Team'!$B$2:$G$33,2,FALSE))</f>
        <v>0.15595075239398085</v>
      </c>
      <c r="K30" s="9">
        <v>64.900000000000006</v>
      </c>
      <c r="L30" s="5">
        <v>0</v>
      </c>
    </row>
    <row r="31" spans="1:12" x14ac:dyDescent="0.25">
      <c r="A31" s="5" t="s">
        <v>560</v>
      </c>
      <c r="B31" s="5" t="s">
        <v>60</v>
      </c>
      <c r="C31" s="7" t="s">
        <v>159</v>
      </c>
      <c r="D31" s="8">
        <v>94</v>
      </c>
      <c r="E31" s="8">
        <v>74</v>
      </c>
      <c r="F31" s="8">
        <v>467</v>
      </c>
      <c r="G31" s="5">
        <v>6.3</v>
      </c>
      <c r="H31" s="5">
        <v>3</v>
      </c>
      <c r="I31" s="6">
        <f t="shared" si="0"/>
        <v>4.0540540540540543E-2</v>
      </c>
      <c r="J31" s="6">
        <f>D31/(VLOOKUP(B31,'[1]2021 Team'!$B$2:$G$33,2,FALSE))</f>
        <v>0.14156626506024098</v>
      </c>
      <c r="K31" s="9">
        <v>78.7</v>
      </c>
      <c r="L31" s="5">
        <v>0</v>
      </c>
    </row>
    <row r="32" spans="1:12" x14ac:dyDescent="0.25">
      <c r="A32" s="5" t="s">
        <v>846</v>
      </c>
      <c r="B32" s="5" t="s">
        <v>20</v>
      </c>
      <c r="C32" s="7" t="s">
        <v>163</v>
      </c>
      <c r="D32" s="8">
        <v>110</v>
      </c>
      <c r="E32" s="8">
        <v>74</v>
      </c>
      <c r="F32" s="8">
        <v>1091</v>
      </c>
      <c r="G32" s="5">
        <v>14.7</v>
      </c>
      <c r="H32" s="5">
        <v>6</v>
      </c>
      <c r="I32" s="6">
        <f t="shared" si="0"/>
        <v>8.1081081081081086E-2</v>
      </c>
      <c r="J32" s="6">
        <f>D32/(VLOOKUP(B32,'[1]2021 Team'!$B$2:$G$33,2,FALSE))</f>
        <v>0.1981981981981982</v>
      </c>
      <c r="K32" s="9">
        <v>67.3</v>
      </c>
      <c r="L32" s="5">
        <v>1</v>
      </c>
    </row>
    <row r="33" spans="1:12" x14ac:dyDescent="0.25">
      <c r="A33" s="5" t="s">
        <v>1044</v>
      </c>
      <c r="B33" s="5" t="s">
        <v>58</v>
      </c>
      <c r="C33" s="7" t="s">
        <v>153</v>
      </c>
      <c r="D33" s="8">
        <v>31</v>
      </c>
      <c r="E33" s="8">
        <v>18</v>
      </c>
      <c r="F33" s="8">
        <v>189</v>
      </c>
      <c r="G33" s="5">
        <v>10.5</v>
      </c>
      <c r="H33" s="5">
        <v>2</v>
      </c>
      <c r="I33" s="6">
        <f t="shared" si="0"/>
        <v>0.1111111111111111</v>
      </c>
      <c r="J33" s="6">
        <f>D33/(VLOOKUP(B33,'[1]2021 Team'!$B$2:$G$33,2,FALSE))</f>
        <v>6.2753036437246959E-2</v>
      </c>
      <c r="K33" s="9">
        <v>58.1</v>
      </c>
      <c r="L33" s="5">
        <v>0</v>
      </c>
    </row>
    <row r="34" spans="1:12" x14ac:dyDescent="0.25">
      <c r="A34" s="5" t="s">
        <v>1044</v>
      </c>
      <c r="B34" s="5" t="s">
        <v>8</v>
      </c>
      <c r="C34" s="7" t="s">
        <v>153</v>
      </c>
      <c r="D34" s="8">
        <v>81</v>
      </c>
      <c r="E34" s="8">
        <v>56</v>
      </c>
      <c r="F34" s="8">
        <v>574</v>
      </c>
      <c r="G34" s="5">
        <v>10.3</v>
      </c>
      <c r="H34" s="5">
        <v>3</v>
      </c>
      <c r="I34" s="6">
        <f t="shared" si="0"/>
        <v>5.3571428571428568E-2</v>
      </c>
      <c r="J34" s="6">
        <f>D34/(VLOOKUP(B34,'[1]2021 Team'!$B$2:$G$33,2,FALSE))</f>
        <v>0.13705583756345177</v>
      </c>
      <c r="K34" s="9">
        <v>69.099999999999994</v>
      </c>
      <c r="L34" s="5">
        <v>0</v>
      </c>
    </row>
    <row r="35" spans="1:12" x14ac:dyDescent="0.25">
      <c r="A35" s="5" t="s">
        <v>844</v>
      </c>
      <c r="B35" s="5" t="s">
        <v>46</v>
      </c>
      <c r="C35" s="7" t="s">
        <v>153</v>
      </c>
      <c r="D35" s="8">
        <v>112</v>
      </c>
      <c r="E35" s="8">
        <v>73</v>
      </c>
      <c r="F35" s="8">
        <v>780</v>
      </c>
      <c r="G35" s="5">
        <v>10.7</v>
      </c>
      <c r="H35" s="5">
        <v>2</v>
      </c>
      <c r="I35" s="6">
        <f t="shared" si="0"/>
        <v>2.7397260273972601E-2</v>
      </c>
      <c r="J35" s="6">
        <f>D35/(VLOOKUP(B35,'[1]2021 Team'!$B$2:$G$33,2,FALSE))</f>
        <v>0.1821138211382114</v>
      </c>
      <c r="K35" s="9">
        <v>65.2</v>
      </c>
      <c r="L35" s="5">
        <v>0</v>
      </c>
    </row>
    <row r="36" spans="1:12" x14ac:dyDescent="0.25">
      <c r="A36" s="5" t="s">
        <v>1815</v>
      </c>
      <c r="B36" s="5" t="s">
        <v>36</v>
      </c>
      <c r="C36" s="7" t="s">
        <v>163</v>
      </c>
      <c r="D36" s="8">
        <v>120</v>
      </c>
      <c r="E36" s="8">
        <v>73</v>
      </c>
      <c r="F36" s="8">
        <v>832</v>
      </c>
      <c r="G36" s="5">
        <v>11.4</v>
      </c>
      <c r="H36" s="5">
        <v>4</v>
      </c>
      <c r="I36" s="6">
        <f t="shared" si="0"/>
        <v>5.4794520547945202E-2</v>
      </c>
      <c r="J36" s="6">
        <f>D36/(VLOOKUP(B36,'[1]2021 Team'!$B$2:$G$33,2,FALSE))</f>
        <v>0.19867549668874171</v>
      </c>
      <c r="K36" s="9">
        <v>60.8</v>
      </c>
      <c r="L36" s="5">
        <v>0</v>
      </c>
    </row>
    <row r="37" spans="1:12" x14ac:dyDescent="0.25">
      <c r="A37" s="5" t="s">
        <v>935</v>
      </c>
      <c r="B37" s="5" t="s">
        <v>64</v>
      </c>
      <c r="C37" s="7" t="s">
        <v>163</v>
      </c>
      <c r="D37" s="8">
        <v>107</v>
      </c>
      <c r="E37" s="8">
        <v>73</v>
      </c>
      <c r="F37" s="8">
        <v>1175</v>
      </c>
      <c r="G37" s="5">
        <v>16.100000000000001</v>
      </c>
      <c r="H37" s="5">
        <v>8</v>
      </c>
      <c r="I37" s="6">
        <f t="shared" si="0"/>
        <v>0.1095890410958904</v>
      </c>
      <c r="J37" s="6">
        <f>D37/(VLOOKUP(B37,'[1]2021 Team'!$B$2:$G$33,2,FALSE))</f>
        <v>0.21616161616161617</v>
      </c>
      <c r="K37" s="9">
        <v>68.2</v>
      </c>
      <c r="L37" s="5">
        <v>0</v>
      </c>
    </row>
    <row r="38" spans="1:12" x14ac:dyDescent="0.25">
      <c r="A38" s="5" t="s">
        <v>770</v>
      </c>
      <c r="B38" s="5" t="s">
        <v>62</v>
      </c>
      <c r="C38" s="7" t="s">
        <v>153</v>
      </c>
      <c r="D38" s="8">
        <v>94</v>
      </c>
      <c r="E38" s="8">
        <v>71</v>
      </c>
      <c r="F38" s="8">
        <v>910</v>
      </c>
      <c r="G38" s="5">
        <v>12.8</v>
      </c>
      <c r="H38" s="5">
        <v>6</v>
      </c>
      <c r="I38" s="6">
        <f t="shared" si="0"/>
        <v>8.4507042253521125E-2</v>
      </c>
      <c r="J38" s="6">
        <f>D38/(VLOOKUP(B38,'[1]2021 Team'!$B$2:$G$33,2,FALSE))</f>
        <v>0.1828793774319066</v>
      </c>
      <c r="K38" s="9">
        <v>75.5</v>
      </c>
      <c r="L38" s="5">
        <v>2</v>
      </c>
    </row>
    <row r="39" spans="1:12" x14ac:dyDescent="0.25">
      <c r="A39" s="5" t="s">
        <v>549</v>
      </c>
      <c r="B39" s="5" t="s">
        <v>42</v>
      </c>
      <c r="C39" s="7" t="s">
        <v>159</v>
      </c>
      <c r="D39" s="8">
        <v>94</v>
      </c>
      <c r="E39" s="8">
        <v>70</v>
      </c>
      <c r="F39" s="8">
        <v>647</v>
      </c>
      <c r="G39" s="5">
        <v>9.1999999999999993</v>
      </c>
      <c r="H39" s="5">
        <v>8</v>
      </c>
      <c r="I39" s="6">
        <f t="shared" si="0"/>
        <v>0.11428571428571428</v>
      </c>
      <c r="J39" s="6">
        <f>D39/(VLOOKUP(B39,'[1]2021 Team'!$B$2:$G$33,2,FALSE))</f>
        <v>0.1394658753709199</v>
      </c>
      <c r="K39" s="9">
        <v>74.5</v>
      </c>
      <c r="L39" s="5">
        <v>4</v>
      </c>
    </row>
    <row r="40" spans="1:12" x14ac:dyDescent="0.25">
      <c r="A40" s="5" t="s">
        <v>1704</v>
      </c>
      <c r="B40" s="5" t="s">
        <v>66</v>
      </c>
      <c r="C40" s="7" t="s">
        <v>159</v>
      </c>
      <c r="D40" s="8">
        <v>84</v>
      </c>
      <c r="E40" s="8">
        <v>69</v>
      </c>
      <c r="F40" s="8">
        <v>454</v>
      </c>
      <c r="G40" s="5">
        <v>6.6</v>
      </c>
      <c r="H40" s="5">
        <v>2</v>
      </c>
      <c r="I40" s="6">
        <f t="shared" si="0"/>
        <v>2.8985507246376812E-2</v>
      </c>
      <c r="J40" s="6">
        <f>D40/(VLOOKUP(B40,'[1]2021 Team'!$B$2:$G$33,2,FALSE))</f>
        <v>0.11491108071135431</v>
      </c>
      <c r="K40" s="9">
        <v>82.1</v>
      </c>
      <c r="L40" s="5">
        <v>1</v>
      </c>
    </row>
    <row r="41" spans="1:12" x14ac:dyDescent="0.25">
      <c r="A41" s="5" t="s">
        <v>1787</v>
      </c>
      <c r="B41" s="5" t="s">
        <v>24</v>
      </c>
      <c r="C41" s="7" t="s">
        <v>163</v>
      </c>
      <c r="D41" s="8">
        <v>104</v>
      </c>
      <c r="E41" s="8">
        <v>68</v>
      </c>
      <c r="F41" s="8">
        <v>865</v>
      </c>
      <c r="G41" s="5">
        <v>12.7</v>
      </c>
      <c r="H41" s="5">
        <v>8</v>
      </c>
      <c r="I41" s="6">
        <f t="shared" si="0"/>
        <v>0.11764705882352941</v>
      </c>
      <c r="J41" s="6">
        <f>D41/(VLOOKUP(B41,'[1]2021 Team'!$B$2:$G$33,2,FALSE))</f>
        <v>0.160741885625966</v>
      </c>
      <c r="K41" s="9">
        <v>65.400000000000006</v>
      </c>
      <c r="L41" s="5">
        <v>1</v>
      </c>
    </row>
    <row r="42" spans="1:12" x14ac:dyDescent="0.25">
      <c r="A42" s="5" t="s">
        <v>841</v>
      </c>
      <c r="B42" s="5" t="s">
        <v>26</v>
      </c>
      <c r="C42" s="7" t="s">
        <v>153</v>
      </c>
      <c r="D42" s="8">
        <v>90</v>
      </c>
      <c r="E42" s="8">
        <v>68</v>
      </c>
      <c r="F42" s="8">
        <v>670</v>
      </c>
      <c r="G42" s="5">
        <v>9.9</v>
      </c>
      <c r="H42" s="5">
        <v>4</v>
      </c>
      <c r="I42" s="6">
        <f t="shared" si="0"/>
        <v>5.8823529411764705E-2</v>
      </c>
      <c r="J42" s="6">
        <f>D42/(VLOOKUP(B42,'[1]2021 Team'!$B$2:$G$33,2,FALSE))</f>
        <v>0.16635859519408502</v>
      </c>
      <c r="K42" s="9">
        <v>75.599999999999994</v>
      </c>
      <c r="L42" s="5">
        <v>0</v>
      </c>
    </row>
    <row r="43" spans="1:12" x14ac:dyDescent="0.25">
      <c r="A43" s="5" t="s">
        <v>808</v>
      </c>
      <c r="B43" s="5" t="s">
        <v>10</v>
      </c>
      <c r="C43" s="7" t="s">
        <v>153</v>
      </c>
      <c r="D43" s="8">
        <v>110</v>
      </c>
      <c r="E43" s="8">
        <v>68</v>
      </c>
      <c r="F43" s="8">
        <v>1026</v>
      </c>
      <c r="G43" s="5">
        <v>15.1</v>
      </c>
      <c r="H43" s="5">
        <v>1</v>
      </c>
      <c r="I43" s="6">
        <f t="shared" si="0"/>
        <v>1.4705882352941176E-2</v>
      </c>
      <c r="J43" s="6">
        <f>D43/(VLOOKUP(B43,'[1]2021 Team'!$B$2:$G$33,2,FALSE))</f>
        <v>0.19197207678883071</v>
      </c>
      <c r="K43" s="9">
        <v>61.8</v>
      </c>
      <c r="L43" s="5">
        <v>0</v>
      </c>
    </row>
    <row r="44" spans="1:12" x14ac:dyDescent="0.25">
      <c r="A44" s="5" t="s">
        <v>1582</v>
      </c>
      <c r="B44" s="5" t="s">
        <v>20</v>
      </c>
      <c r="C44" s="7" t="s">
        <v>163</v>
      </c>
      <c r="D44" s="8">
        <v>94</v>
      </c>
      <c r="E44" s="8">
        <v>67</v>
      </c>
      <c r="F44" s="8">
        <v>828</v>
      </c>
      <c r="G44" s="5">
        <v>12.4</v>
      </c>
      <c r="H44" s="5">
        <v>5</v>
      </c>
      <c r="I44" s="6">
        <f t="shared" si="0"/>
        <v>7.4626865671641784E-2</v>
      </c>
      <c r="J44" s="6">
        <f>D44/(VLOOKUP(B44,'[1]2021 Team'!$B$2:$G$33,2,FALSE))</f>
        <v>0.16936936936936936</v>
      </c>
      <c r="K44" s="9">
        <v>71.3</v>
      </c>
      <c r="L44" s="5">
        <v>1</v>
      </c>
    </row>
    <row r="45" spans="1:12" x14ac:dyDescent="0.25">
      <c r="A45" s="5" t="s">
        <v>952</v>
      </c>
      <c r="B45" s="5" t="s">
        <v>48</v>
      </c>
      <c r="C45" s="7" t="s">
        <v>163</v>
      </c>
      <c r="D45" s="8">
        <v>95</v>
      </c>
      <c r="E45" s="8">
        <v>67</v>
      </c>
      <c r="F45" s="8">
        <v>726</v>
      </c>
      <c r="G45" s="5">
        <v>10.8</v>
      </c>
      <c r="H45" s="5">
        <v>10</v>
      </c>
      <c r="I45" s="6">
        <f t="shared" si="0"/>
        <v>0.14925373134328357</v>
      </c>
      <c r="J45" s="6">
        <f>D45/(VLOOKUP(B45,'[1]2021 Team'!$B$2:$G$33,2,FALSE))</f>
        <v>0.15728476821192053</v>
      </c>
      <c r="K45" s="9">
        <v>70.5</v>
      </c>
      <c r="L45" s="5">
        <v>1</v>
      </c>
    </row>
    <row r="46" spans="1:12" x14ac:dyDescent="0.25">
      <c r="A46" s="5" t="s">
        <v>2481</v>
      </c>
      <c r="B46" s="5" t="s">
        <v>10</v>
      </c>
      <c r="C46" s="7" t="s">
        <v>163</v>
      </c>
      <c r="D46" s="8">
        <v>94</v>
      </c>
      <c r="E46" s="8">
        <v>66</v>
      </c>
      <c r="F46" s="8">
        <v>770</v>
      </c>
      <c r="G46" s="5">
        <v>11.7</v>
      </c>
      <c r="H46" s="5">
        <v>4</v>
      </c>
      <c r="I46" s="6">
        <f t="shared" si="0"/>
        <v>6.0606060606060608E-2</v>
      </c>
      <c r="J46" s="6">
        <f>D46/(VLOOKUP(B46,'[1]2021 Team'!$B$2:$G$33,2,FALSE))</f>
        <v>0.16404886561954624</v>
      </c>
      <c r="K46" s="9">
        <v>70.2</v>
      </c>
      <c r="L46" s="5">
        <v>2</v>
      </c>
    </row>
    <row r="47" spans="1:12" x14ac:dyDescent="0.25">
      <c r="A47" s="5" t="s">
        <v>996</v>
      </c>
      <c r="B47" s="5" t="s">
        <v>58</v>
      </c>
      <c r="C47" s="7" t="s">
        <v>163</v>
      </c>
      <c r="D47" s="8">
        <v>104</v>
      </c>
      <c r="E47" s="8">
        <v>64</v>
      </c>
      <c r="F47" s="8">
        <v>916</v>
      </c>
      <c r="G47" s="5">
        <v>14.3</v>
      </c>
      <c r="H47" s="5">
        <v>5</v>
      </c>
      <c r="I47" s="6">
        <f t="shared" si="0"/>
        <v>7.8125E-2</v>
      </c>
      <c r="J47" s="6">
        <f>D47/(VLOOKUP(B47,'[1]2021 Team'!$B$2:$G$33,2,FALSE))</f>
        <v>0.21052631578947367</v>
      </c>
      <c r="K47" s="9">
        <v>61.5</v>
      </c>
      <c r="L47" s="5">
        <v>1</v>
      </c>
    </row>
    <row r="48" spans="1:12" x14ac:dyDescent="0.25">
      <c r="A48" s="5" t="s">
        <v>988</v>
      </c>
      <c r="B48" s="5" t="s">
        <v>68</v>
      </c>
      <c r="C48" s="7" t="s">
        <v>163</v>
      </c>
      <c r="D48" s="8">
        <v>105</v>
      </c>
      <c r="E48" s="8">
        <v>63</v>
      </c>
      <c r="F48" s="8">
        <v>869</v>
      </c>
      <c r="G48" s="5">
        <v>13.8</v>
      </c>
      <c r="H48" s="5">
        <v>5</v>
      </c>
      <c r="I48" s="6">
        <f t="shared" si="0"/>
        <v>7.9365079365079361E-2</v>
      </c>
      <c r="J48" s="6">
        <f>D48/(VLOOKUP(B48,'[1]2021 Team'!$B$2:$G$33,2,FALSE))</f>
        <v>0.19626168224299065</v>
      </c>
      <c r="K48" s="9">
        <v>60</v>
      </c>
      <c r="L48" s="5">
        <v>0</v>
      </c>
    </row>
    <row r="49" spans="1:12" x14ac:dyDescent="0.25">
      <c r="A49" s="5" t="s">
        <v>1705</v>
      </c>
      <c r="B49" s="5" t="s">
        <v>36</v>
      </c>
      <c r="C49" s="7" t="s">
        <v>163</v>
      </c>
      <c r="D49" s="8">
        <v>100</v>
      </c>
      <c r="E49" s="8">
        <v>63</v>
      </c>
      <c r="F49" s="8">
        <v>619</v>
      </c>
      <c r="G49" s="5">
        <v>9.8000000000000007</v>
      </c>
      <c r="H49" s="5">
        <v>0</v>
      </c>
      <c r="I49" s="6">
        <f t="shared" si="0"/>
        <v>0</v>
      </c>
      <c r="J49" s="6">
        <f>D49/(VLOOKUP(B49,'[1]2021 Team'!$B$2:$G$33,2,FALSE))</f>
        <v>0.16556291390728478</v>
      </c>
      <c r="K49" s="9">
        <v>63</v>
      </c>
      <c r="L49" s="5">
        <v>1</v>
      </c>
    </row>
    <row r="50" spans="1:12" x14ac:dyDescent="0.25">
      <c r="A50" s="5" t="s">
        <v>267</v>
      </c>
      <c r="B50" s="5" t="s">
        <v>28</v>
      </c>
      <c r="C50" s="7" t="s">
        <v>159</v>
      </c>
      <c r="D50" s="8">
        <v>78</v>
      </c>
      <c r="E50" s="8">
        <v>62</v>
      </c>
      <c r="F50" s="8">
        <v>452</v>
      </c>
      <c r="G50" s="5">
        <v>7.3</v>
      </c>
      <c r="H50" s="5">
        <v>2</v>
      </c>
      <c r="I50" s="6">
        <f t="shared" si="0"/>
        <v>3.2258064516129031E-2</v>
      </c>
      <c r="J50" s="6">
        <f>D50/(VLOOKUP(B50,'[1]2021 Team'!$B$2:$G$33,2,FALSE))</f>
        <v>0.13153456998313659</v>
      </c>
      <c r="K50" s="9">
        <v>79.5</v>
      </c>
      <c r="L50" s="5">
        <v>2</v>
      </c>
    </row>
    <row r="51" spans="1:12" x14ac:dyDescent="0.25">
      <c r="A51" s="5" t="s">
        <v>766</v>
      </c>
      <c r="B51" s="5" t="s">
        <v>48</v>
      </c>
      <c r="C51" s="7" t="s">
        <v>153</v>
      </c>
      <c r="D51" s="8">
        <v>87</v>
      </c>
      <c r="E51" s="8">
        <v>61</v>
      </c>
      <c r="F51" s="8">
        <v>593</v>
      </c>
      <c r="G51" s="5">
        <v>9.6999999999999993</v>
      </c>
      <c r="H51" s="5">
        <v>3</v>
      </c>
      <c r="I51" s="6">
        <f t="shared" si="0"/>
        <v>4.9180327868852458E-2</v>
      </c>
      <c r="J51" s="6">
        <f>D51/(VLOOKUP(B51,'[1]2021 Team'!$B$2:$G$33,2,FALSE))</f>
        <v>0.14403973509933773</v>
      </c>
      <c r="K51" s="9">
        <v>70.099999999999994</v>
      </c>
      <c r="L51" s="5">
        <v>1</v>
      </c>
    </row>
    <row r="52" spans="1:12" x14ac:dyDescent="0.25">
      <c r="A52" s="5" t="s">
        <v>927</v>
      </c>
      <c r="B52" s="5" t="s">
        <v>44</v>
      </c>
      <c r="C52" s="7" t="s">
        <v>153</v>
      </c>
      <c r="D52" s="8">
        <v>85</v>
      </c>
      <c r="E52" s="8">
        <v>61</v>
      </c>
      <c r="F52" s="8">
        <v>560</v>
      </c>
      <c r="G52" s="5">
        <v>9.1999999999999993</v>
      </c>
      <c r="H52" s="5">
        <v>5</v>
      </c>
      <c r="I52" s="6">
        <f t="shared" si="0"/>
        <v>8.1967213114754092E-2</v>
      </c>
      <c r="J52" s="6">
        <f>D52/(VLOOKUP(B52,'[1]2021 Team'!$B$2:$G$33,2,FALSE))</f>
        <v>0.1400329489291598</v>
      </c>
      <c r="K52" s="9">
        <v>71.8</v>
      </c>
      <c r="L52" s="5">
        <v>1</v>
      </c>
    </row>
    <row r="53" spans="1:12" x14ac:dyDescent="0.25">
      <c r="A53" s="5" t="s">
        <v>737</v>
      </c>
      <c r="B53" s="5" t="s">
        <v>28</v>
      </c>
      <c r="C53" s="7" t="s">
        <v>153</v>
      </c>
      <c r="D53" s="8">
        <v>84</v>
      </c>
      <c r="E53" s="8">
        <v>61</v>
      </c>
      <c r="F53" s="8">
        <v>583</v>
      </c>
      <c r="G53" s="5">
        <v>9.6</v>
      </c>
      <c r="H53" s="5">
        <v>4</v>
      </c>
      <c r="I53" s="6">
        <f t="shared" si="0"/>
        <v>6.5573770491803282E-2</v>
      </c>
      <c r="J53" s="6">
        <f>D53/(VLOOKUP(B53,'[1]2021 Team'!$B$2:$G$33,2,FALSE))</f>
        <v>0.14165261382799327</v>
      </c>
      <c r="K53" s="9">
        <v>72.599999999999994</v>
      </c>
      <c r="L53" s="5">
        <v>0</v>
      </c>
    </row>
    <row r="54" spans="1:12" x14ac:dyDescent="0.25">
      <c r="A54" s="5" t="s">
        <v>1000</v>
      </c>
      <c r="B54" s="5" t="s">
        <v>60</v>
      </c>
      <c r="C54" s="7" t="s">
        <v>153</v>
      </c>
      <c r="D54" s="8">
        <v>79</v>
      </c>
      <c r="E54" s="8">
        <v>60</v>
      </c>
      <c r="F54" s="8">
        <v>497</v>
      </c>
      <c r="G54" s="5">
        <v>8.3000000000000007</v>
      </c>
      <c r="H54" s="5">
        <v>7</v>
      </c>
      <c r="I54" s="6">
        <f t="shared" si="0"/>
        <v>0.11666666666666667</v>
      </c>
      <c r="J54" s="6">
        <f>D54/(VLOOKUP(B54,'[1]2021 Team'!$B$2:$G$33,2,FALSE))</f>
        <v>0.11897590361445783</v>
      </c>
      <c r="K54" s="9">
        <v>75.900000000000006</v>
      </c>
      <c r="L54" s="5">
        <v>1</v>
      </c>
    </row>
    <row r="55" spans="1:12" x14ac:dyDescent="0.25">
      <c r="A55" s="5" t="s">
        <v>168</v>
      </c>
      <c r="B55" s="5" t="s">
        <v>18</v>
      </c>
      <c r="C55" s="7" t="s">
        <v>153</v>
      </c>
      <c r="D55" s="8">
        <v>93</v>
      </c>
      <c r="E55" s="8">
        <v>60</v>
      </c>
      <c r="F55" s="8">
        <v>612</v>
      </c>
      <c r="G55" s="5">
        <v>10.199999999999999</v>
      </c>
      <c r="H55" s="5">
        <v>0</v>
      </c>
      <c r="I55" s="6">
        <f t="shared" si="0"/>
        <v>0</v>
      </c>
      <c r="J55" s="6">
        <f>D55/(VLOOKUP(B55,'[1]2021 Team'!$B$2:$G$33,2,FALSE))</f>
        <v>0.17158671586715868</v>
      </c>
      <c r="K55" s="9">
        <v>64.5</v>
      </c>
      <c r="L55" s="5">
        <v>0</v>
      </c>
    </row>
    <row r="56" spans="1:12" x14ac:dyDescent="0.25">
      <c r="A56" s="5" t="s">
        <v>1783</v>
      </c>
      <c r="B56" s="5" t="s">
        <v>60</v>
      </c>
      <c r="C56" s="7" t="s">
        <v>163</v>
      </c>
      <c r="D56" s="8">
        <v>105</v>
      </c>
      <c r="E56" s="8">
        <v>59</v>
      </c>
      <c r="F56" s="8">
        <v>860</v>
      </c>
      <c r="G56" s="5">
        <v>14.6</v>
      </c>
      <c r="H56" s="5">
        <v>2</v>
      </c>
      <c r="I56" s="6">
        <f t="shared" si="0"/>
        <v>3.3898305084745763E-2</v>
      </c>
      <c r="J56" s="6">
        <f>D56/(VLOOKUP(B56,'[1]2021 Team'!$B$2:$G$33,2,FALSE))</f>
        <v>0.15813253012048192</v>
      </c>
      <c r="K56" s="9">
        <v>56.2</v>
      </c>
      <c r="L56" s="5">
        <v>0</v>
      </c>
    </row>
    <row r="57" spans="1:12" x14ac:dyDescent="0.25">
      <c r="A57" s="5" t="s">
        <v>822</v>
      </c>
      <c r="B57" s="5" t="s">
        <v>38</v>
      </c>
      <c r="C57" s="7" t="s">
        <v>163</v>
      </c>
      <c r="D57" s="8">
        <v>83</v>
      </c>
      <c r="E57" s="8">
        <v>59</v>
      </c>
      <c r="F57" s="8">
        <v>693</v>
      </c>
      <c r="G57" s="5">
        <v>11.7</v>
      </c>
      <c r="H57" s="5">
        <v>2</v>
      </c>
      <c r="I57" s="6">
        <f t="shared" si="0"/>
        <v>3.3898305084745763E-2</v>
      </c>
      <c r="J57" s="6">
        <f>D57/(VLOOKUP(B57,'[1]2021 Team'!$B$2:$G$33,2,FALSE))</f>
        <v>0.12296296296296297</v>
      </c>
      <c r="K57" s="9">
        <v>71.099999999999994</v>
      </c>
      <c r="L57" s="5">
        <v>3</v>
      </c>
    </row>
    <row r="58" spans="1:12" x14ac:dyDescent="0.25">
      <c r="A58" s="5" t="s">
        <v>184</v>
      </c>
      <c r="B58" s="5" t="s">
        <v>26</v>
      </c>
      <c r="C58" s="7" t="s">
        <v>163</v>
      </c>
      <c r="D58" s="8">
        <v>98</v>
      </c>
      <c r="E58" s="8">
        <v>58</v>
      </c>
      <c r="F58" s="8">
        <v>776</v>
      </c>
      <c r="G58" s="5">
        <v>13.4</v>
      </c>
      <c r="H58" s="5">
        <v>2</v>
      </c>
      <c r="I58" s="6">
        <f t="shared" si="0"/>
        <v>3.4482758620689655E-2</v>
      </c>
      <c r="J58" s="6">
        <f>D58/(VLOOKUP(B58,'[1]2021 Team'!$B$2:$G$33,2,FALSE))</f>
        <v>0.18114602587800369</v>
      </c>
      <c r="K58" s="9">
        <v>59.2</v>
      </c>
      <c r="L58" s="5">
        <v>0</v>
      </c>
    </row>
    <row r="59" spans="1:12" x14ac:dyDescent="0.25">
      <c r="A59" s="5" t="s">
        <v>1771</v>
      </c>
      <c r="B59" s="5" t="s">
        <v>62</v>
      </c>
      <c r="C59" s="7" t="s">
        <v>163</v>
      </c>
      <c r="D59" s="8">
        <v>84</v>
      </c>
      <c r="E59" s="8">
        <v>56</v>
      </c>
      <c r="F59" s="8">
        <v>826</v>
      </c>
      <c r="G59" s="5">
        <v>14.8</v>
      </c>
      <c r="H59" s="5">
        <v>5</v>
      </c>
      <c r="I59" s="6">
        <f t="shared" si="0"/>
        <v>8.9285714285714288E-2</v>
      </c>
      <c r="J59" s="6">
        <f>D59/(VLOOKUP(B59,'[1]2021 Team'!$B$2:$G$33,2,FALSE))</f>
        <v>0.16342412451361868</v>
      </c>
      <c r="K59" s="9">
        <v>66.7</v>
      </c>
      <c r="L59" s="5">
        <v>2</v>
      </c>
    </row>
    <row r="60" spans="1:12" x14ac:dyDescent="0.25">
      <c r="A60" s="5" t="s">
        <v>994</v>
      </c>
      <c r="B60" s="5" t="s">
        <v>58</v>
      </c>
      <c r="C60" s="7" t="s">
        <v>153</v>
      </c>
      <c r="D60" s="8">
        <v>76</v>
      </c>
      <c r="E60" s="8">
        <v>56</v>
      </c>
      <c r="F60" s="8">
        <v>830</v>
      </c>
      <c r="G60" s="5">
        <v>14.8</v>
      </c>
      <c r="H60" s="5">
        <v>4</v>
      </c>
      <c r="I60" s="6">
        <f t="shared" si="0"/>
        <v>7.1428571428571425E-2</v>
      </c>
      <c r="J60" s="6">
        <f>D60/(VLOOKUP(B60,'[1]2021 Team'!$B$2:$G$33,2,FALSE))</f>
        <v>0.15384615384615385</v>
      </c>
      <c r="K60" s="9">
        <v>73.7</v>
      </c>
      <c r="L60" s="5">
        <v>1</v>
      </c>
    </row>
    <row r="61" spans="1:12" x14ac:dyDescent="0.25">
      <c r="A61" s="5" t="s">
        <v>1014</v>
      </c>
      <c r="B61" s="5" t="s">
        <v>50</v>
      </c>
      <c r="C61" s="7" t="s">
        <v>163</v>
      </c>
      <c r="D61" s="8">
        <v>70</v>
      </c>
      <c r="E61" s="8">
        <v>55</v>
      </c>
      <c r="F61" s="8">
        <v>800</v>
      </c>
      <c r="G61" s="5">
        <v>14.5</v>
      </c>
      <c r="H61" s="5">
        <v>5</v>
      </c>
      <c r="I61" s="6">
        <f t="shared" si="0"/>
        <v>9.0909090909090912E-2</v>
      </c>
      <c r="J61" s="6">
        <f>D61/(VLOOKUP(B61,'[1]2021 Team'!$B$2:$G$33,2,FALSE))</f>
        <v>0.13084112149532709</v>
      </c>
      <c r="K61" s="9">
        <v>78.599999999999994</v>
      </c>
      <c r="L61" s="5">
        <v>1</v>
      </c>
    </row>
    <row r="62" spans="1:12" x14ac:dyDescent="0.25">
      <c r="A62" s="5" t="s">
        <v>2618</v>
      </c>
      <c r="B62" s="5" t="s">
        <v>66</v>
      </c>
      <c r="C62" s="7" t="s">
        <v>153</v>
      </c>
      <c r="D62" s="8">
        <v>89</v>
      </c>
      <c r="E62" s="8">
        <v>55</v>
      </c>
      <c r="F62" s="8">
        <v>802</v>
      </c>
      <c r="G62" s="5">
        <v>14.6</v>
      </c>
      <c r="H62" s="5">
        <v>6</v>
      </c>
      <c r="I62" s="6">
        <f t="shared" si="0"/>
        <v>0.10909090909090909</v>
      </c>
      <c r="J62" s="6">
        <f>D62/(VLOOKUP(B62,'[1]2021 Team'!$B$2:$G$33,2,FALSE))</f>
        <v>0.12175102599179206</v>
      </c>
      <c r="K62" s="9">
        <v>61.8</v>
      </c>
      <c r="L62" s="5">
        <v>0</v>
      </c>
    </row>
    <row r="63" spans="1:12" x14ac:dyDescent="0.25">
      <c r="A63" s="5" t="s">
        <v>736</v>
      </c>
      <c r="B63" s="5" t="s">
        <v>40</v>
      </c>
      <c r="C63" s="7" t="s">
        <v>153</v>
      </c>
      <c r="D63" s="8">
        <v>93</v>
      </c>
      <c r="E63" s="8">
        <v>55</v>
      </c>
      <c r="F63" s="8">
        <v>665</v>
      </c>
      <c r="G63" s="5">
        <v>12.1</v>
      </c>
      <c r="H63" s="5">
        <v>2</v>
      </c>
      <c r="I63" s="6">
        <f t="shared" si="0"/>
        <v>3.6363636363636362E-2</v>
      </c>
      <c r="J63" s="6">
        <f>D63/(VLOOKUP(B63,'[1]2021 Team'!$B$2:$G$33,2,FALSE))</f>
        <v>0.14808917197452229</v>
      </c>
      <c r="K63" s="9">
        <v>59.1</v>
      </c>
      <c r="L63" s="5">
        <v>0</v>
      </c>
    </row>
    <row r="64" spans="1:12" x14ac:dyDescent="0.25">
      <c r="A64" s="5" t="s">
        <v>2487</v>
      </c>
      <c r="B64" s="5" t="s">
        <v>8</v>
      </c>
      <c r="C64" s="7" t="s">
        <v>163</v>
      </c>
      <c r="D64" s="8">
        <v>92</v>
      </c>
      <c r="E64" s="8">
        <v>54</v>
      </c>
      <c r="F64" s="8">
        <v>848</v>
      </c>
      <c r="G64" s="5">
        <v>15.7</v>
      </c>
      <c r="H64" s="5">
        <v>3</v>
      </c>
      <c r="I64" s="6">
        <f t="shared" si="0"/>
        <v>5.5555555555555552E-2</v>
      </c>
      <c r="J64" s="6">
        <f>D64/(VLOOKUP(B64,'[1]2021 Team'!$B$2:$G$33,2,FALSE))</f>
        <v>0.155668358714044</v>
      </c>
      <c r="K64" s="9">
        <v>58.7</v>
      </c>
      <c r="L64" s="5">
        <v>0</v>
      </c>
    </row>
    <row r="65" spans="1:12" x14ac:dyDescent="0.25">
      <c r="A65" s="5" t="s">
        <v>231</v>
      </c>
      <c r="B65" s="5" t="s">
        <v>40</v>
      </c>
      <c r="C65" s="7" t="s">
        <v>159</v>
      </c>
      <c r="D65" s="8">
        <v>64</v>
      </c>
      <c r="E65" s="8">
        <v>54</v>
      </c>
      <c r="F65" s="8">
        <v>348</v>
      </c>
      <c r="G65" s="5">
        <v>6.4</v>
      </c>
      <c r="H65" s="5">
        <v>0</v>
      </c>
      <c r="I65" s="6">
        <f t="shared" ref="I65:I126" si="1">H65/E65</f>
        <v>0</v>
      </c>
      <c r="J65" s="6">
        <f>D65/(VLOOKUP(B65,'[1]2021 Team'!$B$2:$G$33,2,FALSE))</f>
        <v>0.10191082802547771</v>
      </c>
      <c r="K65" s="9">
        <v>84.4</v>
      </c>
      <c r="L65" s="5">
        <v>2</v>
      </c>
    </row>
    <row r="66" spans="1:12" x14ac:dyDescent="0.25">
      <c r="A66" s="5" t="s">
        <v>1686</v>
      </c>
      <c r="B66" s="5" t="s">
        <v>8</v>
      </c>
      <c r="C66" s="7" t="s">
        <v>163</v>
      </c>
      <c r="D66" s="8">
        <v>64</v>
      </c>
      <c r="E66" s="8">
        <v>54</v>
      </c>
      <c r="F66" s="8">
        <v>435</v>
      </c>
      <c r="G66" s="5">
        <v>8.1</v>
      </c>
      <c r="H66" s="5">
        <v>1</v>
      </c>
      <c r="I66" s="6">
        <f t="shared" si="1"/>
        <v>1.8518518518518517E-2</v>
      </c>
      <c r="J66" s="6">
        <f>D66/(VLOOKUP(B66,'[1]2021 Team'!$B$2:$G$33,2,FALSE))</f>
        <v>0.10829103214890017</v>
      </c>
      <c r="K66" s="9">
        <v>84.4</v>
      </c>
      <c r="L66" s="5">
        <v>3</v>
      </c>
    </row>
    <row r="67" spans="1:12" x14ac:dyDescent="0.25">
      <c r="A67" s="5" t="s">
        <v>1043</v>
      </c>
      <c r="B67" s="5" t="s">
        <v>16</v>
      </c>
      <c r="C67" s="7" t="s">
        <v>163</v>
      </c>
      <c r="D67" s="8">
        <v>110</v>
      </c>
      <c r="E67" s="8">
        <v>53</v>
      </c>
      <c r="F67" s="8">
        <v>519</v>
      </c>
      <c r="G67" s="5">
        <v>9.8000000000000007</v>
      </c>
      <c r="H67" s="5">
        <v>5</v>
      </c>
      <c r="I67" s="6">
        <f t="shared" si="1"/>
        <v>9.4339622641509441E-2</v>
      </c>
      <c r="J67" s="6">
        <f>D67/(VLOOKUP(B67,'[1]2021 Team'!$B$2:$G$33,2,FALSE))</f>
        <v>0.18363939899833054</v>
      </c>
      <c r="K67" s="9">
        <v>48.2</v>
      </c>
      <c r="L67" s="5">
        <v>0</v>
      </c>
    </row>
    <row r="68" spans="1:12" x14ac:dyDescent="0.25">
      <c r="A68" s="5" t="s">
        <v>904</v>
      </c>
      <c r="B68" s="5" t="s">
        <v>26</v>
      </c>
      <c r="C68" s="7" t="s">
        <v>163</v>
      </c>
      <c r="D68" s="8">
        <v>85</v>
      </c>
      <c r="E68" s="8">
        <v>53</v>
      </c>
      <c r="F68" s="8">
        <v>734</v>
      </c>
      <c r="G68" s="5">
        <v>13.8</v>
      </c>
      <c r="H68" s="5">
        <v>5</v>
      </c>
      <c r="I68" s="6">
        <f t="shared" si="1"/>
        <v>9.4339622641509441E-2</v>
      </c>
      <c r="J68" s="6">
        <f>D68/(VLOOKUP(B68,'[1]2021 Team'!$B$2:$G$33,2,FALSE))</f>
        <v>0.15711645101663585</v>
      </c>
      <c r="K68" s="9">
        <v>62.4</v>
      </c>
      <c r="L68" s="5">
        <v>0</v>
      </c>
    </row>
    <row r="69" spans="1:12" x14ac:dyDescent="0.25">
      <c r="A69" s="5" t="s">
        <v>308</v>
      </c>
      <c r="B69" s="5" t="s">
        <v>30</v>
      </c>
      <c r="C69" s="7" t="s">
        <v>159</v>
      </c>
      <c r="D69" s="8">
        <v>65</v>
      </c>
      <c r="E69" s="8">
        <v>52</v>
      </c>
      <c r="F69" s="8">
        <v>391</v>
      </c>
      <c r="G69" s="5">
        <v>7.5</v>
      </c>
      <c r="H69" s="5">
        <v>6</v>
      </c>
      <c r="I69" s="6">
        <f t="shared" si="1"/>
        <v>0.11538461538461539</v>
      </c>
      <c r="J69" s="6">
        <f>D69/(VLOOKUP(B69,'[1]2021 Team'!$B$2:$G$33,2,FALSE))</f>
        <v>0.10961214165261383</v>
      </c>
      <c r="K69" s="9">
        <v>80</v>
      </c>
      <c r="L69" s="5">
        <v>2</v>
      </c>
    </row>
    <row r="70" spans="1:12" x14ac:dyDescent="0.25">
      <c r="A70" s="5" t="s">
        <v>2403</v>
      </c>
      <c r="B70" s="5" t="s">
        <v>22</v>
      </c>
      <c r="C70" s="7" t="s">
        <v>163</v>
      </c>
      <c r="D70" s="8">
        <v>87</v>
      </c>
      <c r="E70" s="8">
        <v>52</v>
      </c>
      <c r="F70" s="8">
        <v>570</v>
      </c>
      <c r="G70" s="5">
        <v>11</v>
      </c>
      <c r="H70" s="5">
        <v>2</v>
      </c>
      <c r="I70" s="6">
        <f t="shared" si="1"/>
        <v>3.8461538461538464E-2</v>
      </c>
      <c r="J70" s="6">
        <f>D70/(VLOOKUP(B70,'[1]2021 Team'!$B$2:$G$33,2,FALSE))</f>
        <v>0.1673076923076923</v>
      </c>
      <c r="K70" s="9">
        <v>59.8</v>
      </c>
      <c r="L70" s="5">
        <v>3</v>
      </c>
    </row>
    <row r="71" spans="1:12" x14ac:dyDescent="0.25">
      <c r="A71" s="5" t="s">
        <v>1674</v>
      </c>
      <c r="B71" s="5" t="s">
        <v>10</v>
      </c>
      <c r="C71" s="7" t="s">
        <v>159</v>
      </c>
      <c r="D71" s="8">
        <v>69</v>
      </c>
      <c r="E71" s="8">
        <v>52</v>
      </c>
      <c r="F71" s="8">
        <v>548</v>
      </c>
      <c r="G71" s="5">
        <v>10.5</v>
      </c>
      <c r="H71" s="5">
        <v>5</v>
      </c>
      <c r="I71" s="6">
        <f t="shared" si="1"/>
        <v>9.6153846153846159E-2</v>
      </c>
      <c r="J71" s="6">
        <f>D71/(VLOOKUP(B71,'[1]2021 Team'!$B$2:$G$33,2,FALSE))</f>
        <v>0.12041884816753927</v>
      </c>
      <c r="K71" s="9">
        <v>75.400000000000006</v>
      </c>
      <c r="L71" s="5">
        <v>2</v>
      </c>
    </row>
    <row r="72" spans="1:12" x14ac:dyDescent="0.25">
      <c r="A72" s="5" t="s">
        <v>1789</v>
      </c>
      <c r="B72" s="5" t="s">
        <v>56</v>
      </c>
      <c r="C72" s="7" t="s">
        <v>163</v>
      </c>
      <c r="D72" s="8">
        <v>71</v>
      </c>
      <c r="E72" s="8">
        <v>51</v>
      </c>
      <c r="F72" s="8">
        <v>447</v>
      </c>
      <c r="G72" s="5">
        <v>8.8000000000000007</v>
      </c>
      <c r="H72" s="5">
        <v>2</v>
      </c>
      <c r="I72" s="6">
        <f t="shared" si="1"/>
        <v>3.9215686274509803E-2</v>
      </c>
      <c r="J72" s="6">
        <f>D72/(VLOOKUP(B72,'[1]2021 Team'!$B$2:$G$33,2,FALSE))</f>
        <v>0.11774461028192372</v>
      </c>
      <c r="K72" s="9">
        <v>71.8</v>
      </c>
      <c r="L72" s="5">
        <v>1</v>
      </c>
    </row>
    <row r="73" spans="1:12" x14ac:dyDescent="0.25">
      <c r="A73" s="5" t="s">
        <v>966</v>
      </c>
      <c r="B73" s="5" t="s">
        <v>50</v>
      </c>
      <c r="C73" s="7" t="s">
        <v>153</v>
      </c>
      <c r="D73" s="8">
        <v>75</v>
      </c>
      <c r="E73" s="8">
        <v>50</v>
      </c>
      <c r="F73" s="8">
        <v>603</v>
      </c>
      <c r="G73" s="5">
        <v>12.1</v>
      </c>
      <c r="H73" s="5">
        <v>9</v>
      </c>
      <c r="I73" s="6">
        <f t="shared" si="1"/>
        <v>0.18</v>
      </c>
      <c r="J73" s="6">
        <f>D73/(VLOOKUP(B73,'[1]2021 Team'!$B$2:$G$33,2,FALSE))</f>
        <v>0.14018691588785046</v>
      </c>
      <c r="K73" s="9">
        <v>66.7</v>
      </c>
      <c r="L73" s="5">
        <v>0</v>
      </c>
    </row>
    <row r="74" spans="1:12" x14ac:dyDescent="0.25">
      <c r="A74" s="5" t="s">
        <v>1031</v>
      </c>
      <c r="B74" s="5" t="s">
        <v>44</v>
      </c>
      <c r="C74" s="7" t="s">
        <v>163</v>
      </c>
      <c r="D74" s="8">
        <v>89</v>
      </c>
      <c r="E74" s="8">
        <v>50</v>
      </c>
      <c r="F74" s="8">
        <v>802</v>
      </c>
      <c r="G74" s="5">
        <v>16</v>
      </c>
      <c r="H74" s="5">
        <v>6</v>
      </c>
      <c r="I74" s="6">
        <f t="shared" si="1"/>
        <v>0.12</v>
      </c>
      <c r="J74" s="6">
        <f>D74/(VLOOKUP(B74,'[1]2021 Team'!$B$2:$G$33,2,FALSE))</f>
        <v>0.14662273476112025</v>
      </c>
      <c r="K74" s="9">
        <v>56.2</v>
      </c>
      <c r="L74" s="5">
        <v>0</v>
      </c>
    </row>
    <row r="75" spans="1:12" x14ac:dyDescent="0.25">
      <c r="A75" s="5" t="s">
        <v>1827</v>
      </c>
      <c r="B75" s="5" t="s">
        <v>48</v>
      </c>
      <c r="C75" s="7" t="s">
        <v>163</v>
      </c>
      <c r="D75" s="8">
        <v>82</v>
      </c>
      <c r="E75" s="8">
        <v>50</v>
      </c>
      <c r="F75" s="8">
        <v>655</v>
      </c>
      <c r="G75" s="5">
        <v>13.1</v>
      </c>
      <c r="H75" s="5">
        <v>7</v>
      </c>
      <c r="I75" s="6">
        <f t="shared" si="1"/>
        <v>0.14000000000000001</v>
      </c>
      <c r="J75" s="6">
        <f>D75/(VLOOKUP(B75,'[1]2021 Team'!$B$2:$G$33,2,FALSE))</f>
        <v>0.13576158940397351</v>
      </c>
      <c r="K75" s="9">
        <v>61</v>
      </c>
      <c r="L75" s="5">
        <v>0</v>
      </c>
    </row>
    <row r="76" spans="1:12" x14ac:dyDescent="0.25">
      <c r="A76" s="5" t="s">
        <v>672</v>
      </c>
      <c r="B76" s="5" t="s">
        <v>46</v>
      </c>
      <c r="C76" s="7" t="s">
        <v>159</v>
      </c>
      <c r="D76" s="8">
        <v>63</v>
      </c>
      <c r="E76" s="8">
        <v>49</v>
      </c>
      <c r="F76" s="8">
        <v>234</v>
      </c>
      <c r="G76" s="5">
        <v>4.8</v>
      </c>
      <c r="H76" s="5">
        <v>4</v>
      </c>
      <c r="I76" s="6">
        <f t="shared" si="1"/>
        <v>8.1632653061224483E-2</v>
      </c>
      <c r="J76" s="6">
        <f>D76/(VLOOKUP(B76,'[1]2021 Team'!$B$2:$G$33,2,FALSE))</f>
        <v>0.1024390243902439</v>
      </c>
      <c r="K76" s="9">
        <v>77.8</v>
      </c>
      <c r="L76" s="5">
        <v>2</v>
      </c>
    </row>
    <row r="77" spans="1:12" x14ac:dyDescent="0.25">
      <c r="A77" s="5" t="s">
        <v>825</v>
      </c>
      <c r="B77" s="5" t="s">
        <v>14</v>
      </c>
      <c r="C77" s="7" t="s">
        <v>153</v>
      </c>
      <c r="D77" s="8">
        <v>71</v>
      </c>
      <c r="E77" s="8">
        <v>49</v>
      </c>
      <c r="F77" s="8">
        <v>587</v>
      </c>
      <c r="G77" s="5">
        <v>12</v>
      </c>
      <c r="H77" s="5">
        <v>9</v>
      </c>
      <c r="I77" s="6">
        <f t="shared" si="1"/>
        <v>0.18367346938775511</v>
      </c>
      <c r="J77" s="6">
        <f>D77/(VLOOKUP(B77,'[1]2021 Team'!$B$2:$G$33,2,FALSE))</f>
        <v>0.10839694656488549</v>
      </c>
      <c r="K77" s="9">
        <v>69</v>
      </c>
      <c r="L77" s="5">
        <v>0</v>
      </c>
    </row>
    <row r="78" spans="1:12" x14ac:dyDescent="0.25">
      <c r="A78" s="5" t="s">
        <v>1857</v>
      </c>
      <c r="B78" s="5" t="s">
        <v>20</v>
      </c>
      <c r="C78" s="7" t="s">
        <v>153</v>
      </c>
      <c r="D78" s="8">
        <v>63</v>
      </c>
      <c r="E78" s="8">
        <v>49</v>
      </c>
      <c r="F78" s="8">
        <v>493</v>
      </c>
      <c r="G78" s="5">
        <v>10.1</v>
      </c>
      <c r="H78" s="5">
        <v>5</v>
      </c>
      <c r="I78" s="6">
        <f t="shared" si="1"/>
        <v>0.10204081632653061</v>
      </c>
      <c r="J78" s="6">
        <f>D78/(VLOOKUP(B78,'[1]2021 Team'!$B$2:$G$33,2,FALSE))</f>
        <v>0.11351351351351352</v>
      </c>
      <c r="K78" s="9">
        <v>77.8</v>
      </c>
      <c r="L78" s="5">
        <v>0</v>
      </c>
    </row>
    <row r="79" spans="1:12" x14ac:dyDescent="0.25">
      <c r="A79" s="5" t="s">
        <v>2605</v>
      </c>
      <c r="B79" s="5" t="s">
        <v>42</v>
      </c>
      <c r="C79" s="7" t="s">
        <v>153</v>
      </c>
      <c r="D79" s="8">
        <v>83</v>
      </c>
      <c r="E79" s="8">
        <v>48</v>
      </c>
      <c r="F79" s="8">
        <v>564</v>
      </c>
      <c r="G79" s="5">
        <v>11.8</v>
      </c>
      <c r="H79" s="5">
        <v>4</v>
      </c>
      <c r="I79" s="6">
        <f t="shared" si="1"/>
        <v>8.3333333333333329E-2</v>
      </c>
      <c r="J79" s="6">
        <f>D79/(VLOOKUP(B79,'[1]2021 Team'!$B$2:$G$33,2,FALSE))</f>
        <v>0.12314540059347182</v>
      </c>
      <c r="K79" s="9">
        <v>57.8</v>
      </c>
      <c r="L79" s="5">
        <v>0</v>
      </c>
    </row>
    <row r="80" spans="1:12" x14ac:dyDescent="0.25">
      <c r="A80" s="5" t="s">
        <v>1729</v>
      </c>
      <c r="B80" s="5" t="s">
        <v>64</v>
      </c>
      <c r="C80" s="7" t="s">
        <v>153</v>
      </c>
      <c r="D80" s="8">
        <v>63</v>
      </c>
      <c r="E80" s="8">
        <v>48</v>
      </c>
      <c r="F80" s="8">
        <v>478</v>
      </c>
      <c r="G80" s="5">
        <v>10</v>
      </c>
      <c r="H80" s="5">
        <v>4</v>
      </c>
      <c r="I80" s="6">
        <f t="shared" si="1"/>
        <v>8.3333333333333329E-2</v>
      </c>
      <c r="J80" s="6">
        <f>D80/(VLOOKUP(B80,'[1]2021 Team'!$B$2:$G$33,2,FALSE))</f>
        <v>0.12727272727272726</v>
      </c>
      <c r="K80" s="9">
        <v>76.2</v>
      </c>
      <c r="L80" s="5">
        <v>2</v>
      </c>
    </row>
    <row r="81" spans="1:12" x14ac:dyDescent="0.25">
      <c r="A81" s="5" t="s">
        <v>722</v>
      </c>
      <c r="B81" s="5" t="s">
        <v>28</v>
      </c>
      <c r="C81" s="7" t="s">
        <v>163</v>
      </c>
      <c r="D81" s="8">
        <v>71</v>
      </c>
      <c r="E81" s="8">
        <v>48</v>
      </c>
      <c r="F81" s="8">
        <v>576</v>
      </c>
      <c r="G81" s="5">
        <v>12</v>
      </c>
      <c r="H81" s="5">
        <v>4</v>
      </c>
      <c r="I81" s="6">
        <f t="shared" si="1"/>
        <v>8.3333333333333329E-2</v>
      </c>
      <c r="J81" s="6">
        <f>D81/(VLOOKUP(B81,'[1]2021 Team'!$B$2:$G$33,2,FALSE))</f>
        <v>0.11973018549747048</v>
      </c>
      <c r="K81" s="9">
        <v>67.599999999999994</v>
      </c>
      <c r="L81" s="5">
        <v>0</v>
      </c>
    </row>
    <row r="82" spans="1:12" x14ac:dyDescent="0.25">
      <c r="A82" s="5" t="s">
        <v>1627</v>
      </c>
      <c r="B82" s="5" t="s">
        <v>24</v>
      </c>
      <c r="C82" s="7" t="s">
        <v>159</v>
      </c>
      <c r="D82" s="8">
        <v>65</v>
      </c>
      <c r="E82" s="8">
        <v>47</v>
      </c>
      <c r="F82" s="8">
        <v>287</v>
      </c>
      <c r="G82" s="5">
        <v>6.1</v>
      </c>
      <c r="H82" s="5">
        <v>2</v>
      </c>
      <c r="I82" s="6">
        <f t="shared" si="1"/>
        <v>4.2553191489361701E-2</v>
      </c>
      <c r="J82" s="6">
        <f>D82/(VLOOKUP(B82,'[1]2021 Team'!$B$2:$G$33,2,FALSE))</f>
        <v>0.10046367851622875</v>
      </c>
      <c r="K82" s="9">
        <v>72.3</v>
      </c>
      <c r="L82" s="5">
        <v>1</v>
      </c>
    </row>
    <row r="83" spans="1:12" x14ac:dyDescent="0.25">
      <c r="A83" s="5" t="s">
        <v>794</v>
      </c>
      <c r="B83" s="5" t="s">
        <v>40</v>
      </c>
      <c r="C83" s="7" t="s">
        <v>163</v>
      </c>
      <c r="D83" s="8">
        <v>70</v>
      </c>
      <c r="E83" s="8">
        <v>47</v>
      </c>
      <c r="F83" s="8">
        <v>546</v>
      </c>
      <c r="G83" s="5">
        <v>11.6</v>
      </c>
      <c r="H83" s="5">
        <v>1</v>
      </c>
      <c r="I83" s="6">
        <f t="shared" si="1"/>
        <v>2.1276595744680851E-2</v>
      </c>
      <c r="J83" s="6">
        <f>D83/(VLOOKUP(B83,'[1]2021 Team'!$B$2:$G$33,2,FALSE))</f>
        <v>0.11146496815286625</v>
      </c>
      <c r="K83" s="9">
        <v>67.099999999999994</v>
      </c>
      <c r="L83" s="5">
        <v>1</v>
      </c>
    </row>
    <row r="84" spans="1:12" x14ac:dyDescent="0.25">
      <c r="A84" s="5" t="s">
        <v>348</v>
      </c>
      <c r="B84" s="5" t="s">
        <v>52</v>
      </c>
      <c r="C84" s="7" t="s">
        <v>159</v>
      </c>
      <c r="D84" s="8">
        <v>67</v>
      </c>
      <c r="E84" s="8">
        <v>47</v>
      </c>
      <c r="F84" s="8">
        <v>439</v>
      </c>
      <c r="G84" s="5">
        <v>9.3000000000000007</v>
      </c>
      <c r="H84" s="5">
        <v>5</v>
      </c>
      <c r="I84" s="6">
        <f t="shared" si="1"/>
        <v>0.10638297872340426</v>
      </c>
      <c r="J84" s="6">
        <f>D84/(VLOOKUP(B84,'[1]2021 Team'!$B$2:$G$33,2,FALSE))</f>
        <v>0.13293650793650794</v>
      </c>
      <c r="K84" s="9">
        <v>70.099999999999994</v>
      </c>
      <c r="L84" s="5">
        <v>0</v>
      </c>
    </row>
    <row r="85" spans="1:12" x14ac:dyDescent="0.25">
      <c r="A85" s="5" t="s">
        <v>2416</v>
      </c>
      <c r="B85" s="5" t="s">
        <v>38</v>
      </c>
      <c r="C85" s="7" t="s">
        <v>159</v>
      </c>
      <c r="D85" s="8">
        <v>57</v>
      </c>
      <c r="E85" s="8">
        <v>47</v>
      </c>
      <c r="F85" s="8">
        <v>452</v>
      </c>
      <c r="G85" s="5">
        <v>9.6</v>
      </c>
      <c r="H85" s="5">
        <v>2</v>
      </c>
      <c r="I85" s="6">
        <f t="shared" si="1"/>
        <v>4.2553191489361701E-2</v>
      </c>
      <c r="J85" s="6">
        <f>D85/(VLOOKUP(B85,'[1]2021 Team'!$B$2:$G$33,2,FALSE))</f>
        <v>8.4444444444444447E-2</v>
      </c>
      <c r="K85" s="9">
        <v>82.5</v>
      </c>
      <c r="L85" s="5">
        <v>0</v>
      </c>
    </row>
    <row r="86" spans="1:12" x14ac:dyDescent="0.25">
      <c r="A86" s="5" t="s">
        <v>812</v>
      </c>
      <c r="B86" s="5" t="s">
        <v>12</v>
      </c>
      <c r="C86" s="7" t="s">
        <v>163</v>
      </c>
      <c r="D86" s="8">
        <v>68</v>
      </c>
      <c r="E86" s="8">
        <v>46</v>
      </c>
      <c r="F86" s="8">
        <v>515</v>
      </c>
      <c r="G86" s="5">
        <v>11.2</v>
      </c>
      <c r="H86" s="5">
        <v>1</v>
      </c>
      <c r="I86" s="6">
        <f t="shared" si="1"/>
        <v>2.1739130434782608E-2</v>
      </c>
      <c r="J86" s="6">
        <f>D86/(VLOOKUP(B86,'[1]2021 Team'!$B$2:$G$33,2,FALSE))</f>
        <v>0.11129296235679215</v>
      </c>
      <c r="K86" s="9">
        <v>67.599999999999994</v>
      </c>
      <c r="L86" s="5">
        <v>0</v>
      </c>
    </row>
    <row r="87" spans="1:12" x14ac:dyDescent="0.25">
      <c r="A87" s="5" t="s">
        <v>885</v>
      </c>
      <c r="B87" s="5" t="s">
        <v>56</v>
      </c>
      <c r="C87" s="7" t="s">
        <v>163</v>
      </c>
      <c r="D87" s="8">
        <v>65</v>
      </c>
      <c r="E87" s="8">
        <v>46</v>
      </c>
      <c r="F87" s="8">
        <v>431</v>
      </c>
      <c r="G87" s="5">
        <v>9.4</v>
      </c>
      <c r="H87" s="5">
        <v>2</v>
      </c>
      <c r="I87" s="6">
        <f t="shared" si="1"/>
        <v>4.3478260869565216E-2</v>
      </c>
      <c r="J87" s="6">
        <f>D87/(VLOOKUP(B87,'[1]2021 Team'!$B$2:$G$33,2,FALSE))</f>
        <v>0.1077943615257048</v>
      </c>
      <c r="K87" s="9">
        <v>70.8</v>
      </c>
      <c r="L87" s="5">
        <v>1</v>
      </c>
    </row>
    <row r="88" spans="1:12" x14ac:dyDescent="0.25">
      <c r="A88" s="5" t="s">
        <v>2469</v>
      </c>
      <c r="B88" s="5" t="s">
        <v>52</v>
      </c>
      <c r="C88" s="7" t="s">
        <v>163</v>
      </c>
      <c r="D88" s="8">
        <v>84</v>
      </c>
      <c r="E88" s="8">
        <v>46</v>
      </c>
      <c r="F88" s="8">
        <v>698</v>
      </c>
      <c r="G88" s="5">
        <v>15.2</v>
      </c>
      <c r="H88" s="5">
        <v>6</v>
      </c>
      <c r="I88" s="6">
        <f t="shared" si="1"/>
        <v>0.13043478260869565</v>
      </c>
      <c r="J88" s="6">
        <f>D88/(VLOOKUP(B88,'[1]2021 Team'!$B$2:$G$33,2,FALSE))</f>
        <v>0.16666666666666666</v>
      </c>
      <c r="K88" s="9">
        <v>54.8</v>
      </c>
      <c r="L88" s="5">
        <v>0</v>
      </c>
    </row>
    <row r="89" spans="1:12" x14ac:dyDescent="0.25">
      <c r="A89" s="5" t="s">
        <v>781</v>
      </c>
      <c r="B89" s="5" t="s">
        <v>54</v>
      </c>
      <c r="C89" s="7" t="s">
        <v>153</v>
      </c>
      <c r="D89" s="8">
        <v>73</v>
      </c>
      <c r="E89" s="8">
        <v>46</v>
      </c>
      <c r="F89" s="8">
        <v>408</v>
      </c>
      <c r="G89" s="5">
        <v>8.9</v>
      </c>
      <c r="H89" s="5">
        <v>3</v>
      </c>
      <c r="I89" s="6">
        <f t="shared" si="1"/>
        <v>6.5217391304347824E-2</v>
      </c>
      <c r="J89" s="6">
        <f>D89/(VLOOKUP(B89,'[1]2021 Team'!$B$2:$G$33,2,FALSE))</f>
        <v>0.12310286677908938</v>
      </c>
      <c r="K89" s="9">
        <v>63</v>
      </c>
      <c r="L89" s="5">
        <v>1</v>
      </c>
    </row>
    <row r="90" spans="1:12" x14ac:dyDescent="0.25">
      <c r="A90" s="5" t="s">
        <v>948</v>
      </c>
      <c r="B90" s="5" t="s">
        <v>24</v>
      </c>
      <c r="C90" s="7" t="s">
        <v>163</v>
      </c>
      <c r="D90" s="8">
        <v>61</v>
      </c>
      <c r="E90" s="8">
        <v>45</v>
      </c>
      <c r="F90" s="8">
        <v>602</v>
      </c>
      <c r="G90" s="5">
        <v>13.4</v>
      </c>
      <c r="H90" s="5">
        <v>6</v>
      </c>
      <c r="I90" s="6">
        <f t="shared" si="1"/>
        <v>0.13333333333333333</v>
      </c>
      <c r="J90" s="6">
        <f>D90/(VLOOKUP(B90,'[1]2021 Team'!$B$2:$G$33,2,FALSE))</f>
        <v>9.428129829984544E-2</v>
      </c>
      <c r="K90" s="9">
        <v>73.8</v>
      </c>
      <c r="L90" s="5">
        <v>3</v>
      </c>
    </row>
    <row r="91" spans="1:12" x14ac:dyDescent="0.25">
      <c r="A91" s="5" t="s">
        <v>1768</v>
      </c>
      <c r="B91" s="5" t="s">
        <v>44</v>
      </c>
      <c r="C91" s="7" t="s">
        <v>163</v>
      </c>
      <c r="D91" s="8">
        <v>69</v>
      </c>
      <c r="E91" s="8">
        <v>45</v>
      </c>
      <c r="F91" s="8">
        <v>556</v>
      </c>
      <c r="G91" s="5">
        <v>12.4</v>
      </c>
      <c r="H91" s="5">
        <v>4</v>
      </c>
      <c r="I91" s="6">
        <f t="shared" si="1"/>
        <v>8.8888888888888892E-2</v>
      </c>
      <c r="J91" s="6">
        <f>D91/(VLOOKUP(B91,'[1]2021 Team'!$B$2:$G$33,2,FALSE))</f>
        <v>0.11367380560131796</v>
      </c>
      <c r="K91" s="9">
        <v>65.2</v>
      </c>
      <c r="L91" s="5">
        <v>0</v>
      </c>
    </row>
    <row r="92" spans="1:12" x14ac:dyDescent="0.25">
      <c r="A92" s="5" t="s">
        <v>2432</v>
      </c>
      <c r="B92" s="5" t="s">
        <v>10</v>
      </c>
      <c r="C92" s="7" t="s">
        <v>159</v>
      </c>
      <c r="D92" s="8">
        <v>58</v>
      </c>
      <c r="E92" s="8">
        <v>44</v>
      </c>
      <c r="F92" s="8">
        <v>259</v>
      </c>
      <c r="G92" s="5">
        <v>5.9</v>
      </c>
      <c r="H92" s="5">
        <v>1</v>
      </c>
      <c r="I92" s="6">
        <f t="shared" si="1"/>
        <v>2.2727272727272728E-2</v>
      </c>
      <c r="J92" s="6">
        <f>D92/(VLOOKUP(B92,'[1]2021 Team'!$B$2:$G$33,2,FALSE))</f>
        <v>0.1012216404886562</v>
      </c>
      <c r="K92" s="9">
        <v>75.900000000000006</v>
      </c>
      <c r="L92" s="5">
        <v>4</v>
      </c>
    </row>
    <row r="93" spans="1:12" x14ac:dyDescent="0.25">
      <c r="A93" s="5" t="s">
        <v>1774</v>
      </c>
      <c r="B93" s="5" t="s">
        <v>22</v>
      </c>
      <c r="C93" s="7" t="s">
        <v>163</v>
      </c>
      <c r="D93" s="8">
        <v>34</v>
      </c>
      <c r="E93" s="8">
        <v>17</v>
      </c>
      <c r="F93" s="8">
        <v>232</v>
      </c>
      <c r="G93" s="5">
        <v>13.6</v>
      </c>
      <c r="H93" s="5">
        <v>0</v>
      </c>
      <c r="I93" s="6">
        <f t="shared" si="1"/>
        <v>0</v>
      </c>
      <c r="J93" s="6">
        <f>D93/(VLOOKUP(B93,'[1]2021 Team'!$B$2:$G$33,2,FALSE))</f>
        <v>6.5384615384615388E-2</v>
      </c>
      <c r="K93" s="9">
        <v>50</v>
      </c>
      <c r="L93" s="5">
        <v>0</v>
      </c>
    </row>
    <row r="94" spans="1:12" x14ac:dyDescent="0.25">
      <c r="A94" s="5" t="s">
        <v>1774</v>
      </c>
      <c r="B94" s="5" t="s">
        <v>44</v>
      </c>
      <c r="C94" s="7" t="s">
        <v>163</v>
      </c>
      <c r="D94" s="8">
        <v>48</v>
      </c>
      <c r="E94" s="8">
        <v>27</v>
      </c>
      <c r="F94" s="8">
        <v>305</v>
      </c>
      <c r="G94" s="5">
        <v>11.3</v>
      </c>
      <c r="H94" s="5">
        <v>5</v>
      </c>
      <c r="I94" s="6">
        <f t="shared" si="1"/>
        <v>0.18518518518518517</v>
      </c>
      <c r="J94" s="6">
        <f>D94/(VLOOKUP(B94,'[1]2021 Team'!$B$2:$G$33,2,FALSE))</f>
        <v>7.907742998352553E-2</v>
      </c>
      <c r="K94" s="9">
        <v>56.3</v>
      </c>
      <c r="L94" s="5">
        <v>0</v>
      </c>
    </row>
    <row r="95" spans="1:12" x14ac:dyDescent="0.25">
      <c r="A95" s="5" t="s">
        <v>1675</v>
      </c>
      <c r="B95" s="5" t="s">
        <v>8</v>
      </c>
      <c r="C95" s="7" t="s">
        <v>159</v>
      </c>
      <c r="D95" s="8">
        <v>53</v>
      </c>
      <c r="E95" s="8">
        <v>43</v>
      </c>
      <c r="F95" s="8">
        <v>311</v>
      </c>
      <c r="G95" s="5">
        <v>7.2</v>
      </c>
      <c r="H95" s="5">
        <v>0</v>
      </c>
      <c r="I95" s="6">
        <f t="shared" si="1"/>
        <v>0</v>
      </c>
      <c r="J95" s="6">
        <f>D95/(VLOOKUP(B95,'[1]2021 Team'!$B$2:$G$33,2,FALSE))</f>
        <v>8.9678510998307953E-2</v>
      </c>
      <c r="K95" s="9">
        <v>81.099999999999994</v>
      </c>
      <c r="L95" s="5">
        <v>1</v>
      </c>
    </row>
    <row r="96" spans="1:12" x14ac:dyDescent="0.25">
      <c r="A96" s="5" t="s">
        <v>2414</v>
      </c>
      <c r="B96" s="5" t="s">
        <v>70</v>
      </c>
      <c r="C96" s="7" t="s">
        <v>159</v>
      </c>
      <c r="D96" s="8">
        <v>53</v>
      </c>
      <c r="E96" s="8">
        <v>43</v>
      </c>
      <c r="F96" s="8">
        <v>397</v>
      </c>
      <c r="G96" s="5">
        <v>9.1999999999999993</v>
      </c>
      <c r="H96" s="5">
        <v>2</v>
      </c>
      <c r="I96" s="6">
        <f t="shared" si="1"/>
        <v>4.6511627906976744E-2</v>
      </c>
      <c r="J96" s="6">
        <f>D96/(VLOOKUP(B96,'[1]2021 Team'!$B$2:$G$33,2,FALSE))</f>
        <v>9.636363636363636E-2</v>
      </c>
      <c r="K96" s="9">
        <v>81.099999999999994</v>
      </c>
      <c r="L96" s="5">
        <v>0</v>
      </c>
    </row>
    <row r="97" spans="1:12" x14ac:dyDescent="0.25">
      <c r="A97" s="5" t="s">
        <v>634</v>
      </c>
      <c r="B97" s="5" t="s">
        <v>56</v>
      </c>
      <c r="C97" s="7" t="s">
        <v>163</v>
      </c>
      <c r="D97" s="8">
        <v>77</v>
      </c>
      <c r="E97" s="8">
        <v>43</v>
      </c>
      <c r="F97" s="8">
        <v>538</v>
      </c>
      <c r="G97" s="5">
        <v>12.5</v>
      </c>
      <c r="H97" s="5">
        <v>5</v>
      </c>
      <c r="I97" s="6">
        <f t="shared" si="1"/>
        <v>0.11627906976744186</v>
      </c>
      <c r="J97" s="6">
        <f>D97/(VLOOKUP(B97,'[1]2021 Team'!$B$2:$G$33,2,FALSE))</f>
        <v>0.12769485903814262</v>
      </c>
      <c r="K97" s="9">
        <v>55.8</v>
      </c>
      <c r="L97" s="5">
        <v>0</v>
      </c>
    </row>
    <row r="98" spans="1:12" x14ac:dyDescent="0.25">
      <c r="A98" s="5" t="s">
        <v>1860</v>
      </c>
      <c r="B98" s="5" t="s">
        <v>58</v>
      </c>
      <c r="C98" s="7" t="s">
        <v>163</v>
      </c>
      <c r="D98" s="8">
        <v>62</v>
      </c>
      <c r="E98" s="8">
        <v>43</v>
      </c>
      <c r="F98" s="8">
        <v>647</v>
      </c>
      <c r="G98" s="5">
        <v>15</v>
      </c>
      <c r="H98" s="5">
        <v>1</v>
      </c>
      <c r="I98" s="6">
        <f t="shared" si="1"/>
        <v>2.3255813953488372E-2</v>
      </c>
      <c r="J98" s="6">
        <f>D98/(VLOOKUP(B98,'[1]2021 Team'!$B$2:$G$33,2,FALSE))</f>
        <v>0.12550607287449392</v>
      </c>
      <c r="K98" s="9">
        <v>69.400000000000006</v>
      </c>
      <c r="L98" s="5">
        <v>0</v>
      </c>
    </row>
    <row r="99" spans="1:12" x14ac:dyDescent="0.25">
      <c r="A99" s="5" t="s">
        <v>263</v>
      </c>
      <c r="B99" s="5" t="s">
        <v>26</v>
      </c>
      <c r="C99" s="7" t="s">
        <v>159</v>
      </c>
      <c r="D99" s="8">
        <v>53</v>
      </c>
      <c r="E99" s="8">
        <v>43</v>
      </c>
      <c r="F99" s="8">
        <v>316</v>
      </c>
      <c r="G99" s="5">
        <v>7.3</v>
      </c>
      <c r="H99" s="5">
        <v>3</v>
      </c>
      <c r="I99" s="6">
        <f t="shared" si="1"/>
        <v>6.9767441860465115E-2</v>
      </c>
      <c r="J99" s="6">
        <f>D99/(VLOOKUP(B99,'[1]2021 Team'!$B$2:$G$33,2,FALSE))</f>
        <v>9.7966728280961188E-2</v>
      </c>
      <c r="K99" s="9">
        <v>81.099999999999994</v>
      </c>
      <c r="L99" s="5">
        <v>2</v>
      </c>
    </row>
    <row r="100" spans="1:12" x14ac:dyDescent="0.25">
      <c r="A100" s="5" t="s">
        <v>2571</v>
      </c>
      <c r="B100" s="5" t="s">
        <v>66</v>
      </c>
      <c r="C100" s="7" t="s">
        <v>163</v>
      </c>
      <c r="D100" s="8">
        <v>62</v>
      </c>
      <c r="E100" s="8">
        <v>42</v>
      </c>
      <c r="F100" s="8">
        <v>545</v>
      </c>
      <c r="G100" s="5">
        <v>13</v>
      </c>
      <c r="H100" s="5">
        <v>4</v>
      </c>
      <c r="I100" s="6">
        <f t="shared" si="1"/>
        <v>9.5238095238095233E-2</v>
      </c>
      <c r="J100" s="6">
        <f>D100/(VLOOKUP(B100,'[1]2021 Team'!$B$2:$G$33,2,FALSE))</f>
        <v>8.4815321477428179E-2</v>
      </c>
      <c r="K100" s="9">
        <v>67.7</v>
      </c>
      <c r="L100" s="5">
        <v>0</v>
      </c>
    </row>
    <row r="101" spans="1:12" x14ac:dyDescent="0.25">
      <c r="A101" s="5" t="s">
        <v>499</v>
      </c>
      <c r="B101" s="5" t="s">
        <v>70</v>
      </c>
      <c r="C101" s="7" t="s">
        <v>159</v>
      </c>
      <c r="D101" s="8">
        <v>52</v>
      </c>
      <c r="E101" s="8">
        <v>42</v>
      </c>
      <c r="F101" s="8">
        <v>294</v>
      </c>
      <c r="G101" s="5">
        <v>7</v>
      </c>
      <c r="H101" s="5">
        <v>3</v>
      </c>
      <c r="I101" s="6">
        <f t="shared" si="1"/>
        <v>7.1428571428571425E-2</v>
      </c>
      <c r="J101" s="6">
        <f>D101/(VLOOKUP(B101,'[1]2021 Team'!$B$2:$G$33,2,FALSE))</f>
        <v>9.4545454545454544E-2</v>
      </c>
      <c r="K101" s="9">
        <v>80.8</v>
      </c>
      <c r="L101" s="5">
        <v>6</v>
      </c>
    </row>
    <row r="102" spans="1:12" x14ac:dyDescent="0.25">
      <c r="A102" s="5" t="s">
        <v>813</v>
      </c>
      <c r="B102" s="5" t="s">
        <v>8</v>
      </c>
      <c r="C102" s="7" t="s">
        <v>163</v>
      </c>
      <c r="D102" s="8">
        <v>64</v>
      </c>
      <c r="E102" s="8">
        <v>42</v>
      </c>
      <c r="F102" s="8">
        <v>572</v>
      </c>
      <c r="G102" s="5">
        <v>13.6</v>
      </c>
      <c r="H102" s="5">
        <v>8</v>
      </c>
      <c r="I102" s="6">
        <f t="shared" si="1"/>
        <v>0.19047619047619047</v>
      </c>
      <c r="J102" s="6">
        <f>D102/(VLOOKUP(B102,'[1]2021 Team'!$B$2:$G$33,2,FALSE))</f>
        <v>0.10829103214890017</v>
      </c>
      <c r="K102" s="9">
        <v>65.599999999999994</v>
      </c>
      <c r="L102" s="5">
        <v>0</v>
      </c>
    </row>
    <row r="103" spans="1:12" x14ac:dyDescent="0.25">
      <c r="A103" s="5" t="s">
        <v>1593</v>
      </c>
      <c r="B103" s="5" t="s">
        <v>20</v>
      </c>
      <c r="C103" s="7" t="s">
        <v>159</v>
      </c>
      <c r="D103" s="8">
        <v>48</v>
      </c>
      <c r="E103" s="8">
        <v>42</v>
      </c>
      <c r="F103" s="8">
        <v>314</v>
      </c>
      <c r="G103" s="5">
        <v>7.5</v>
      </c>
      <c r="H103" s="5">
        <v>3</v>
      </c>
      <c r="I103" s="6">
        <f t="shared" si="1"/>
        <v>7.1428571428571425E-2</v>
      </c>
      <c r="J103" s="6">
        <f>D103/(VLOOKUP(B103,'[1]2021 Team'!$B$2:$G$33,2,FALSE))</f>
        <v>8.6486486486486491E-2</v>
      </c>
      <c r="K103" s="9">
        <v>87.5</v>
      </c>
      <c r="L103" s="5">
        <v>2</v>
      </c>
    </row>
    <row r="104" spans="1:12" x14ac:dyDescent="0.25">
      <c r="A104" s="5" t="s">
        <v>158</v>
      </c>
      <c r="B104" s="5" t="s">
        <v>18</v>
      </c>
      <c r="C104" s="7" t="s">
        <v>159</v>
      </c>
      <c r="D104" s="8">
        <v>51</v>
      </c>
      <c r="E104" s="8">
        <v>42</v>
      </c>
      <c r="F104" s="8">
        <v>301</v>
      </c>
      <c r="G104" s="5">
        <v>7.2</v>
      </c>
      <c r="H104" s="5">
        <v>0</v>
      </c>
      <c r="I104" s="6">
        <f t="shared" si="1"/>
        <v>0</v>
      </c>
      <c r="J104" s="6">
        <f>D104/(VLOOKUP(B104,'[1]2021 Team'!$B$2:$G$33,2,FALSE))</f>
        <v>9.4095940959409596E-2</v>
      </c>
      <c r="K104" s="9">
        <v>82.4</v>
      </c>
      <c r="L104" s="5">
        <v>1</v>
      </c>
    </row>
    <row r="105" spans="1:12" x14ac:dyDescent="0.25">
      <c r="A105" s="5" t="s">
        <v>1834</v>
      </c>
      <c r="B105" s="5" t="s">
        <v>38</v>
      </c>
      <c r="C105" s="7" t="s">
        <v>163</v>
      </c>
      <c r="D105" s="8">
        <v>60</v>
      </c>
      <c r="E105" s="8">
        <v>42</v>
      </c>
      <c r="F105" s="8">
        <v>568</v>
      </c>
      <c r="G105" s="5">
        <v>13.5</v>
      </c>
      <c r="H105" s="5">
        <v>5</v>
      </c>
      <c r="I105" s="6">
        <f t="shared" si="1"/>
        <v>0.11904761904761904</v>
      </c>
      <c r="J105" s="6">
        <f>D105/(VLOOKUP(B105,'[1]2021 Team'!$B$2:$G$33,2,FALSE))</f>
        <v>8.8888888888888892E-2</v>
      </c>
      <c r="K105" s="9">
        <v>70</v>
      </c>
      <c r="L105" s="5">
        <v>2</v>
      </c>
    </row>
    <row r="106" spans="1:12" x14ac:dyDescent="0.25">
      <c r="A106" s="5" t="s">
        <v>2570</v>
      </c>
      <c r="B106" s="5" t="s">
        <v>14</v>
      </c>
      <c r="C106" s="7" t="s">
        <v>163</v>
      </c>
      <c r="D106" s="8">
        <v>72</v>
      </c>
      <c r="E106" s="8">
        <v>42</v>
      </c>
      <c r="F106" s="8">
        <v>626</v>
      </c>
      <c r="G106" s="5">
        <v>14.9</v>
      </c>
      <c r="H106" s="5">
        <v>4</v>
      </c>
      <c r="I106" s="6">
        <f t="shared" si="1"/>
        <v>9.5238095238095233E-2</v>
      </c>
      <c r="J106" s="6">
        <f>D106/(VLOOKUP(B106,'[1]2021 Team'!$B$2:$G$33,2,FALSE))</f>
        <v>0.1099236641221374</v>
      </c>
      <c r="K106" s="9">
        <v>58.3</v>
      </c>
      <c r="L106" s="5">
        <v>0</v>
      </c>
    </row>
    <row r="107" spans="1:12" x14ac:dyDescent="0.25">
      <c r="A107" s="5" t="s">
        <v>204</v>
      </c>
      <c r="B107" s="5" t="s">
        <v>54</v>
      </c>
      <c r="C107" s="7" t="s">
        <v>159</v>
      </c>
      <c r="D107" s="8">
        <v>57</v>
      </c>
      <c r="E107" s="8">
        <v>41</v>
      </c>
      <c r="F107" s="8">
        <v>263</v>
      </c>
      <c r="G107" s="5">
        <v>6.4</v>
      </c>
      <c r="H107" s="5">
        <v>2</v>
      </c>
      <c r="I107" s="6">
        <f t="shared" si="1"/>
        <v>4.878048780487805E-2</v>
      </c>
      <c r="J107" s="6">
        <f>D107/(VLOOKUP(B107,'[1]2021 Team'!$B$2:$G$33,2,FALSE))</f>
        <v>9.6121416526138273E-2</v>
      </c>
      <c r="K107" s="9">
        <v>71.900000000000006</v>
      </c>
      <c r="L107" s="5">
        <v>2</v>
      </c>
    </row>
    <row r="108" spans="1:12" x14ac:dyDescent="0.25">
      <c r="A108" s="5" t="s">
        <v>1723</v>
      </c>
      <c r="B108" s="5" t="s">
        <v>50</v>
      </c>
      <c r="C108" s="7" t="s">
        <v>159</v>
      </c>
      <c r="D108" s="8">
        <v>49</v>
      </c>
      <c r="E108" s="8">
        <v>41</v>
      </c>
      <c r="F108" s="8">
        <v>405</v>
      </c>
      <c r="G108" s="5">
        <v>9.9</v>
      </c>
      <c r="H108" s="5">
        <v>2</v>
      </c>
      <c r="I108" s="6">
        <f t="shared" si="1"/>
        <v>4.878048780487805E-2</v>
      </c>
      <c r="J108" s="6">
        <f>D108/(VLOOKUP(B108,'[1]2021 Team'!$B$2:$G$33,2,FALSE))</f>
        <v>9.1588785046728974E-2</v>
      </c>
      <c r="K108" s="9">
        <v>83.7</v>
      </c>
      <c r="L108" s="5">
        <v>1</v>
      </c>
    </row>
    <row r="109" spans="1:12" x14ac:dyDescent="0.25">
      <c r="A109" s="5" t="s">
        <v>2629</v>
      </c>
      <c r="B109" s="5" t="s">
        <v>70</v>
      </c>
      <c r="C109" s="7" t="s">
        <v>163</v>
      </c>
      <c r="D109" s="8">
        <v>62</v>
      </c>
      <c r="E109" s="8">
        <v>41</v>
      </c>
      <c r="F109" s="8">
        <v>383</v>
      </c>
      <c r="G109" s="5">
        <v>9.3000000000000007</v>
      </c>
      <c r="H109" s="5">
        <v>0</v>
      </c>
      <c r="I109" s="6">
        <f t="shared" si="1"/>
        <v>0</v>
      </c>
      <c r="J109" s="6">
        <f>D109/(VLOOKUP(B109,'[1]2021 Team'!$B$2:$G$33,2,FALSE))</f>
        <v>0.11272727272727273</v>
      </c>
      <c r="K109" s="9">
        <v>66.099999999999994</v>
      </c>
      <c r="L109" s="5">
        <v>0</v>
      </c>
    </row>
    <row r="110" spans="1:12" x14ac:dyDescent="0.25">
      <c r="A110" s="5" t="s">
        <v>2533</v>
      </c>
      <c r="B110" s="5" t="s">
        <v>54</v>
      </c>
      <c r="C110" s="7" t="s">
        <v>159</v>
      </c>
      <c r="D110" s="8">
        <v>45</v>
      </c>
      <c r="E110" s="8">
        <v>40</v>
      </c>
      <c r="F110" s="8">
        <v>268</v>
      </c>
      <c r="G110" s="5">
        <v>6.7</v>
      </c>
      <c r="H110" s="5">
        <v>1</v>
      </c>
      <c r="I110" s="6">
        <f t="shared" si="1"/>
        <v>2.5000000000000001E-2</v>
      </c>
      <c r="J110" s="6">
        <f>D110/(VLOOKUP(B110,'[1]2021 Team'!$B$2:$G$33,2,FALSE))</f>
        <v>7.5885328836424959E-2</v>
      </c>
      <c r="K110" s="9">
        <v>88.9</v>
      </c>
      <c r="L110" s="5">
        <v>0</v>
      </c>
    </row>
    <row r="111" spans="1:12" x14ac:dyDescent="0.25">
      <c r="A111" s="5" t="s">
        <v>713</v>
      </c>
      <c r="B111" s="5" t="s">
        <v>34</v>
      </c>
      <c r="C111" s="7" t="s">
        <v>159</v>
      </c>
      <c r="D111" s="8">
        <v>57</v>
      </c>
      <c r="E111" s="8">
        <v>40</v>
      </c>
      <c r="F111" s="8">
        <v>310</v>
      </c>
      <c r="G111" s="5">
        <v>7.8</v>
      </c>
      <c r="H111" s="5">
        <v>1</v>
      </c>
      <c r="I111" s="6">
        <f t="shared" si="1"/>
        <v>2.5000000000000001E-2</v>
      </c>
      <c r="J111" s="6">
        <f>D111/(VLOOKUP(B111,'[1]2021 Team'!$B$2:$G$33,2,FALSE))</f>
        <v>0.10940499040307101</v>
      </c>
      <c r="K111" s="9">
        <v>70.2</v>
      </c>
      <c r="L111" s="5">
        <v>3</v>
      </c>
    </row>
    <row r="112" spans="1:12" x14ac:dyDescent="0.25">
      <c r="A112" s="5" t="s">
        <v>978</v>
      </c>
      <c r="B112" s="5" t="s">
        <v>30</v>
      </c>
      <c r="C112" s="7" t="s">
        <v>163</v>
      </c>
      <c r="D112" s="8">
        <v>60</v>
      </c>
      <c r="E112" s="8">
        <v>40</v>
      </c>
      <c r="F112" s="8">
        <v>513</v>
      </c>
      <c r="G112" s="5">
        <v>12.8</v>
      </c>
      <c r="H112" s="5">
        <v>8</v>
      </c>
      <c r="I112" s="6">
        <f t="shared" si="1"/>
        <v>0.2</v>
      </c>
      <c r="J112" s="6">
        <f>D112/(VLOOKUP(B112,'[1]2021 Team'!$B$2:$G$33,2,FALSE))</f>
        <v>0.10118043844856661</v>
      </c>
      <c r="K112" s="9">
        <v>66.7</v>
      </c>
      <c r="L112" s="5">
        <v>0</v>
      </c>
    </row>
    <row r="113" spans="1:12" x14ac:dyDescent="0.25">
      <c r="A113" s="5" t="s">
        <v>1829</v>
      </c>
      <c r="B113" s="5" t="s">
        <v>46</v>
      </c>
      <c r="C113" s="7" t="s">
        <v>163</v>
      </c>
      <c r="D113" s="8">
        <v>73</v>
      </c>
      <c r="E113" s="8">
        <v>40</v>
      </c>
      <c r="F113" s="8">
        <v>515</v>
      </c>
      <c r="G113" s="5">
        <v>12.9</v>
      </c>
      <c r="H113" s="5">
        <v>2</v>
      </c>
      <c r="I113" s="6">
        <f t="shared" si="1"/>
        <v>0.05</v>
      </c>
      <c r="J113" s="6">
        <f>D113/(VLOOKUP(B113,'[1]2021 Team'!$B$2:$G$33,2,FALSE))</f>
        <v>0.11869918699186992</v>
      </c>
      <c r="K113" s="9">
        <v>54.8</v>
      </c>
      <c r="L113" s="5">
        <v>0</v>
      </c>
    </row>
    <row r="114" spans="1:12" x14ac:dyDescent="0.25">
      <c r="A114" s="5" t="s">
        <v>345</v>
      </c>
      <c r="B114" s="5" t="s">
        <v>14</v>
      </c>
      <c r="C114" s="7" t="s">
        <v>159</v>
      </c>
      <c r="D114" s="8">
        <v>50</v>
      </c>
      <c r="E114" s="8">
        <v>40</v>
      </c>
      <c r="F114" s="8">
        <v>228</v>
      </c>
      <c r="G114" s="5">
        <v>5.7</v>
      </c>
      <c r="H114" s="5">
        <v>1</v>
      </c>
      <c r="I114" s="6">
        <f t="shared" si="1"/>
        <v>2.5000000000000001E-2</v>
      </c>
      <c r="J114" s="6">
        <f>D114/(VLOOKUP(B114,'[1]2021 Team'!$B$2:$G$33,2,FALSE))</f>
        <v>7.6335877862595422E-2</v>
      </c>
      <c r="K114" s="9">
        <v>80</v>
      </c>
      <c r="L114" s="5">
        <v>5</v>
      </c>
    </row>
    <row r="115" spans="1:12" x14ac:dyDescent="0.25">
      <c r="A115" s="5" t="s">
        <v>199</v>
      </c>
      <c r="B115" s="5" t="s">
        <v>34</v>
      </c>
      <c r="C115" s="7" t="s">
        <v>159</v>
      </c>
      <c r="D115" s="8">
        <v>51</v>
      </c>
      <c r="E115" s="8">
        <v>40</v>
      </c>
      <c r="F115" s="8">
        <v>360</v>
      </c>
      <c r="G115" s="5">
        <v>9</v>
      </c>
      <c r="H115" s="5">
        <v>2</v>
      </c>
      <c r="I115" s="6">
        <f t="shared" si="1"/>
        <v>0.05</v>
      </c>
      <c r="J115" s="6">
        <f>D115/(VLOOKUP(B115,'[1]2021 Team'!$B$2:$G$33,2,FALSE))</f>
        <v>9.7888675623800381E-2</v>
      </c>
      <c r="K115" s="9">
        <v>78.400000000000006</v>
      </c>
      <c r="L115" s="5">
        <v>4</v>
      </c>
    </row>
    <row r="116" spans="1:12" x14ac:dyDescent="0.25">
      <c r="A116" s="5" t="s">
        <v>806</v>
      </c>
      <c r="B116" s="5" t="s">
        <v>60</v>
      </c>
      <c r="C116" s="7" t="s">
        <v>163</v>
      </c>
      <c r="D116" s="8">
        <v>66</v>
      </c>
      <c r="E116" s="8">
        <v>39</v>
      </c>
      <c r="F116" s="8">
        <v>277</v>
      </c>
      <c r="G116" s="5">
        <v>7.1</v>
      </c>
      <c r="H116" s="5">
        <v>0</v>
      </c>
      <c r="I116" s="6">
        <f t="shared" si="1"/>
        <v>0</v>
      </c>
      <c r="J116" s="6">
        <f>D116/(VLOOKUP(B116,'[1]2021 Team'!$B$2:$G$33,2,FALSE))</f>
        <v>9.9397590361445784E-2</v>
      </c>
      <c r="K116" s="9">
        <v>59.1</v>
      </c>
      <c r="L116" s="5">
        <v>4</v>
      </c>
    </row>
    <row r="117" spans="1:12" x14ac:dyDescent="0.25">
      <c r="A117" s="5" t="s">
        <v>252</v>
      </c>
      <c r="B117" s="5" t="s">
        <v>24</v>
      </c>
      <c r="C117" s="7" t="s">
        <v>159</v>
      </c>
      <c r="D117" s="8">
        <v>46</v>
      </c>
      <c r="E117" s="8">
        <v>39</v>
      </c>
      <c r="F117" s="8">
        <v>337</v>
      </c>
      <c r="G117" s="5">
        <v>8.6</v>
      </c>
      <c r="H117" s="5">
        <v>0</v>
      </c>
      <c r="I117" s="6">
        <f t="shared" si="1"/>
        <v>0</v>
      </c>
      <c r="J117" s="6">
        <f>D117/(VLOOKUP(B117,'[1]2021 Team'!$B$2:$G$33,2,FALSE))</f>
        <v>7.1097372488408042E-2</v>
      </c>
      <c r="K117" s="9">
        <v>84.8</v>
      </c>
      <c r="L117" s="5">
        <v>2</v>
      </c>
    </row>
    <row r="118" spans="1:12" x14ac:dyDescent="0.25">
      <c r="A118" s="5" t="s">
        <v>1586</v>
      </c>
      <c r="B118" s="5" t="s">
        <v>54</v>
      </c>
      <c r="C118" s="7" t="s">
        <v>163</v>
      </c>
      <c r="D118" s="8">
        <v>57</v>
      </c>
      <c r="E118" s="8">
        <v>39</v>
      </c>
      <c r="F118" s="8">
        <v>420</v>
      </c>
      <c r="G118" s="5">
        <v>10.8</v>
      </c>
      <c r="H118" s="5">
        <v>0</v>
      </c>
      <c r="I118" s="6">
        <f t="shared" si="1"/>
        <v>0</v>
      </c>
      <c r="J118" s="6">
        <f>D118/(VLOOKUP(B118,'[1]2021 Team'!$B$2:$G$33,2,FALSE))</f>
        <v>9.6121416526138273E-2</v>
      </c>
      <c r="K118" s="9">
        <v>68.400000000000006</v>
      </c>
      <c r="L118" s="5">
        <v>0</v>
      </c>
    </row>
    <row r="119" spans="1:12" x14ac:dyDescent="0.25">
      <c r="A119" s="5" t="s">
        <v>967</v>
      </c>
      <c r="B119" s="5" t="s">
        <v>22</v>
      </c>
      <c r="C119" s="7" t="s">
        <v>153</v>
      </c>
      <c r="D119" s="8">
        <v>61</v>
      </c>
      <c r="E119" s="8">
        <v>38</v>
      </c>
      <c r="F119" s="8">
        <v>345</v>
      </c>
      <c r="G119" s="5">
        <v>9.1</v>
      </c>
      <c r="H119" s="5">
        <v>3</v>
      </c>
      <c r="I119" s="6">
        <f t="shared" si="1"/>
        <v>7.8947368421052627E-2</v>
      </c>
      <c r="J119" s="6">
        <f>D119/(VLOOKUP(B119,'[1]2021 Team'!$B$2:$G$33,2,FALSE))</f>
        <v>0.11730769230769231</v>
      </c>
      <c r="K119" s="9">
        <v>62.3</v>
      </c>
      <c r="L119" s="5">
        <v>0</v>
      </c>
    </row>
    <row r="120" spans="1:12" x14ac:dyDescent="0.25">
      <c r="A120" s="5" t="s">
        <v>762</v>
      </c>
      <c r="B120" s="5" t="s">
        <v>26</v>
      </c>
      <c r="C120" s="7" t="s">
        <v>163</v>
      </c>
      <c r="D120" s="8">
        <v>56</v>
      </c>
      <c r="E120" s="8">
        <v>38</v>
      </c>
      <c r="F120" s="8">
        <v>467</v>
      </c>
      <c r="G120" s="5">
        <v>12.3</v>
      </c>
      <c r="H120" s="5">
        <v>0</v>
      </c>
      <c r="I120" s="6">
        <f t="shared" si="1"/>
        <v>0</v>
      </c>
      <c r="J120" s="6">
        <f>D120/(VLOOKUP(B120,'[1]2021 Team'!$B$2:$G$33,2,FALSE))</f>
        <v>0.10351201478743069</v>
      </c>
      <c r="K120" s="9">
        <v>67.900000000000006</v>
      </c>
      <c r="L120" s="5">
        <v>1</v>
      </c>
    </row>
    <row r="121" spans="1:12" x14ac:dyDescent="0.25">
      <c r="A121" s="5" t="s">
        <v>1830</v>
      </c>
      <c r="B121" s="5" t="s">
        <v>34</v>
      </c>
      <c r="C121" s="7" t="s">
        <v>163</v>
      </c>
      <c r="D121" s="8">
        <v>69</v>
      </c>
      <c r="E121" s="8">
        <v>38</v>
      </c>
      <c r="F121" s="8">
        <v>384</v>
      </c>
      <c r="G121" s="5">
        <v>10.1</v>
      </c>
      <c r="H121" s="5">
        <v>3</v>
      </c>
      <c r="I121" s="6">
        <f t="shared" si="1"/>
        <v>7.8947368421052627E-2</v>
      </c>
      <c r="J121" s="6">
        <f>D121/(VLOOKUP(B121,'[1]2021 Team'!$B$2:$G$33,2,FALSE))</f>
        <v>0.1324376199616123</v>
      </c>
      <c r="K121" s="9">
        <v>55.1</v>
      </c>
      <c r="L121" s="5">
        <v>1</v>
      </c>
    </row>
    <row r="122" spans="1:12" x14ac:dyDescent="0.25">
      <c r="A122" s="5" t="s">
        <v>1838</v>
      </c>
      <c r="B122" s="5" t="s">
        <v>18</v>
      </c>
      <c r="C122" s="7" t="s">
        <v>163</v>
      </c>
      <c r="D122" s="8">
        <v>66</v>
      </c>
      <c r="E122" s="8">
        <v>38</v>
      </c>
      <c r="F122" s="8">
        <v>410</v>
      </c>
      <c r="G122" s="5">
        <v>10.8</v>
      </c>
      <c r="H122" s="5">
        <v>1</v>
      </c>
      <c r="I122" s="6">
        <f t="shared" si="1"/>
        <v>2.6315789473684209E-2</v>
      </c>
      <c r="J122" s="6">
        <f>D122/(VLOOKUP(B122,'[1]2021 Team'!$B$2:$G$33,2,FALSE))</f>
        <v>0.12177121771217712</v>
      </c>
      <c r="K122" s="9">
        <v>57.6</v>
      </c>
      <c r="L122" s="5">
        <v>0</v>
      </c>
    </row>
    <row r="123" spans="1:12" x14ac:dyDescent="0.25">
      <c r="A123" s="5" t="s">
        <v>947</v>
      </c>
      <c r="B123" s="5" t="s">
        <v>68</v>
      </c>
      <c r="C123" s="7" t="s">
        <v>163</v>
      </c>
      <c r="D123" s="8">
        <v>57</v>
      </c>
      <c r="E123" s="8">
        <v>38</v>
      </c>
      <c r="F123" s="8">
        <v>476</v>
      </c>
      <c r="G123" s="5">
        <v>12.5</v>
      </c>
      <c r="H123" s="5">
        <v>4</v>
      </c>
      <c r="I123" s="6">
        <f t="shared" si="1"/>
        <v>0.10526315789473684</v>
      </c>
      <c r="J123" s="6">
        <f>D123/(VLOOKUP(B123,'[1]2021 Team'!$B$2:$G$33,2,FALSE))</f>
        <v>0.10654205607476636</v>
      </c>
      <c r="K123" s="9">
        <v>66.7</v>
      </c>
      <c r="L123" s="5">
        <v>1</v>
      </c>
    </row>
    <row r="124" spans="1:12" x14ac:dyDescent="0.25">
      <c r="A124" s="5" t="s">
        <v>567</v>
      </c>
      <c r="B124" s="5" t="s">
        <v>48</v>
      </c>
      <c r="C124" s="7" t="s">
        <v>159</v>
      </c>
      <c r="D124" s="8">
        <v>4</v>
      </c>
      <c r="E124" s="8">
        <v>3</v>
      </c>
      <c r="F124" s="8">
        <v>17</v>
      </c>
      <c r="G124" s="5">
        <v>5.7</v>
      </c>
      <c r="H124" s="5">
        <v>0</v>
      </c>
      <c r="I124" s="6">
        <f t="shared" si="1"/>
        <v>0</v>
      </c>
      <c r="J124" s="6">
        <f>D124/(VLOOKUP(B124,'[1]2021 Team'!$B$2:$G$33,2,FALSE))</f>
        <v>6.6225165562913907E-3</v>
      </c>
      <c r="K124" s="9">
        <v>75</v>
      </c>
      <c r="L124" s="5">
        <v>0</v>
      </c>
    </row>
    <row r="125" spans="1:12" x14ac:dyDescent="0.25">
      <c r="A125" s="5" t="s">
        <v>567</v>
      </c>
      <c r="B125" s="5" t="s">
        <v>16</v>
      </c>
      <c r="C125" s="7" t="s">
        <v>159</v>
      </c>
      <c r="D125" s="8">
        <v>49</v>
      </c>
      <c r="E125" s="8">
        <v>35</v>
      </c>
      <c r="F125" s="8">
        <v>272</v>
      </c>
      <c r="G125" s="5">
        <v>7.8</v>
      </c>
      <c r="H125" s="5">
        <v>1</v>
      </c>
      <c r="I125" s="6">
        <f t="shared" si="1"/>
        <v>2.8571428571428571E-2</v>
      </c>
      <c r="J125" s="6">
        <f>D125/(VLOOKUP(B125,'[1]2021 Team'!$B$2:$G$33,2,FALSE))</f>
        <v>8.1803005008347252E-2</v>
      </c>
      <c r="K125" s="9">
        <v>71.400000000000006</v>
      </c>
      <c r="L125" s="5">
        <v>0</v>
      </c>
    </row>
    <row r="126" spans="1:12" x14ac:dyDescent="0.25">
      <c r="A126" s="5" t="s">
        <v>1770</v>
      </c>
      <c r="B126" s="5" t="s">
        <v>50</v>
      </c>
      <c r="C126" s="7" t="s">
        <v>163</v>
      </c>
      <c r="D126" s="8">
        <v>64</v>
      </c>
      <c r="E126" s="8">
        <v>37</v>
      </c>
      <c r="F126" s="8">
        <v>473</v>
      </c>
      <c r="G126" s="5">
        <v>12.8</v>
      </c>
      <c r="H126" s="5">
        <v>3</v>
      </c>
      <c r="I126" s="6">
        <f t="shared" si="1"/>
        <v>8.1081081081081086E-2</v>
      </c>
      <c r="J126" s="6">
        <f>D126/(VLOOKUP(B126,'[1]2021 Team'!$B$2:$G$33,2,FALSE))</f>
        <v>0.11962616822429907</v>
      </c>
      <c r="K126" s="9">
        <v>57.8</v>
      </c>
      <c r="L126" s="5">
        <v>0</v>
      </c>
    </row>
    <row r="127" spans="1:12" x14ac:dyDescent="0.25">
      <c r="A127" s="5" t="s">
        <v>501</v>
      </c>
      <c r="B127" s="5" t="s">
        <v>8</v>
      </c>
      <c r="C127" s="7" t="s">
        <v>159</v>
      </c>
      <c r="D127" s="8">
        <v>39</v>
      </c>
      <c r="E127" s="8">
        <v>37</v>
      </c>
      <c r="F127" s="8">
        <v>375</v>
      </c>
      <c r="G127" s="5">
        <v>10.1</v>
      </c>
      <c r="H127" s="5">
        <v>3</v>
      </c>
      <c r="I127" s="6">
        <f t="shared" ref="I127:I187" si="2">H127/E127</f>
        <v>8.1081081081081086E-2</v>
      </c>
      <c r="J127" s="6">
        <f>D127/(VLOOKUP(B127,'[1]2021 Team'!$B$2:$G$33,2,FALSE))</f>
        <v>6.5989847715736044E-2</v>
      </c>
      <c r="K127" s="9">
        <v>94.9</v>
      </c>
      <c r="L127" s="5">
        <v>2</v>
      </c>
    </row>
    <row r="128" spans="1:12" x14ac:dyDescent="0.25">
      <c r="A128" s="5" t="s">
        <v>2485</v>
      </c>
      <c r="B128" s="5" t="s">
        <v>54</v>
      </c>
      <c r="C128" s="7" t="s">
        <v>163</v>
      </c>
      <c r="D128" s="8">
        <v>76</v>
      </c>
      <c r="E128" s="8">
        <v>37</v>
      </c>
      <c r="F128" s="8">
        <v>521</v>
      </c>
      <c r="G128" s="5">
        <v>14.1</v>
      </c>
      <c r="H128" s="5">
        <v>0</v>
      </c>
      <c r="I128" s="6">
        <f t="shared" si="2"/>
        <v>0</v>
      </c>
      <c r="J128" s="6">
        <f>D128/(VLOOKUP(B128,'[1]2021 Team'!$B$2:$G$33,2,FALSE))</f>
        <v>0.12816188870151771</v>
      </c>
      <c r="K128" s="9">
        <v>48.7</v>
      </c>
      <c r="L128" s="5">
        <v>0</v>
      </c>
    </row>
    <row r="129" spans="1:12" x14ac:dyDescent="0.25">
      <c r="A129" s="5" t="s">
        <v>182</v>
      </c>
      <c r="B129" s="5" t="s">
        <v>16</v>
      </c>
      <c r="C129" s="7" t="s">
        <v>159</v>
      </c>
      <c r="D129" s="8">
        <v>41</v>
      </c>
      <c r="E129" s="8">
        <v>37</v>
      </c>
      <c r="F129" s="8">
        <v>343</v>
      </c>
      <c r="G129" s="5">
        <v>9.3000000000000007</v>
      </c>
      <c r="H129" s="5">
        <v>1</v>
      </c>
      <c r="I129" s="6">
        <f t="shared" si="2"/>
        <v>2.7027027027027029E-2</v>
      </c>
      <c r="J129" s="6">
        <f>D129/(VLOOKUP(B129,'[1]2021 Team'!$B$2:$G$33,2,FALSE))</f>
        <v>6.8447412353923209E-2</v>
      </c>
      <c r="K129" s="9">
        <v>90.2</v>
      </c>
      <c r="L129" s="5">
        <v>1</v>
      </c>
    </row>
    <row r="130" spans="1:12" x14ac:dyDescent="0.25">
      <c r="A130" s="5" t="s">
        <v>395</v>
      </c>
      <c r="B130" s="5" t="s">
        <v>56</v>
      </c>
      <c r="C130" s="7" t="s">
        <v>159</v>
      </c>
      <c r="D130" s="8">
        <v>55</v>
      </c>
      <c r="E130" s="8">
        <v>36</v>
      </c>
      <c r="F130" s="8">
        <v>325</v>
      </c>
      <c r="G130" s="5">
        <v>9</v>
      </c>
      <c r="H130" s="5">
        <v>0</v>
      </c>
      <c r="I130" s="6">
        <f t="shared" si="2"/>
        <v>0</v>
      </c>
      <c r="J130" s="6">
        <f>D130/(VLOOKUP(B130,'[1]2021 Team'!$B$2:$G$33,2,FALSE))</f>
        <v>9.1210613598673301E-2</v>
      </c>
      <c r="K130" s="9">
        <v>65.5</v>
      </c>
      <c r="L130" s="5">
        <v>1</v>
      </c>
    </row>
    <row r="131" spans="1:12" x14ac:dyDescent="0.25">
      <c r="A131" s="5" t="s">
        <v>1726</v>
      </c>
      <c r="B131" s="5" t="s">
        <v>52</v>
      </c>
      <c r="C131" s="7" t="s">
        <v>163</v>
      </c>
      <c r="D131" s="8">
        <v>59</v>
      </c>
      <c r="E131" s="8">
        <v>36</v>
      </c>
      <c r="F131" s="8">
        <v>570</v>
      </c>
      <c r="G131" s="5">
        <v>15.8</v>
      </c>
      <c r="H131" s="5">
        <v>3</v>
      </c>
      <c r="I131" s="6">
        <f t="shared" si="2"/>
        <v>8.3333333333333329E-2</v>
      </c>
      <c r="J131" s="6">
        <f>D131/(VLOOKUP(B131,'[1]2021 Team'!$B$2:$G$33,2,FALSE))</f>
        <v>0.11706349206349206</v>
      </c>
      <c r="K131" s="9">
        <v>61</v>
      </c>
      <c r="L131" s="5">
        <v>2</v>
      </c>
    </row>
    <row r="132" spans="1:12" x14ac:dyDescent="0.25">
      <c r="A132" s="5" t="s">
        <v>977</v>
      </c>
      <c r="B132" s="5" t="s">
        <v>66</v>
      </c>
      <c r="C132" s="7" t="s">
        <v>163</v>
      </c>
      <c r="D132" s="8">
        <v>55</v>
      </c>
      <c r="E132" s="8">
        <v>36</v>
      </c>
      <c r="F132" s="8">
        <v>360</v>
      </c>
      <c r="G132" s="5">
        <v>10</v>
      </c>
      <c r="H132" s="5">
        <v>0</v>
      </c>
      <c r="I132" s="6">
        <f t="shared" si="2"/>
        <v>0</v>
      </c>
      <c r="J132" s="6">
        <f>D132/(VLOOKUP(B132,'[1]2021 Team'!$B$2:$G$33,2,FALSE))</f>
        <v>7.523939808481532E-2</v>
      </c>
      <c r="K132" s="9">
        <v>65.5</v>
      </c>
      <c r="L132" s="5">
        <v>0</v>
      </c>
    </row>
    <row r="133" spans="1:12" x14ac:dyDescent="0.25">
      <c r="A133" s="5" t="s">
        <v>852</v>
      </c>
      <c r="B133" s="5" t="s">
        <v>22</v>
      </c>
      <c r="C133" s="7" t="s">
        <v>153</v>
      </c>
      <c r="D133" s="8">
        <v>53</v>
      </c>
      <c r="E133" s="8">
        <v>36</v>
      </c>
      <c r="F133" s="8">
        <v>475</v>
      </c>
      <c r="G133" s="5">
        <v>13.2</v>
      </c>
      <c r="H133" s="5">
        <v>4</v>
      </c>
      <c r="I133" s="6">
        <f t="shared" si="2"/>
        <v>0.1111111111111111</v>
      </c>
      <c r="J133" s="6">
        <f>D133/(VLOOKUP(B133,'[1]2021 Team'!$B$2:$G$33,2,FALSE))</f>
        <v>0.10192307692307692</v>
      </c>
      <c r="K133" s="9">
        <v>67.900000000000006</v>
      </c>
      <c r="L133" s="5">
        <v>0</v>
      </c>
    </row>
    <row r="134" spans="1:12" x14ac:dyDescent="0.25">
      <c r="A134" s="5" t="s">
        <v>665</v>
      </c>
      <c r="B134" s="5" t="s">
        <v>54</v>
      </c>
      <c r="C134" s="7" t="s">
        <v>163</v>
      </c>
      <c r="D134" s="8">
        <v>53</v>
      </c>
      <c r="E134" s="8">
        <v>36</v>
      </c>
      <c r="F134" s="8">
        <v>366</v>
      </c>
      <c r="G134" s="5">
        <v>10.199999999999999</v>
      </c>
      <c r="H134" s="5">
        <v>1</v>
      </c>
      <c r="I134" s="6">
        <f t="shared" si="2"/>
        <v>2.7777777777777776E-2</v>
      </c>
      <c r="J134" s="6">
        <f>D134/(VLOOKUP(B134,'[1]2021 Team'!$B$2:$G$33,2,FALSE))</f>
        <v>8.9376053962900506E-2</v>
      </c>
      <c r="K134" s="9">
        <v>67.900000000000006</v>
      </c>
      <c r="L134" s="5">
        <v>0</v>
      </c>
    </row>
    <row r="135" spans="1:12" x14ac:dyDescent="0.25">
      <c r="A135" s="5" t="s">
        <v>821</v>
      </c>
      <c r="B135" s="5" t="s">
        <v>14</v>
      </c>
      <c r="C135" s="7" t="s">
        <v>163</v>
      </c>
      <c r="D135" s="8">
        <v>63</v>
      </c>
      <c r="E135" s="8">
        <v>35</v>
      </c>
      <c r="F135" s="8">
        <v>549</v>
      </c>
      <c r="G135" s="5">
        <v>15.7</v>
      </c>
      <c r="H135" s="5">
        <v>6</v>
      </c>
      <c r="I135" s="6">
        <f t="shared" si="2"/>
        <v>0.17142857142857143</v>
      </c>
      <c r="J135" s="6">
        <f>D135/(VLOOKUP(B135,'[1]2021 Team'!$B$2:$G$33,2,FALSE))</f>
        <v>9.6183206106870228E-2</v>
      </c>
      <c r="K135" s="9">
        <v>55.6</v>
      </c>
      <c r="L135" s="5">
        <v>0</v>
      </c>
    </row>
    <row r="136" spans="1:12" x14ac:dyDescent="0.25">
      <c r="A136" s="5" t="s">
        <v>1798</v>
      </c>
      <c r="B136" s="5" t="s">
        <v>24</v>
      </c>
      <c r="C136" s="7" t="s">
        <v>163</v>
      </c>
      <c r="D136" s="8">
        <v>62</v>
      </c>
      <c r="E136" s="8">
        <v>35</v>
      </c>
      <c r="F136" s="8">
        <v>445</v>
      </c>
      <c r="G136" s="5">
        <v>12.7</v>
      </c>
      <c r="H136" s="5">
        <v>2</v>
      </c>
      <c r="I136" s="6">
        <f t="shared" si="2"/>
        <v>5.7142857142857141E-2</v>
      </c>
      <c r="J136" s="6">
        <f>D136/(VLOOKUP(B136,'[1]2021 Team'!$B$2:$G$33,2,FALSE))</f>
        <v>9.5826893353941262E-2</v>
      </c>
      <c r="K136" s="9">
        <v>56.5</v>
      </c>
      <c r="L136" s="5">
        <v>0</v>
      </c>
    </row>
    <row r="137" spans="1:12" x14ac:dyDescent="0.25">
      <c r="A137" s="5" t="s">
        <v>2461</v>
      </c>
      <c r="B137" s="5" t="s">
        <v>16</v>
      </c>
      <c r="C137" s="7" t="s">
        <v>163</v>
      </c>
      <c r="D137" s="8">
        <v>11</v>
      </c>
      <c r="E137" s="8">
        <v>7</v>
      </c>
      <c r="F137" s="8">
        <v>84</v>
      </c>
      <c r="G137" s="5">
        <v>12</v>
      </c>
      <c r="H137" s="5">
        <v>0</v>
      </c>
      <c r="I137" s="6">
        <f t="shared" si="2"/>
        <v>0</v>
      </c>
      <c r="J137" s="6">
        <f>D137/(VLOOKUP(B137,'[1]2021 Team'!$B$2:$G$33,2,FALSE))</f>
        <v>1.8363939899833055E-2</v>
      </c>
      <c r="K137" s="9">
        <v>63.6</v>
      </c>
      <c r="L137" s="5">
        <v>0</v>
      </c>
    </row>
    <row r="138" spans="1:12" x14ac:dyDescent="0.25">
      <c r="A138" s="5" t="s">
        <v>2461</v>
      </c>
      <c r="B138" s="5" t="s">
        <v>36</v>
      </c>
      <c r="C138" s="7" t="s">
        <v>163</v>
      </c>
      <c r="D138" s="8">
        <v>41</v>
      </c>
      <c r="E138" s="8">
        <v>28</v>
      </c>
      <c r="F138" s="8">
        <v>324</v>
      </c>
      <c r="G138" s="5">
        <v>11.6</v>
      </c>
      <c r="H138" s="5">
        <v>0</v>
      </c>
      <c r="I138" s="6">
        <f t="shared" si="2"/>
        <v>0</v>
      </c>
      <c r="J138" s="6">
        <f>D138/(VLOOKUP(B138,'[1]2021 Team'!$B$2:$G$33,2,FALSE))</f>
        <v>6.7880794701986755E-2</v>
      </c>
      <c r="K138" s="9">
        <v>68.3</v>
      </c>
      <c r="L138" s="5">
        <v>1</v>
      </c>
    </row>
    <row r="139" spans="1:12" x14ac:dyDescent="0.25">
      <c r="A139" s="5" t="s">
        <v>1669</v>
      </c>
      <c r="B139" s="5" t="s">
        <v>48</v>
      </c>
      <c r="C139" s="7" t="s">
        <v>159</v>
      </c>
      <c r="D139" s="8">
        <v>49</v>
      </c>
      <c r="E139" s="8">
        <v>34</v>
      </c>
      <c r="F139" s="8">
        <v>224</v>
      </c>
      <c r="G139" s="5">
        <v>6.6</v>
      </c>
      <c r="H139" s="5">
        <v>0</v>
      </c>
      <c r="I139" s="6">
        <f t="shared" si="2"/>
        <v>0</v>
      </c>
      <c r="J139" s="6">
        <f>D139/(VLOOKUP(B139,'[1]2021 Team'!$B$2:$G$33,2,FALSE))</f>
        <v>8.1125827814569534E-2</v>
      </c>
      <c r="K139" s="9">
        <v>69.400000000000006</v>
      </c>
      <c r="L139" s="5">
        <v>3</v>
      </c>
    </row>
    <row r="140" spans="1:12" x14ac:dyDescent="0.25">
      <c r="A140" s="5" t="s">
        <v>2476</v>
      </c>
      <c r="B140" s="5" t="s">
        <v>56</v>
      </c>
      <c r="C140" s="7" t="s">
        <v>163</v>
      </c>
      <c r="D140" s="8">
        <v>59</v>
      </c>
      <c r="E140" s="8">
        <v>34</v>
      </c>
      <c r="F140" s="8">
        <v>492</v>
      </c>
      <c r="G140" s="5">
        <v>14.5</v>
      </c>
      <c r="H140" s="5">
        <v>4</v>
      </c>
      <c r="I140" s="6">
        <f t="shared" si="2"/>
        <v>0.11764705882352941</v>
      </c>
      <c r="J140" s="6">
        <f>D140/(VLOOKUP(B140,'[1]2021 Team'!$B$2:$G$33,2,FALSE))</f>
        <v>9.7844112769485903E-2</v>
      </c>
      <c r="K140" s="9">
        <v>57.6</v>
      </c>
      <c r="L140" s="5">
        <v>2</v>
      </c>
    </row>
    <row r="141" spans="1:12" x14ac:dyDescent="0.25">
      <c r="A141" s="5" t="s">
        <v>570</v>
      </c>
      <c r="B141" s="5" t="s">
        <v>30</v>
      </c>
      <c r="C141" s="7" t="s">
        <v>159</v>
      </c>
      <c r="D141" s="8">
        <v>37</v>
      </c>
      <c r="E141" s="8">
        <v>34</v>
      </c>
      <c r="F141" s="8">
        <v>313</v>
      </c>
      <c r="G141" s="5">
        <v>9.1999999999999993</v>
      </c>
      <c r="H141" s="5">
        <v>2</v>
      </c>
      <c r="I141" s="6">
        <f t="shared" si="2"/>
        <v>5.8823529411764705E-2</v>
      </c>
      <c r="J141" s="6">
        <f>D141/(VLOOKUP(B141,'[1]2021 Team'!$B$2:$G$33,2,FALSE))</f>
        <v>6.2394603709949412E-2</v>
      </c>
      <c r="K141" s="9">
        <v>91.9</v>
      </c>
      <c r="L141" s="5">
        <v>2</v>
      </c>
    </row>
    <row r="142" spans="1:12" x14ac:dyDescent="0.25">
      <c r="A142" s="5" t="s">
        <v>2478</v>
      </c>
      <c r="B142" s="5" t="s">
        <v>40</v>
      </c>
      <c r="C142" s="7" t="s">
        <v>163</v>
      </c>
      <c r="D142" s="8">
        <v>59</v>
      </c>
      <c r="E142" s="8">
        <v>34</v>
      </c>
      <c r="F142" s="8">
        <v>571</v>
      </c>
      <c r="G142" s="5">
        <v>16.8</v>
      </c>
      <c r="H142" s="5">
        <v>3</v>
      </c>
      <c r="I142" s="6">
        <f t="shared" si="2"/>
        <v>8.8235294117647065E-2</v>
      </c>
      <c r="J142" s="6">
        <f>D142/(VLOOKUP(B142,'[1]2021 Team'!$B$2:$G$33,2,FALSE))</f>
        <v>9.3949044585987268E-2</v>
      </c>
      <c r="K142" s="9">
        <v>57.6</v>
      </c>
      <c r="L142" s="5">
        <v>1</v>
      </c>
    </row>
    <row r="143" spans="1:12" x14ac:dyDescent="0.25">
      <c r="A143" s="5" t="s">
        <v>871</v>
      </c>
      <c r="B143" s="5" t="s">
        <v>68</v>
      </c>
      <c r="C143" s="7" t="s">
        <v>613</v>
      </c>
      <c r="D143" s="8">
        <v>43</v>
      </c>
      <c r="E143" s="8">
        <v>34</v>
      </c>
      <c r="F143" s="8">
        <v>291</v>
      </c>
      <c r="G143" s="5">
        <v>8.6</v>
      </c>
      <c r="H143" s="5">
        <v>2</v>
      </c>
      <c r="I143" s="6">
        <f t="shared" si="2"/>
        <v>5.8823529411764705E-2</v>
      </c>
      <c r="J143" s="6">
        <f>D143/(VLOOKUP(B143,'[1]2021 Team'!$B$2:$G$33,2,FALSE))</f>
        <v>8.0373831775700941E-2</v>
      </c>
      <c r="K143" s="9">
        <v>79.099999999999994</v>
      </c>
      <c r="L143" s="5">
        <v>2</v>
      </c>
    </row>
    <row r="144" spans="1:12" x14ac:dyDescent="0.25">
      <c r="A144" s="5" t="s">
        <v>2534</v>
      </c>
      <c r="B144" s="5" t="s">
        <v>12</v>
      </c>
      <c r="C144" s="7" t="s">
        <v>159</v>
      </c>
      <c r="D144" s="8">
        <v>42</v>
      </c>
      <c r="E144" s="8">
        <v>34</v>
      </c>
      <c r="F144" s="8">
        <v>190</v>
      </c>
      <c r="G144" s="5">
        <v>5.6</v>
      </c>
      <c r="H144" s="5">
        <v>1</v>
      </c>
      <c r="I144" s="6">
        <f t="shared" si="2"/>
        <v>2.9411764705882353E-2</v>
      </c>
      <c r="J144" s="6">
        <f>D144/(VLOOKUP(B144,'[1]2021 Team'!$B$2:$G$33,2,FALSE))</f>
        <v>6.8739770867430439E-2</v>
      </c>
      <c r="K144" s="9">
        <v>81</v>
      </c>
      <c r="L144" s="5">
        <v>0</v>
      </c>
    </row>
    <row r="145" spans="1:12" x14ac:dyDescent="0.25">
      <c r="A145" s="5" t="s">
        <v>431</v>
      </c>
      <c r="B145" s="5" t="s">
        <v>56</v>
      </c>
      <c r="C145" s="7" t="s">
        <v>159</v>
      </c>
      <c r="D145" s="8">
        <v>55</v>
      </c>
      <c r="E145" s="8">
        <v>34</v>
      </c>
      <c r="F145" s="8">
        <v>372</v>
      </c>
      <c r="G145" s="5">
        <v>10.9</v>
      </c>
      <c r="H145" s="5">
        <v>2</v>
      </c>
      <c r="I145" s="6">
        <f t="shared" si="2"/>
        <v>5.8823529411764705E-2</v>
      </c>
      <c r="J145" s="6">
        <f>D145/(VLOOKUP(B145,'[1]2021 Team'!$B$2:$G$33,2,FALSE))</f>
        <v>9.1210613598673301E-2</v>
      </c>
      <c r="K145" s="9">
        <v>61.8</v>
      </c>
      <c r="L145" s="5">
        <v>2</v>
      </c>
    </row>
    <row r="146" spans="1:12" x14ac:dyDescent="0.25">
      <c r="A146" s="5" t="s">
        <v>1831</v>
      </c>
      <c r="B146" s="5" t="s">
        <v>22</v>
      </c>
      <c r="C146" s="7" t="s">
        <v>163</v>
      </c>
      <c r="D146" s="8">
        <v>58</v>
      </c>
      <c r="E146" s="8">
        <v>34</v>
      </c>
      <c r="F146" s="8">
        <v>597</v>
      </c>
      <c r="G146" s="5">
        <v>17.600000000000001</v>
      </c>
      <c r="H146" s="5">
        <v>3</v>
      </c>
      <c r="I146" s="6">
        <f t="shared" si="2"/>
        <v>8.8235294117647065E-2</v>
      </c>
      <c r="J146" s="6">
        <f>D146/(VLOOKUP(B146,'[1]2021 Team'!$B$2:$G$33,2,FALSE))</f>
        <v>0.11153846153846154</v>
      </c>
      <c r="K146" s="9">
        <v>58.6</v>
      </c>
      <c r="L146" s="5">
        <v>2</v>
      </c>
    </row>
    <row r="147" spans="1:12" x14ac:dyDescent="0.25">
      <c r="A147" s="5" t="s">
        <v>839</v>
      </c>
      <c r="B147" s="5" t="s">
        <v>46</v>
      </c>
      <c r="C147" s="7" t="s">
        <v>153</v>
      </c>
      <c r="D147" s="8">
        <v>41</v>
      </c>
      <c r="E147" s="8">
        <v>34</v>
      </c>
      <c r="F147" s="8">
        <v>357</v>
      </c>
      <c r="G147" s="5">
        <v>10.5</v>
      </c>
      <c r="H147" s="5">
        <v>0</v>
      </c>
      <c r="I147" s="6">
        <f t="shared" si="2"/>
        <v>0</v>
      </c>
      <c r="J147" s="6">
        <f>D147/(VLOOKUP(B147,'[1]2021 Team'!$B$2:$G$33,2,FALSE))</f>
        <v>6.6666666666666666E-2</v>
      </c>
      <c r="K147" s="9">
        <v>82.9</v>
      </c>
      <c r="L147" s="5">
        <v>0</v>
      </c>
    </row>
    <row r="148" spans="1:12" x14ac:dyDescent="0.25">
      <c r="A148" s="5" t="s">
        <v>725</v>
      </c>
      <c r="B148" s="5" t="s">
        <v>32</v>
      </c>
      <c r="C148" s="7" t="s">
        <v>163</v>
      </c>
      <c r="D148" s="8">
        <v>60</v>
      </c>
      <c r="E148" s="8">
        <v>33</v>
      </c>
      <c r="F148" s="8">
        <v>446</v>
      </c>
      <c r="G148" s="5">
        <v>13.5</v>
      </c>
      <c r="H148" s="5">
        <v>1</v>
      </c>
      <c r="I148" s="6">
        <f t="shared" si="2"/>
        <v>3.0303030303030304E-2</v>
      </c>
      <c r="J148" s="6">
        <f>D148/(VLOOKUP(B148,'[1]2021 Team'!$B$2:$G$33,2,FALSE))</f>
        <v>0.10989010989010989</v>
      </c>
      <c r="K148" s="9">
        <v>55</v>
      </c>
      <c r="L148" s="5">
        <v>0</v>
      </c>
    </row>
    <row r="149" spans="1:12" x14ac:dyDescent="0.25">
      <c r="A149" s="5" t="s">
        <v>837</v>
      </c>
      <c r="B149" s="5" t="s">
        <v>12</v>
      </c>
      <c r="C149" s="7" t="s">
        <v>163</v>
      </c>
      <c r="D149" s="8">
        <v>47</v>
      </c>
      <c r="E149" s="8">
        <v>33</v>
      </c>
      <c r="F149" s="8">
        <v>272</v>
      </c>
      <c r="G149" s="5">
        <v>8.1999999999999993</v>
      </c>
      <c r="H149" s="5">
        <v>2</v>
      </c>
      <c r="I149" s="6">
        <f t="shared" si="2"/>
        <v>6.0606060606060608E-2</v>
      </c>
      <c r="J149" s="6">
        <f>D149/(VLOOKUP(B149,'[1]2021 Team'!$B$2:$G$33,2,FALSE))</f>
        <v>7.6923076923076927E-2</v>
      </c>
      <c r="K149" s="9">
        <v>70.2</v>
      </c>
      <c r="L149" s="5">
        <v>1</v>
      </c>
    </row>
    <row r="150" spans="1:12" x14ac:dyDescent="0.25">
      <c r="A150" s="5" t="s">
        <v>359</v>
      </c>
      <c r="B150" s="5" t="s">
        <v>58</v>
      </c>
      <c r="C150" s="7" t="s">
        <v>159</v>
      </c>
      <c r="D150" s="8">
        <v>50</v>
      </c>
      <c r="E150" s="8">
        <v>33</v>
      </c>
      <c r="F150" s="8">
        <v>253</v>
      </c>
      <c r="G150" s="5">
        <v>7.7</v>
      </c>
      <c r="H150" s="5">
        <v>1</v>
      </c>
      <c r="I150" s="6">
        <f t="shared" si="2"/>
        <v>3.0303030303030304E-2</v>
      </c>
      <c r="J150" s="6">
        <f>D150/(VLOOKUP(B150,'[1]2021 Team'!$B$2:$G$33,2,FALSE))</f>
        <v>0.10121457489878542</v>
      </c>
      <c r="K150" s="9">
        <v>66</v>
      </c>
      <c r="L150" s="5">
        <v>2</v>
      </c>
    </row>
    <row r="151" spans="1:12" x14ac:dyDescent="0.25">
      <c r="A151" s="5" t="s">
        <v>937</v>
      </c>
      <c r="B151" s="5" t="s">
        <v>26</v>
      </c>
      <c r="C151" s="7" t="s">
        <v>153</v>
      </c>
      <c r="D151" s="8">
        <v>40</v>
      </c>
      <c r="E151" s="8">
        <v>33</v>
      </c>
      <c r="F151" s="8">
        <v>330</v>
      </c>
      <c r="G151" s="5">
        <v>10</v>
      </c>
      <c r="H151" s="5">
        <v>2</v>
      </c>
      <c r="I151" s="6">
        <f t="shared" si="2"/>
        <v>6.0606060606060608E-2</v>
      </c>
      <c r="J151" s="6">
        <f>D151/(VLOOKUP(B151,'[1]2021 Team'!$B$2:$G$33,2,FALSE))</f>
        <v>7.3937153419593352E-2</v>
      </c>
      <c r="K151" s="9">
        <v>82.5</v>
      </c>
      <c r="L151" s="5">
        <v>1</v>
      </c>
    </row>
    <row r="152" spans="1:12" x14ac:dyDescent="0.25">
      <c r="A152" s="5" t="s">
        <v>827</v>
      </c>
      <c r="B152" s="5" t="s">
        <v>42</v>
      </c>
      <c r="C152" s="7" t="s">
        <v>163</v>
      </c>
      <c r="D152" s="8">
        <v>49</v>
      </c>
      <c r="E152" s="8">
        <v>33</v>
      </c>
      <c r="F152" s="8">
        <v>353</v>
      </c>
      <c r="G152" s="5">
        <v>10.7</v>
      </c>
      <c r="H152" s="5">
        <v>4</v>
      </c>
      <c r="I152" s="6">
        <f t="shared" si="2"/>
        <v>0.12121212121212122</v>
      </c>
      <c r="J152" s="6">
        <f>D152/(VLOOKUP(B152,'[1]2021 Team'!$B$2:$G$33,2,FALSE))</f>
        <v>7.2700296735905043E-2</v>
      </c>
      <c r="K152" s="9">
        <v>67.3</v>
      </c>
      <c r="L152" s="5">
        <v>0</v>
      </c>
    </row>
    <row r="153" spans="1:12" x14ac:dyDescent="0.25">
      <c r="A153" s="5" t="s">
        <v>1758</v>
      </c>
      <c r="B153" s="5" t="s">
        <v>58</v>
      </c>
      <c r="C153" s="7" t="s">
        <v>163</v>
      </c>
      <c r="D153" s="8">
        <v>57</v>
      </c>
      <c r="E153" s="8">
        <v>33</v>
      </c>
      <c r="F153" s="8">
        <v>299</v>
      </c>
      <c r="G153" s="5">
        <v>9.1</v>
      </c>
      <c r="H153" s="5">
        <v>2</v>
      </c>
      <c r="I153" s="6">
        <f t="shared" si="2"/>
        <v>6.0606060606060608E-2</v>
      </c>
      <c r="J153" s="6">
        <f>D153/(VLOOKUP(B153,'[1]2021 Team'!$B$2:$G$33,2,FALSE))</f>
        <v>0.11538461538461539</v>
      </c>
      <c r="K153" s="9">
        <v>57.9</v>
      </c>
      <c r="L153" s="5">
        <v>2</v>
      </c>
    </row>
    <row r="154" spans="1:12" x14ac:dyDescent="0.25">
      <c r="A154" s="5" t="s">
        <v>1855</v>
      </c>
      <c r="B154" s="5" t="s">
        <v>36</v>
      </c>
      <c r="C154" s="7" t="s">
        <v>163</v>
      </c>
      <c r="D154" s="8">
        <v>51</v>
      </c>
      <c r="E154" s="8">
        <v>33</v>
      </c>
      <c r="F154" s="8">
        <v>434</v>
      </c>
      <c r="G154" s="5">
        <v>13.2</v>
      </c>
      <c r="H154" s="5">
        <v>1</v>
      </c>
      <c r="I154" s="6">
        <f t="shared" si="2"/>
        <v>3.0303030303030304E-2</v>
      </c>
      <c r="J154" s="6">
        <f>D154/(VLOOKUP(B154,'[1]2021 Team'!$B$2:$G$33,2,FALSE))</f>
        <v>8.4437086092715233E-2</v>
      </c>
      <c r="K154" s="9">
        <v>64.7</v>
      </c>
      <c r="L154" s="5">
        <v>0</v>
      </c>
    </row>
    <row r="155" spans="1:12" x14ac:dyDescent="0.25">
      <c r="A155" s="5" t="s">
        <v>2427</v>
      </c>
      <c r="B155" s="5" t="s">
        <v>32</v>
      </c>
      <c r="C155" s="7" t="s">
        <v>159</v>
      </c>
      <c r="D155" s="8">
        <v>42</v>
      </c>
      <c r="E155" s="8">
        <v>32</v>
      </c>
      <c r="F155" s="8">
        <v>225</v>
      </c>
      <c r="G155" s="5">
        <v>7</v>
      </c>
      <c r="H155" s="5">
        <v>1</v>
      </c>
      <c r="I155" s="6">
        <f t="shared" si="2"/>
        <v>3.125E-2</v>
      </c>
      <c r="J155" s="6">
        <f>D155/(VLOOKUP(B155,'[1]2021 Team'!$B$2:$G$33,2,FALSE))</f>
        <v>7.6923076923076927E-2</v>
      </c>
      <c r="K155" s="9">
        <v>76.2</v>
      </c>
      <c r="L155" s="5">
        <v>1</v>
      </c>
    </row>
    <row r="156" spans="1:12" x14ac:dyDescent="0.25">
      <c r="A156" s="5" t="s">
        <v>1634</v>
      </c>
      <c r="B156" s="5" t="s">
        <v>48</v>
      </c>
      <c r="C156" s="7" t="s">
        <v>159</v>
      </c>
      <c r="D156" s="8">
        <v>39</v>
      </c>
      <c r="E156" s="8">
        <v>32</v>
      </c>
      <c r="F156" s="8">
        <v>228</v>
      </c>
      <c r="G156" s="5">
        <v>7.1</v>
      </c>
      <c r="H156" s="5">
        <v>1</v>
      </c>
      <c r="I156" s="6">
        <f t="shared" si="2"/>
        <v>3.125E-2</v>
      </c>
      <c r="J156" s="6">
        <f>D156/(VLOOKUP(B156,'[1]2021 Team'!$B$2:$G$33,2,FALSE))</f>
        <v>6.4569536423841056E-2</v>
      </c>
      <c r="K156" s="9">
        <v>82.1</v>
      </c>
      <c r="L156" s="5">
        <v>1</v>
      </c>
    </row>
    <row r="157" spans="1:12" x14ac:dyDescent="0.25">
      <c r="A157" s="5" t="s">
        <v>2521</v>
      </c>
      <c r="B157" s="5" t="s">
        <v>52</v>
      </c>
      <c r="C157" s="7" t="s">
        <v>163</v>
      </c>
      <c r="D157" s="8">
        <v>50</v>
      </c>
      <c r="E157" s="8">
        <v>32</v>
      </c>
      <c r="F157" s="8">
        <v>377</v>
      </c>
      <c r="G157" s="5">
        <v>11.8</v>
      </c>
      <c r="H157" s="5">
        <v>3</v>
      </c>
      <c r="I157" s="6">
        <f t="shared" si="2"/>
        <v>9.375E-2</v>
      </c>
      <c r="J157" s="6">
        <f>D157/(VLOOKUP(B157,'[1]2021 Team'!$B$2:$G$33,2,FALSE))</f>
        <v>9.9206349206349201E-2</v>
      </c>
      <c r="K157" s="9">
        <v>64</v>
      </c>
      <c r="L157" s="5">
        <v>1</v>
      </c>
    </row>
    <row r="158" spans="1:12" x14ac:dyDescent="0.25">
      <c r="A158" s="5" t="s">
        <v>1801</v>
      </c>
      <c r="B158" s="5" t="s">
        <v>42</v>
      </c>
      <c r="C158" s="7" t="s">
        <v>163</v>
      </c>
      <c r="D158" s="8">
        <v>48</v>
      </c>
      <c r="E158" s="8">
        <v>31</v>
      </c>
      <c r="F158" s="8">
        <v>448</v>
      </c>
      <c r="G158" s="5">
        <v>14.5</v>
      </c>
      <c r="H158" s="5">
        <v>3</v>
      </c>
      <c r="I158" s="6">
        <f t="shared" si="2"/>
        <v>9.6774193548387094E-2</v>
      </c>
      <c r="J158" s="6">
        <f>D158/(VLOOKUP(B158,'[1]2021 Team'!$B$2:$G$33,2,FALSE))</f>
        <v>7.1216617210682495E-2</v>
      </c>
      <c r="K158" s="9">
        <v>64.599999999999994</v>
      </c>
      <c r="L158" s="5">
        <v>1</v>
      </c>
    </row>
    <row r="159" spans="1:12" x14ac:dyDescent="0.25">
      <c r="A159" s="5" t="s">
        <v>1814</v>
      </c>
      <c r="B159" s="5" t="s">
        <v>68</v>
      </c>
      <c r="C159" s="7" t="s">
        <v>163</v>
      </c>
      <c r="D159" s="8">
        <v>48</v>
      </c>
      <c r="E159" s="8">
        <v>31</v>
      </c>
      <c r="F159" s="8">
        <v>434</v>
      </c>
      <c r="G159" s="5">
        <v>14</v>
      </c>
      <c r="H159" s="5">
        <v>1</v>
      </c>
      <c r="I159" s="6">
        <f t="shared" si="2"/>
        <v>3.2258064516129031E-2</v>
      </c>
      <c r="J159" s="6">
        <f>D159/(VLOOKUP(B159,'[1]2021 Team'!$B$2:$G$33,2,FALSE))</f>
        <v>8.9719626168224292E-2</v>
      </c>
      <c r="K159" s="9">
        <v>64.599999999999994</v>
      </c>
      <c r="L159" s="5">
        <v>0</v>
      </c>
    </row>
    <row r="160" spans="1:12" x14ac:dyDescent="0.25">
      <c r="A160" s="5" t="s">
        <v>1038</v>
      </c>
      <c r="B160" s="5" t="s">
        <v>10</v>
      </c>
      <c r="C160" s="7" t="s">
        <v>163</v>
      </c>
      <c r="D160" s="8">
        <v>52</v>
      </c>
      <c r="E160" s="8">
        <v>31</v>
      </c>
      <c r="F160" s="8">
        <v>281</v>
      </c>
      <c r="G160" s="5">
        <v>9.1</v>
      </c>
      <c r="H160" s="5">
        <v>2</v>
      </c>
      <c r="I160" s="6">
        <f t="shared" si="2"/>
        <v>6.4516129032258063E-2</v>
      </c>
      <c r="J160" s="6">
        <f>D160/(VLOOKUP(B160,'[1]2021 Team'!$B$2:$G$33,2,FALSE))</f>
        <v>9.0750436300174514E-2</v>
      </c>
      <c r="K160" s="9">
        <v>59.6</v>
      </c>
      <c r="L160" s="5">
        <v>0</v>
      </c>
    </row>
    <row r="161" spans="1:12" x14ac:dyDescent="0.25">
      <c r="A161" s="5" t="s">
        <v>1760</v>
      </c>
      <c r="B161" s="5" t="s">
        <v>36</v>
      </c>
      <c r="C161" s="7" t="s">
        <v>159</v>
      </c>
      <c r="D161" s="8">
        <v>46</v>
      </c>
      <c r="E161" s="8">
        <v>31</v>
      </c>
      <c r="F161" s="8">
        <v>222</v>
      </c>
      <c r="G161" s="5">
        <v>7.2</v>
      </c>
      <c r="H161" s="5">
        <v>0</v>
      </c>
      <c r="I161" s="6">
        <f t="shared" si="2"/>
        <v>0</v>
      </c>
      <c r="J161" s="6">
        <f>D161/(VLOOKUP(B161,'[1]2021 Team'!$B$2:$G$33,2,FALSE))</f>
        <v>7.6158940397350994E-2</v>
      </c>
      <c r="K161" s="9">
        <v>67.400000000000006</v>
      </c>
      <c r="L161" s="5">
        <v>4</v>
      </c>
    </row>
    <row r="162" spans="1:12" x14ac:dyDescent="0.25">
      <c r="A162" s="5" t="s">
        <v>1851</v>
      </c>
      <c r="B162" s="5" t="s">
        <v>68</v>
      </c>
      <c r="C162" s="7" t="s">
        <v>153</v>
      </c>
      <c r="D162" s="8">
        <v>40</v>
      </c>
      <c r="E162" s="8">
        <v>31</v>
      </c>
      <c r="F162" s="8">
        <v>210</v>
      </c>
      <c r="G162" s="5">
        <v>6.8</v>
      </c>
      <c r="H162" s="5">
        <v>3</v>
      </c>
      <c r="I162" s="6">
        <f t="shared" si="2"/>
        <v>9.6774193548387094E-2</v>
      </c>
      <c r="J162" s="6">
        <f>D162/(VLOOKUP(B162,'[1]2021 Team'!$B$2:$G$33,2,FALSE))</f>
        <v>7.476635514018691E-2</v>
      </c>
      <c r="K162" s="9">
        <v>77.5</v>
      </c>
      <c r="L162" s="5">
        <v>0</v>
      </c>
    </row>
    <row r="163" spans="1:12" x14ac:dyDescent="0.25">
      <c r="A163" s="5" t="s">
        <v>667</v>
      </c>
      <c r="B163" s="5" t="s">
        <v>10</v>
      </c>
      <c r="C163" s="7" t="s">
        <v>163</v>
      </c>
      <c r="D163" s="8">
        <v>53</v>
      </c>
      <c r="E163" s="8">
        <v>31</v>
      </c>
      <c r="F163" s="8">
        <v>406</v>
      </c>
      <c r="G163" s="5">
        <v>13.1</v>
      </c>
      <c r="H163" s="5">
        <v>3</v>
      </c>
      <c r="I163" s="6">
        <f t="shared" si="2"/>
        <v>9.6774193548387094E-2</v>
      </c>
      <c r="J163" s="6">
        <f>D163/(VLOOKUP(B163,'[1]2021 Team'!$B$2:$G$33,2,FALSE))</f>
        <v>9.2495636998254804E-2</v>
      </c>
      <c r="K163" s="9">
        <v>58.5</v>
      </c>
      <c r="L163" s="5">
        <v>0</v>
      </c>
    </row>
    <row r="164" spans="1:12" x14ac:dyDescent="0.25">
      <c r="A164" s="5" t="s">
        <v>2467</v>
      </c>
      <c r="B164" s="5" t="s">
        <v>66</v>
      </c>
      <c r="C164" s="7" t="s">
        <v>153</v>
      </c>
      <c r="D164" s="8">
        <v>57</v>
      </c>
      <c r="E164" s="8">
        <v>30</v>
      </c>
      <c r="F164" s="8">
        <v>245</v>
      </c>
      <c r="G164" s="5">
        <v>8.1999999999999993</v>
      </c>
      <c r="H164" s="5">
        <v>4</v>
      </c>
      <c r="I164" s="6">
        <f t="shared" si="2"/>
        <v>0.13333333333333333</v>
      </c>
      <c r="J164" s="6">
        <f>D164/(VLOOKUP(B164,'[1]2021 Team'!$B$2:$G$33,2,FALSE))</f>
        <v>7.7975376196990423E-2</v>
      </c>
      <c r="K164" s="9">
        <v>52.6</v>
      </c>
      <c r="L164" s="5">
        <v>0</v>
      </c>
    </row>
    <row r="165" spans="1:12" x14ac:dyDescent="0.25">
      <c r="A165" s="5" t="s">
        <v>1741</v>
      </c>
      <c r="B165" s="5" t="s">
        <v>40</v>
      </c>
      <c r="C165" s="7" t="s">
        <v>159</v>
      </c>
      <c r="D165" s="8">
        <v>40</v>
      </c>
      <c r="E165" s="8">
        <v>30</v>
      </c>
      <c r="F165" s="8">
        <v>291</v>
      </c>
      <c r="G165" s="5">
        <v>9.6999999999999993</v>
      </c>
      <c r="H165" s="5">
        <v>1</v>
      </c>
      <c r="I165" s="6">
        <f t="shared" si="2"/>
        <v>3.3333333333333333E-2</v>
      </c>
      <c r="J165" s="6">
        <f>D165/(VLOOKUP(B165,'[1]2021 Team'!$B$2:$G$33,2,FALSE))</f>
        <v>6.3694267515923567E-2</v>
      </c>
      <c r="K165" s="9">
        <v>75</v>
      </c>
      <c r="L165" s="5">
        <v>1</v>
      </c>
    </row>
    <row r="166" spans="1:12" x14ac:dyDescent="0.25">
      <c r="A166" s="5" t="s">
        <v>718</v>
      </c>
      <c r="B166" s="5" t="s">
        <v>62</v>
      </c>
      <c r="C166" s="7" t="s">
        <v>613</v>
      </c>
      <c r="D166" s="8">
        <v>38</v>
      </c>
      <c r="E166" s="8">
        <v>30</v>
      </c>
      <c r="F166" s="8">
        <v>296</v>
      </c>
      <c r="G166" s="5">
        <v>9.9</v>
      </c>
      <c r="H166" s="5">
        <v>1</v>
      </c>
      <c r="I166" s="6">
        <f t="shared" si="2"/>
        <v>3.3333333333333333E-2</v>
      </c>
      <c r="J166" s="6">
        <f>D166/(VLOOKUP(B166,'[1]2021 Team'!$B$2:$G$33,2,FALSE))</f>
        <v>7.3929961089494164E-2</v>
      </c>
      <c r="K166" s="9">
        <v>78.900000000000006</v>
      </c>
      <c r="L166" s="5">
        <v>0</v>
      </c>
    </row>
    <row r="167" spans="1:12" x14ac:dyDescent="0.25">
      <c r="A167" s="5" t="s">
        <v>958</v>
      </c>
      <c r="B167" s="5" t="s">
        <v>40</v>
      </c>
      <c r="C167" s="7" t="s">
        <v>153</v>
      </c>
      <c r="D167" s="8">
        <v>44</v>
      </c>
      <c r="E167" s="8">
        <v>30</v>
      </c>
      <c r="F167" s="8">
        <v>373</v>
      </c>
      <c r="G167" s="5">
        <v>12.4</v>
      </c>
      <c r="H167" s="5">
        <v>3</v>
      </c>
      <c r="I167" s="6">
        <f t="shared" si="2"/>
        <v>0.1</v>
      </c>
      <c r="J167" s="6">
        <f>D167/(VLOOKUP(B167,'[1]2021 Team'!$B$2:$G$33,2,FALSE))</f>
        <v>7.0063694267515922E-2</v>
      </c>
      <c r="K167" s="9">
        <v>68.2</v>
      </c>
      <c r="L167" s="5">
        <v>1</v>
      </c>
    </row>
    <row r="168" spans="1:12" x14ac:dyDescent="0.25">
      <c r="A168" s="5" t="s">
        <v>2582</v>
      </c>
      <c r="B168" s="5" t="s">
        <v>68</v>
      </c>
      <c r="C168" s="7" t="s">
        <v>163</v>
      </c>
      <c r="D168" s="8">
        <v>43</v>
      </c>
      <c r="E168" s="8">
        <v>30</v>
      </c>
      <c r="F168" s="8">
        <v>301</v>
      </c>
      <c r="G168" s="5">
        <v>10</v>
      </c>
      <c r="H168" s="5">
        <v>1</v>
      </c>
      <c r="I168" s="6">
        <f t="shared" si="2"/>
        <v>3.3333333333333333E-2</v>
      </c>
      <c r="J168" s="6">
        <f>D168/(VLOOKUP(B168,'[1]2021 Team'!$B$2:$G$33,2,FALSE))</f>
        <v>8.0373831775700941E-2</v>
      </c>
      <c r="K168" s="9">
        <v>69.8</v>
      </c>
      <c r="L168" s="5">
        <v>4</v>
      </c>
    </row>
    <row r="169" spans="1:12" x14ac:dyDescent="0.25">
      <c r="A169" s="5" t="s">
        <v>2648</v>
      </c>
      <c r="B169" s="5" t="s">
        <v>70</v>
      </c>
      <c r="C169" s="7" t="s">
        <v>153</v>
      </c>
      <c r="D169" s="8">
        <v>49</v>
      </c>
      <c r="E169" s="8">
        <v>30</v>
      </c>
      <c r="F169" s="8">
        <v>271</v>
      </c>
      <c r="G169" s="5">
        <v>9</v>
      </c>
      <c r="H169" s="5">
        <v>2</v>
      </c>
      <c r="I169" s="6">
        <f t="shared" si="2"/>
        <v>6.6666666666666666E-2</v>
      </c>
      <c r="J169" s="6">
        <f>D169/(VLOOKUP(B169,'[1]2021 Team'!$B$2:$G$33,2,FALSE))</f>
        <v>8.9090909090909096E-2</v>
      </c>
      <c r="K169" s="9">
        <v>61.2</v>
      </c>
      <c r="L169" s="5">
        <v>0</v>
      </c>
    </row>
    <row r="170" spans="1:12" x14ac:dyDescent="0.25">
      <c r="A170" s="5" t="s">
        <v>2612</v>
      </c>
      <c r="B170" s="5" t="s">
        <v>34</v>
      </c>
      <c r="C170" s="7" t="s">
        <v>153</v>
      </c>
      <c r="D170" s="8">
        <v>43</v>
      </c>
      <c r="E170" s="8">
        <v>29</v>
      </c>
      <c r="F170" s="8">
        <v>302</v>
      </c>
      <c r="G170" s="5">
        <v>10.4</v>
      </c>
      <c r="H170" s="5">
        <v>3</v>
      </c>
      <c r="I170" s="6">
        <f t="shared" si="2"/>
        <v>0.10344827586206896</v>
      </c>
      <c r="J170" s="6">
        <f>D170/(VLOOKUP(B170,'[1]2021 Team'!$B$2:$G$33,2,FALSE))</f>
        <v>8.253358925143954E-2</v>
      </c>
      <c r="K170" s="9">
        <v>67.400000000000006</v>
      </c>
      <c r="L170" s="5">
        <v>0</v>
      </c>
    </row>
    <row r="171" spans="1:12" x14ac:dyDescent="0.25">
      <c r="A171" s="5" t="s">
        <v>1676</v>
      </c>
      <c r="B171" s="5" t="s">
        <v>44</v>
      </c>
      <c r="C171" s="7" t="s">
        <v>159</v>
      </c>
      <c r="D171" s="8">
        <v>40</v>
      </c>
      <c r="E171" s="8">
        <v>29</v>
      </c>
      <c r="F171" s="8">
        <v>176</v>
      </c>
      <c r="G171" s="5">
        <v>6.1</v>
      </c>
      <c r="H171" s="5">
        <v>3</v>
      </c>
      <c r="I171" s="6">
        <f t="shared" si="2"/>
        <v>0.10344827586206896</v>
      </c>
      <c r="J171" s="6">
        <f>D171/(VLOOKUP(B171,'[1]2021 Team'!$B$2:$G$33,2,FALSE))</f>
        <v>6.589785831960461E-2</v>
      </c>
      <c r="K171" s="9">
        <v>72.5</v>
      </c>
      <c r="L171" s="5">
        <v>0</v>
      </c>
    </row>
    <row r="172" spans="1:12" x14ac:dyDescent="0.25">
      <c r="A172" s="5" t="s">
        <v>981</v>
      </c>
      <c r="B172" s="5" t="s">
        <v>68</v>
      </c>
      <c r="C172" s="7" t="s">
        <v>163</v>
      </c>
      <c r="D172" s="8">
        <v>13</v>
      </c>
      <c r="E172" s="8">
        <v>10</v>
      </c>
      <c r="F172" s="8">
        <v>90</v>
      </c>
      <c r="G172" s="5">
        <v>9</v>
      </c>
      <c r="H172" s="5">
        <v>0</v>
      </c>
      <c r="I172" s="6">
        <f t="shared" si="2"/>
        <v>0</v>
      </c>
      <c r="J172" s="6">
        <f>D172/(VLOOKUP(B172,'[1]2021 Team'!$B$2:$G$33,2,FALSE))</f>
        <v>2.4299065420560748E-2</v>
      </c>
      <c r="K172" s="9">
        <v>76.900000000000006</v>
      </c>
      <c r="L172" s="5">
        <v>0</v>
      </c>
    </row>
    <row r="173" spans="1:12" x14ac:dyDescent="0.25">
      <c r="A173" s="5" t="s">
        <v>981</v>
      </c>
      <c r="B173" s="5" t="s">
        <v>28</v>
      </c>
      <c r="C173" s="7" t="s">
        <v>163</v>
      </c>
      <c r="D173" s="8">
        <v>36</v>
      </c>
      <c r="E173" s="8">
        <v>19</v>
      </c>
      <c r="F173" s="8">
        <v>306</v>
      </c>
      <c r="G173" s="5">
        <v>16.100000000000001</v>
      </c>
      <c r="H173" s="5">
        <v>2</v>
      </c>
      <c r="I173" s="6">
        <f t="shared" si="2"/>
        <v>0.10526315789473684</v>
      </c>
      <c r="J173" s="6">
        <f>D173/(VLOOKUP(B173,'[1]2021 Team'!$B$2:$G$33,2,FALSE))</f>
        <v>6.0708263069139963E-2</v>
      </c>
      <c r="K173" s="9">
        <v>52.8</v>
      </c>
      <c r="L173" s="5">
        <v>0</v>
      </c>
    </row>
    <row r="174" spans="1:12" x14ac:dyDescent="0.25">
      <c r="A174" s="5" t="s">
        <v>1784</v>
      </c>
      <c r="B174" s="5" t="s">
        <v>30</v>
      </c>
      <c r="C174" s="7" t="s">
        <v>163</v>
      </c>
      <c r="D174" s="8">
        <v>39</v>
      </c>
      <c r="E174" s="8">
        <v>28</v>
      </c>
      <c r="F174" s="8">
        <v>375</v>
      </c>
      <c r="G174" s="5">
        <v>13.4</v>
      </c>
      <c r="H174" s="5">
        <v>5</v>
      </c>
      <c r="I174" s="6">
        <f t="shared" si="2"/>
        <v>0.17857142857142858</v>
      </c>
      <c r="J174" s="6">
        <f>D174/(VLOOKUP(B174,'[1]2021 Team'!$B$2:$G$33,2,FALSE))</f>
        <v>6.5767284991568295E-2</v>
      </c>
      <c r="K174" s="9">
        <v>71.8</v>
      </c>
      <c r="L174" s="5">
        <v>1</v>
      </c>
    </row>
    <row r="175" spans="1:12" x14ac:dyDescent="0.25">
      <c r="A175" s="5" t="s">
        <v>2401</v>
      </c>
      <c r="B175" s="5" t="s">
        <v>56</v>
      </c>
      <c r="C175" s="7" t="s">
        <v>163</v>
      </c>
      <c r="D175" s="8">
        <v>51</v>
      </c>
      <c r="E175" s="8">
        <v>28</v>
      </c>
      <c r="F175" s="8">
        <v>449</v>
      </c>
      <c r="G175" s="5">
        <v>16</v>
      </c>
      <c r="H175" s="5">
        <v>1</v>
      </c>
      <c r="I175" s="6">
        <f t="shared" si="2"/>
        <v>3.5714285714285712E-2</v>
      </c>
      <c r="J175" s="6">
        <f>D175/(VLOOKUP(B175,'[1]2021 Team'!$B$2:$G$33,2,FALSE))</f>
        <v>8.45771144278607E-2</v>
      </c>
      <c r="K175" s="9">
        <v>54.9</v>
      </c>
      <c r="L175" s="5">
        <v>0</v>
      </c>
    </row>
    <row r="176" spans="1:12" x14ac:dyDescent="0.25">
      <c r="A176" s="5" t="s">
        <v>1688</v>
      </c>
      <c r="B176" s="5" t="s">
        <v>26</v>
      </c>
      <c r="C176" s="7" t="s">
        <v>159</v>
      </c>
      <c r="D176" s="8">
        <v>38</v>
      </c>
      <c r="E176" s="8">
        <v>28</v>
      </c>
      <c r="F176" s="8">
        <v>213</v>
      </c>
      <c r="G176" s="5">
        <v>7.6</v>
      </c>
      <c r="H176" s="5">
        <v>2</v>
      </c>
      <c r="I176" s="6">
        <f t="shared" si="2"/>
        <v>7.1428571428571425E-2</v>
      </c>
      <c r="J176" s="6">
        <f>D176/(VLOOKUP(B176,'[1]2021 Team'!$B$2:$G$33,2,FALSE))</f>
        <v>7.0240295748613679E-2</v>
      </c>
      <c r="K176" s="9">
        <v>73.7</v>
      </c>
      <c r="L176" s="5">
        <v>3</v>
      </c>
    </row>
    <row r="177" spans="1:12" x14ac:dyDescent="0.25">
      <c r="A177" s="5" t="s">
        <v>439</v>
      </c>
      <c r="B177" s="5" t="s">
        <v>68</v>
      </c>
      <c r="C177" s="7" t="s">
        <v>159</v>
      </c>
      <c r="D177" s="8">
        <v>38</v>
      </c>
      <c r="E177" s="8">
        <v>28</v>
      </c>
      <c r="F177" s="8">
        <v>240</v>
      </c>
      <c r="G177" s="5">
        <v>8.6</v>
      </c>
      <c r="H177" s="5">
        <v>1</v>
      </c>
      <c r="I177" s="6">
        <f t="shared" si="2"/>
        <v>3.5714285714285712E-2</v>
      </c>
      <c r="J177" s="6">
        <f>D177/(VLOOKUP(B177,'[1]2021 Team'!$B$2:$G$33,2,FALSE))</f>
        <v>7.1028037383177575E-2</v>
      </c>
      <c r="K177" s="9">
        <v>73.7</v>
      </c>
      <c r="L177" s="5">
        <v>0</v>
      </c>
    </row>
    <row r="178" spans="1:12" x14ac:dyDescent="0.25">
      <c r="A178" s="5" t="s">
        <v>610</v>
      </c>
      <c r="B178" s="5" t="s">
        <v>50</v>
      </c>
      <c r="C178" s="7" t="s">
        <v>153</v>
      </c>
      <c r="D178" s="8">
        <v>45</v>
      </c>
      <c r="E178" s="8">
        <v>28</v>
      </c>
      <c r="F178" s="8">
        <v>294</v>
      </c>
      <c r="G178" s="5">
        <v>10.5</v>
      </c>
      <c r="H178" s="5">
        <v>1</v>
      </c>
      <c r="I178" s="6">
        <f t="shared" si="2"/>
        <v>3.5714285714285712E-2</v>
      </c>
      <c r="J178" s="6">
        <f>D178/(VLOOKUP(B178,'[1]2021 Team'!$B$2:$G$33,2,FALSE))</f>
        <v>8.4112149532710276E-2</v>
      </c>
      <c r="K178" s="9">
        <v>62.2</v>
      </c>
      <c r="L178" s="5">
        <v>1</v>
      </c>
    </row>
    <row r="179" spans="1:12" x14ac:dyDescent="0.25">
      <c r="A179" s="5" t="s">
        <v>2488</v>
      </c>
      <c r="B179" s="5" t="s">
        <v>56</v>
      </c>
      <c r="C179" s="7" t="s">
        <v>153</v>
      </c>
      <c r="D179" s="8">
        <v>42</v>
      </c>
      <c r="E179" s="8">
        <v>27</v>
      </c>
      <c r="F179" s="8">
        <v>261</v>
      </c>
      <c r="G179" s="5">
        <v>9.6999999999999993</v>
      </c>
      <c r="H179" s="5">
        <v>2</v>
      </c>
      <c r="I179" s="6">
        <f t="shared" si="2"/>
        <v>7.407407407407407E-2</v>
      </c>
      <c r="J179" s="6">
        <f>D179/(VLOOKUP(B179,'[1]2021 Team'!$B$2:$G$33,2,FALSE))</f>
        <v>6.965174129353234E-2</v>
      </c>
      <c r="K179" s="9">
        <v>64.3</v>
      </c>
      <c r="L179" s="5">
        <v>1</v>
      </c>
    </row>
    <row r="180" spans="1:12" x14ac:dyDescent="0.25">
      <c r="A180" s="5" t="s">
        <v>404</v>
      </c>
      <c r="B180" s="5" t="s">
        <v>20</v>
      </c>
      <c r="C180" s="7" t="s">
        <v>159</v>
      </c>
      <c r="D180" s="8">
        <v>31</v>
      </c>
      <c r="E180" s="8">
        <v>27</v>
      </c>
      <c r="F180" s="8">
        <v>196</v>
      </c>
      <c r="G180" s="5">
        <v>7.3</v>
      </c>
      <c r="H180" s="5">
        <v>1</v>
      </c>
      <c r="I180" s="6">
        <f t="shared" si="2"/>
        <v>3.7037037037037035E-2</v>
      </c>
      <c r="J180" s="6">
        <f>D180/(VLOOKUP(B180,'[1]2021 Team'!$B$2:$G$33,2,FALSE))</f>
        <v>5.5855855855855854E-2</v>
      </c>
      <c r="K180" s="9">
        <v>87.1</v>
      </c>
      <c r="L180" s="5">
        <v>0</v>
      </c>
    </row>
    <row r="181" spans="1:12" x14ac:dyDescent="0.25">
      <c r="A181" s="5" t="s">
        <v>869</v>
      </c>
      <c r="B181" s="5" t="s">
        <v>52</v>
      </c>
      <c r="C181" s="7" t="s">
        <v>153</v>
      </c>
      <c r="D181" s="8">
        <v>43</v>
      </c>
      <c r="E181" s="8">
        <v>27</v>
      </c>
      <c r="F181" s="8">
        <v>263</v>
      </c>
      <c r="G181" s="5">
        <v>9.6999999999999993</v>
      </c>
      <c r="H181" s="5">
        <v>2</v>
      </c>
      <c r="I181" s="6">
        <f t="shared" si="2"/>
        <v>7.407407407407407E-2</v>
      </c>
      <c r="J181" s="6">
        <f>D181/(VLOOKUP(B181,'[1]2021 Team'!$B$2:$G$33,2,FALSE))</f>
        <v>8.531746031746032E-2</v>
      </c>
      <c r="K181" s="9">
        <v>62.8</v>
      </c>
      <c r="L181" s="5">
        <v>1</v>
      </c>
    </row>
    <row r="182" spans="1:12" x14ac:dyDescent="0.25">
      <c r="A182" s="5" t="s">
        <v>2528</v>
      </c>
      <c r="B182" s="5" t="s">
        <v>12</v>
      </c>
      <c r="C182" s="7" t="s">
        <v>163</v>
      </c>
      <c r="D182" s="8">
        <v>49</v>
      </c>
      <c r="E182" s="8">
        <v>27</v>
      </c>
      <c r="F182" s="8">
        <v>394</v>
      </c>
      <c r="G182" s="5">
        <v>14.6</v>
      </c>
      <c r="H182" s="5">
        <v>1</v>
      </c>
      <c r="I182" s="6">
        <f t="shared" si="2"/>
        <v>3.7037037037037035E-2</v>
      </c>
      <c r="J182" s="6">
        <f>D182/(VLOOKUP(B182,'[1]2021 Team'!$B$2:$G$33,2,FALSE))</f>
        <v>8.0196399345335512E-2</v>
      </c>
      <c r="K182" s="9">
        <v>55.1</v>
      </c>
      <c r="L182" s="5">
        <v>1</v>
      </c>
    </row>
    <row r="183" spans="1:12" x14ac:dyDescent="0.25">
      <c r="A183" s="5" t="s">
        <v>2409</v>
      </c>
      <c r="B183" s="5" t="s">
        <v>32</v>
      </c>
      <c r="C183" s="7" t="s">
        <v>159</v>
      </c>
      <c r="D183" s="8">
        <v>9</v>
      </c>
      <c r="E183" s="8">
        <v>7</v>
      </c>
      <c r="F183" s="8">
        <v>24</v>
      </c>
      <c r="G183" s="5">
        <v>3.4</v>
      </c>
      <c r="H183" s="5">
        <v>0</v>
      </c>
      <c r="I183" s="6">
        <f t="shared" si="2"/>
        <v>0</v>
      </c>
      <c r="J183" s="6">
        <f>D183/(VLOOKUP(B183,'[1]2021 Team'!$B$2:$G$33,2,FALSE))</f>
        <v>1.6483516483516484E-2</v>
      </c>
      <c r="K183" s="9">
        <v>77.8</v>
      </c>
      <c r="L183" s="5">
        <v>0</v>
      </c>
    </row>
    <row r="184" spans="1:12" x14ac:dyDescent="0.25">
      <c r="A184" s="5" t="s">
        <v>2409</v>
      </c>
      <c r="B184" s="5" t="s">
        <v>52</v>
      </c>
      <c r="C184" s="7" t="s">
        <v>159</v>
      </c>
      <c r="D184" s="8">
        <v>26</v>
      </c>
      <c r="E184" s="8">
        <v>20</v>
      </c>
      <c r="F184" s="8">
        <v>138</v>
      </c>
      <c r="G184" s="5">
        <v>6.9</v>
      </c>
      <c r="H184" s="5">
        <v>0</v>
      </c>
      <c r="I184" s="6">
        <f t="shared" si="2"/>
        <v>0</v>
      </c>
      <c r="J184" s="6">
        <f>D184/(VLOOKUP(B184,'[1]2021 Team'!$B$2:$G$33,2,FALSE))</f>
        <v>5.1587301587301584E-2</v>
      </c>
      <c r="K184" s="9">
        <v>76.900000000000006</v>
      </c>
      <c r="L184" s="5">
        <v>1</v>
      </c>
    </row>
    <row r="185" spans="1:12" x14ac:dyDescent="0.25">
      <c r="A185" s="5" t="s">
        <v>1779</v>
      </c>
      <c r="B185" s="5" t="s">
        <v>18</v>
      </c>
      <c r="C185" s="7" t="s">
        <v>163</v>
      </c>
      <c r="D185" s="8">
        <v>38</v>
      </c>
      <c r="E185" s="8">
        <v>26</v>
      </c>
      <c r="F185" s="8">
        <v>329</v>
      </c>
      <c r="G185" s="5">
        <v>12.7</v>
      </c>
      <c r="H185" s="5">
        <v>1</v>
      </c>
      <c r="I185" s="6">
        <f t="shared" si="2"/>
        <v>3.8461538461538464E-2</v>
      </c>
      <c r="J185" s="6">
        <f>D185/(VLOOKUP(B185,'[1]2021 Team'!$B$2:$G$33,2,FALSE))</f>
        <v>7.0110701107011064E-2</v>
      </c>
      <c r="K185" s="9">
        <v>68.400000000000006</v>
      </c>
      <c r="L185" s="5">
        <v>1</v>
      </c>
    </row>
    <row r="186" spans="1:12" x14ac:dyDescent="0.25">
      <c r="A186" s="5" t="s">
        <v>1806</v>
      </c>
      <c r="B186" s="5" t="s">
        <v>10</v>
      </c>
      <c r="C186" s="7" t="s">
        <v>153</v>
      </c>
      <c r="D186" s="8">
        <v>31</v>
      </c>
      <c r="E186" s="8">
        <v>26</v>
      </c>
      <c r="F186" s="8">
        <v>221</v>
      </c>
      <c r="G186" s="5">
        <v>8.5</v>
      </c>
      <c r="H186" s="5">
        <v>3</v>
      </c>
      <c r="I186" s="6">
        <f t="shared" si="2"/>
        <v>0.11538461538461539</v>
      </c>
      <c r="J186" s="6">
        <f>D186/(VLOOKUP(B186,'[1]2021 Team'!$B$2:$G$33,2,FALSE))</f>
        <v>5.4101221640488653E-2</v>
      </c>
      <c r="K186" s="9">
        <v>83.9</v>
      </c>
      <c r="L186" s="5">
        <v>3</v>
      </c>
    </row>
    <row r="187" spans="1:12" x14ac:dyDescent="0.25">
      <c r="A187" s="5" t="s">
        <v>2515</v>
      </c>
      <c r="B187" s="5" t="s">
        <v>54</v>
      </c>
      <c r="C187" s="7" t="s">
        <v>153</v>
      </c>
      <c r="D187" s="8">
        <v>39</v>
      </c>
      <c r="E187" s="8">
        <v>26</v>
      </c>
      <c r="F187" s="8">
        <v>257</v>
      </c>
      <c r="G187" s="5">
        <v>9.9</v>
      </c>
      <c r="H187" s="5">
        <v>1</v>
      </c>
      <c r="I187" s="6">
        <f t="shared" si="2"/>
        <v>3.8461538461538464E-2</v>
      </c>
      <c r="J187" s="6">
        <f>D187/(VLOOKUP(B187,'[1]2021 Team'!$B$2:$G$33,2,FALSE))</f>
        <v>6.5767284991568295E-2</v>
      </c>
      <c r="K187" s="9">
        <v>66.7</v>
      </c>
      <c r="L187" s="5">
        <v>0</v>
      </c>
    </row>
    <row r="188" spans="1:12" x14ac:dyDescent="0.25">
      <c r="A188" s="5" t="s">
        <v>545</v>
      </c>
      <c r="B188" s="5" t="s">
        <v>58</v>
      </c>
      <c r="C188" s="7" t="s">
        <v>159</v>
      </c>
      <c r="D188" s="8">
        <v>34</v>
      </c>
      <c r="E188" s="8">
        <v>26</v>
      </c>
      <c r="F188" s="8">
        <v>158</v>
      </c>
      <c r="G188" s="5">
        <v>6.1</v>
      </c>
      <c r="H188" s="5">
        <v>0</v>
      </c>
      <c r="I188" s="6">
        <f t="shared" ref="I188:I250" si="3">H188/E188</f>
        <v>0</v>
      </c>
      <c r="J188" s="6">
        <f>D188/(VLOOKUP(B188,'[1]2021 Team'!$B$2:$G$33,2,FALSE))</f>
        <v>6.8825910931174086E-2</v>
      </c>
      <c r="K188" s="9">
        <v>76.5</v>
      </c>
      <c r="L188" s="5">
        <v>1</v>
      </c>
    </row>
    <row r="189" spans="1:12" x14ac:dyDescent="0.25">
      <c r="A189" s="5" t="s">
        <v>976</v>
      </c>
      <c r="B189" s="5" t="s">
        <v>54</v>
      </c>
      <c r="C189" s="7" t="s">
        <v>163</v>
      </c>
      <c r="D189" s="8">
        <v>58</v>
      </c>
      <c r="E189" s="8">
        <v>26</v>
      </c>
      <c r="F189" s="8">
        <v>339</v>
      </c>
      <c r="G189" s="5">
        <v>13</v>
      </c>
      <c r="H189" s="5">
        <v>2</v>
      </c>
      <c r="I189" s="6">
        <f t="shared" si="3"/>
        <v>7.6923076923076927E-2</v>
      </c>
      <c r="J189" s="6">
        <f>D189/(VLOOKUP(B189,'[1]2021 Team'!$B$2:$G$33,2,FALSE))</f>
        <v>9.7807757166947729E-2</v>
      </c>
      <c r="K189" s="9">
        <v>44.8</v>
      </c>
      <c r="L189" s="5">
        <v>1</v>
      </c>
    </row>
    <row r="190" spans="1:12" x14ac:dyDescent="0.25">
      <c r="A190" s="5" t="s">
        <v>1003</v>
      </c>
      <c r="B190" s="5" t="s">
        <v>30</v>
      </c>
      <c r="C190" s="7" t="s">
        <v>163</v>
      </c>
      <c r="D190" s="8">
        <v>55</v>
      </c>
      <c r="E190" s="8">
        <v>26</v>
      </c>
      <c r="F190" s="8">
        <v>430</v>
      </c>
      <c r="G190" s="5">
        <v>16.5</v>
      </c>
      <c r="H190" s="5">
        <v>3</v>
      </c>
      <c r="I190" s="6">
        <f t="shared" si="3"/>
        <v>0.11538461538461539</v>
      </c>
      <c r="J190" s="6">
        <f>D190/(VLOOKUP(B190,'[1]2021 Team'!$B$2:$G$33,2,FALSE))</f>
        <v>9.274873524451939E-2</v>
      </c>
      <c r="K190" s="9">
        <v>47.3</v>
      </c>
      <c r="L190" s="5">
        <v>0</v>
      </c>
    </row>
    <row r="191" spans="1:12" x14ac:dyDescent="0.25">
      <c r="A191" s="5" t="s">
        <v>1655</v>
      </c>
      <c r="B191" s="5" t="s">
        <v>28</v>
      </c>
      <c r="C191" s="7" t="s">
        <v>159</v>
      </c>
      <c r="D191" s="8">
        <v>28</v>
      </c>
      <c r="E191" s="8">
        <v>26</v>
      </c>
      <c r="F191" s="8">
        <v>157</v>
      </c>
      <c r="G191" s="5">
        <v>6</v>
      </c>
      <c r="H191" s="5">
        <v>0</v>
      </c>
      <c r="I191" s="6">
        <f t="shared" si="3"/>
        <v>0</v>
      </c>
      <c r="J191" s="6">
        <f>D191/(VLOOKUP(B191,'[1]2021 Team'!$B$2:$G$33,2,FALSE))</f>
        <v>4.7217537942664416E-2</v>
      </c>
      <c r="K191" s="9">
        <v>92.9</v>
      </c>
      <c r="L191" s="5">
        <v>1</v>
      </c>
    </row>
    <row r="192" spans="1:12" x14ac:dyDescent="0.25">
      <c r="A192" s="5" t="s">
        <v>2380</v>
      </c>
      <c r="B192" s="5" t="s">
        <v>32</v>
      </c>
      <c r="C192" s="7" t="s">
        <v>159</v>
      </c>
      <c r="D192" s="8">
        <v>32</v>
      </c>
      <c r="E192" s="8">
        <v>25</v>
      </c>
      <c r="F192" s="8">
        <v>186</v>
      </c>
      <c r="G192" s="5">
        <v>7.4</v>
      </c>
      <c r="H192" s="5">
        <v>0</v>
      </c>
      <c r="I192" s="6">
        <f t="shared" si="3"/>
        <v>0</v>
      </c>
      <c r="J192" s="6">
        <f>D192/(VLOOKUP(B192,'[1]2021 Team'!$B$2:$G$33,2,FALSE))</f>
        <v>5.8608058608058608E-2</v>
      </c>
      <c r="K192" s="9">
        <v>78.099999999999994</v>
      </c>
      <c r="L192" s="5">
        <v>1</v>
      </c>
    </row>
    <row r="193" spans="1:12" x14ac:dyDescent="0.25">
      <c r="A193" s="5" t="s">
        <v>791</v>
      </c>
      <c r="B193" s="5" t="s">
        <v>30</v>
      </c>
      <c r="C193" s="7" t="s">
        <v>153</v>
      </c>
      <c r="D193" s="8">
        <v>33</v>
      </c>
      <c r="E193" s="8">
        <v>25</v>
      </c>
      <c r="F193" s="8">
        <v>245</v>
      </c>
      <c r="G193" s="5">
        <v>9.8000000000000007</v>
      </c>
      <c r="H193" s="5">
        <v>2</v>
      </c>
      <c r="I193" s="6">
        <f t="shared" si="3"/>
        <v>0.08</v>
      </c>
      <c r="J193" s="6">
        <f>D193/(VLOOKUP(B193,'[1]2021 Team'!$B$2:$G$33,2,FALSE))</f>
        <v>5.5649241146711638E-2</v>
      </c>
      <c r="K193" s="9">
        <v>75.8</v>
      </c>
      <c r="L193" s="5">
        <v>0</v>
      </c>
    </row>
    <row r="194" spans="1:12" x14ac:dyDescent="0.25">
      <c r="A194" s="5" t="s">
        <v>320</v>
      </c>
      <c r="B194" s="5" t="s">
        <v>16</v>
      </c>
      <c r="C194" s="7" t="s">
        <v>159</v>
      </c>
      <c r="D194" s="8">
        <v>37</v>
      </c>
      <c r="E194" s="8">
        <v>25</v>
      </c>
      <c r="F194" s="8">
        <v>174</v>
      </c>
      <c r="G194" s="5">
        <v>7</v>
      </c>
      <c r="H194" s="5">
        <v>1</v>
      </c>
      <c r="I194" s="6">
        <f t="shared" si="3"/>
        <v>0.04</v>
      </c>
      <c r="J194" s="6">
        <f>D194/(VLOOKUP(B194,'[1]2021 Team'!$B$2:$G$33,2,FALSE))</f>
        <v>6.1769616026711188E-2</v>
      </c>
      <c r="K194" s="9">
        <v>67.599999999999994</v>
      </c>
      <c r="L194" s="5">
        <v>1</v>
      </c>
    </row>
    <row r="195" spans="1:12" x14ac:dyDescent="0.25">
      <c r="A195" s="5" t="s">
        <v>773</v>
      </c>
      <c r="B195" s="5" t="s">
        <v>38</v>
      </c>
      <c r="C195" s="7" t="s">
        <v>163</v>
      </c>
      <c r="D195" s="8">
        <v>41</v>
      </c>
      <c r="E195" s="8">
        <v>25</v>
      </c>
      <c r="F195" s="8">
        <v>264</v>
      </c>
      <c r="G195" s="5">
        <v>10.6</v>
      </c>
      <c r="H195" s="5">
        <v>3</v>
      </c>
      <c r="I195" s="6">
        <f t="shared" si="3"/>
        <v>0.12</v>
      </c>
      <c r="J195" s="6">
        <f>D195/(VLOOKUP(B195,'[1]2021 Team'!$B$2:$G$33,2,FALSE))</f>
        <v>6.0740740740740741E-2</v>
      </c>
      <c r="K195" s="9">
        <v>61</v>
      </c>
      <c r="L195" s="5">
        <v>0</v>
      </c>
    </row>
    <row r="196" spans="1:12" x14ac:dyDescent="0.25">
      <c r="A196" s="5" t="s">
        <v>2650</v>
      </c>
      <c r="B196" s="5" t="s">
        <v>10</v>
      </c>
      <c r="C196" s="7" t="s">
        <v>163</v>
      </c>
      <c r="D196" s="8">
        <v>37</v>
      </c>
      <c r="E196" s="8">
        <v>25</v>
      </c>
      <c r="F196" s="8">
        <v>230</v>
      </c>
      <c r="G196" s="5">
        <v>9.1999999999999993</v>
      </c>
      <c r="H196" s="5">
        <v>0</v>
      </c>
      <c r="I196" s="6">
        <f t="shared" si="3"/>
        <v>0</v>
      </c>
      <c r="J196" s="6">
        <f>D196/(VLOOKUP(B196,'[1]2021 Team'!$B$2:$G$33,2,FALSE))</f>
        <v>6.4572425828970326E-2</v>
      </c>
      <c r="K196" s="9">
        <v>67.599999999999994</v>
      </c>
      <c r="L196" s="5">
        <v>0</v>
      </c>
    </row>
    <row r="197" spans="1:12" x14ac:dyDescent="0.25">
      <c r="A197" s="5" t="s">
        <v>2522</v>
      </c>
      <c r="B197" s="5" t="s">
        <v>64</v>
      </c>
      <c r="C197" s="7" t="s">
        <v>163</v>
      </c>
      <c r="D197" s="8">
        <v>40</v>
      </c>
      <c r="E197" s="8">
        <v>25</v>
      </c>
      <c r="F197" s="8">
        <v>343</v>
      </c>
      <c r="G197" s="5">
        <v>13.7</v>
      </c>
      <c r="H197" s="5">
        <v>4</v>
      </c>
      <c r="I197" s="6">
        <f t="shared" si="3"/>
        <v>0.16</v>
      </c>
      <c r="J197" s="6">
        <f>D197/(VLOOKUP(B197,'[1]2021 Team'!$B$2:$G$33,2,FALSE))</f>
        <v>8.0808080808080815E-2</v>
      </c>
      <c r="K197" s="9">
        <v>62.5</v>
      </c>
      <c r="L197" s="5">
        <v>1</v>
      </c>
    </row>
    <row r="198" spans="1:12" x14ac:dyDescent="0.25">
      <c r="A198" s="5" t="s">
        <v>2405</v>
      </c>
      <c r="B198" s="5" t="s">
        <v>46</v>
      </c>
      <c r="C198" s="7" t="s">
        <v>163</v>
      </c>
      <c r="D198" s="8">
        <v>39</v>
      </c>
      <c r="E198" s="8">
        <v>25</v>
      </c>
      <c r="F198" s="8">
        <v>213</v>
      </c>
      <c r="G198" s="5">
        <v>8.5</v>
      </c>
      <c r="H198" s="5">
        <v>0</v>
      </c>
      <c r="I198" s="6">
        <f t="shared" si="3"/>
        <v>0</v>
      </c>
      <c r="J198" s="6">
        <f>D198/(VLOOKUP(B198,'[1]2021 Team'!$B$2:$G$33,2,FALSE))</f>
        <v>6.3414634146341464E-2</v>
      </c>
      <c r="K198" s="9">
        <v>64.099999999999994</v>
      </c>
      <c r="L198" s="5">
        <v>0</v>
      </c>
    </row>
    <row r="199" spans="1:12" x14ac:dyDescent="0.25">
      <c r="A199" s="5" t="s">
        <v>1722</v>
      </c>
      <c r="B199" s="5" t="s">
        <v>36</v>
      </c>
      <c r="C199" s="7" t="s">
        <v>163</v>
      </c>
      <c r="D199" s="8">
        <v>39</v>
      </c>
      <c r="E199" s="8">
        <v>24</v>
      </c>
      <c r="F199" s="8">
        <v>229</v>
      </c>
      <c r="G199" s="5">
        <v>9.5</v>
      </c>
      <c r="H199" s="5">
        <v>1</v>
      </c>
      <c r="I199" s="6">
        <f t="shared" si="3"/>
        <v>4.1666666666666664E-2</v>
      </c>
      <c r="J199" s="6">
        <f>D199/(VLOOKUP(B199,'[1]2021 Team'!$B$2:$G$33,2,FALSE))</f>
        <v>6.4569536423841056E-2</v>
      </c>
      <c r="K199" s="9">
        <v>61.5</v>
      </c>
      <c r="L199" s="5">
        <v>1</v>
      </c>
    </row>
    <row r="200" spans="1:12" x14ac:dyDescent="0.25">
      <c r="A200" s="5" t="s">
        <v>1772</v>
      </c>
      <c r="B200" s="5" t="s">
        <v>32</v>
      </c>
      <c r="C200" s="7" t="s">
        <v>153</v>
      </c>
      <c r="D200" s="8">
        <v>33</v>
      </c>
      <c r="E200" s="8">
        <v>24</v>
      </c>
      <c r="F200" s="8">
        <v>214</v>
      </c>
      <c r="G200" s="5">
        <v>8.9</v>
      </c>
      <c r="H200" s="5">
        <v>0</v>
      </c>
      <c r="I200" s="6">
        <f t="shared" si="3"/>
        <v>0</v>
      </c>
      <c r="J200" s="6">
        <f>D200/(VLOOKUP(B200,'[1]2021 Team'!$B$2:$G$33,2,FALSE))</f>
        <v>6.043956043956044E-2</v>
      </c>
      <c r="K200" s="9">
        <v>72.7</v>
      </c>
      <c r="L200" s="5">
        <v>2</v>
      </c>
    </row>
    <row r="201" spans="1:12" x14ac:dyDescent="0.25">
      <c r="A201" s="5" t="s">
        <v>892</v>
      </c>
      <c r="B201" s="5" t="s">
        <v>34</v>
      </c>
      <c r="C201" s="7" t="s">
        <v>153</v>
      </c>
      <c r="D201" s="8">
        <v>45</v>
      </c>
      <c r="E201" s="8">
        <v>24</v>
      </c>
      <c r="F201" s="8">
        <v>316</v>
      </c>
      <c r="G201" s="5">
        <v>13.2</v>
      </c>
      <c r="H201" s="5">
        <v>4</v>
      </c>
      <c r="I201" s="6">
        <f t="shared" si="3"/>
        <v>0.16666666666666666</v>
      </c>
      <c r="J201" s="6">
        <f>D201/(VLOOKUP(B201,'[1]2021 Team'!$B$2:$G$33,2,FALSE))</f>
        <v>8.6372360844529747E-2</v>
      </c>
      <c r="K201" s="9">
        <v>53.3</v>
      </c>
      <c r="L201" s="5">
        <v>1</v>
      </c>
    </row>
    <row r="202" spans="1:12" x14ac:dyDescent="0.25">
      <c r="A202" s="5" t="s">
        <v>2398</v>
      </c>
      <c r="B202" s="5" t="s">
        <v>32</v>
      </c>
      <c r="C202" s="7" t="s">
        <v>163</v>
      </c>
      <c r="D202" s="8">
        <v>38</v>
      </c>
      <c r="E202" s="8">
        <v>24</v>
      </c>
      <c r="F202" s="8">
        <v>248</v>
      </c>
      <c r="G202" s="5">
        <v>10.3</v>
      </c>
      <c r="H202" s="5">
        <v>3</v>
      </c>
      <c r="I202" s="6">
        <f t="shared" si="3"/>
        <v>0.125</v>
      </c>
      <c r="J202" s="6">
        <f>D202/(VLOOKUP(B202,'[1]2021 Team'!$B$2:$G$33,2,FALSE))</f>
        <v>6.95970695970696E-2</v>
      </c>
      <c r="K202" s="9">
        <v>63.2</v>
      </c>
      <c r="L202" s="5">
        <v>1</v>
      </c>
    </row>
    <row r="203" spans="1:12" x14ac:dyDescent="0.25">
      <c r="A203" s="5" t="s">
        <v>2558</v>
      </c>
      <c r="B203" s="5" t="s">
        <v>36</v>
      </c>
      <c r="C203" s="7" t="s">
        <v>163</v>
      </c>
      <c r="D203" s="8">
        <v>37</v>
      </c>
      <c r="E203" s="8">
        <v>24</v>
      </c>
      <c r="F203" s="8">
        <v>213</v>
      </c>
      <c r="G203" s="5">
        <v>8.9</v>
      </c>
      <c r="H203" s="5">
        <v>1</v>
      </c>
      <c r="I203" s="6">
        <f t="shared" si="3"/>
        <v>4.1666666666666664E-2</v>
      </c>
      <c r="J203" s="6">
        <f>D203/(VLOOKUP(B203,'[1]2021 Team'!$B$2:$G$33,2,FALSE))</f>
        <v>6.1258278145695365E-2</v>
      </c>
      <c r="K203" s="9">
        <v>64.900000000000006</v>
      </c>
      <c r="L203" s="5">
        <v>1</v>
      </c>
    </row>
    <row r="204" spans="1:12" x14ac:dyDescent="0.25">
      <c r="A204" s="5" t="s">
        <v>1728</v>
      </c>
      <c r="B204" s="5" t="s">
        <v>70</v>
      </c>
      <c r="C204" s="7" t="s">
        <v>163</v>
      </c>
      <c r="D204" s="8">
        <v>44</v>
      </c>
      <c r="E204" s="8">
        <v>24</v>
      </c>
      <c r="F204" s="8">
        <v>296</v>
      </c>
      <c r="G204" s="5">
        <v>12.3</v>
      </c>
      <c r="H204" s="5">
        <v>3</v>
      </c>
      <c r="I204" s="6">
        <f t="shared" si="3"/>
        <v>0.125</v>
      </c>
      <c r="J204" s="6">
        <f>D204/(VLOOKUP(B204,'[1]2021 Team'!$B$2:$G$33,2,FALSE))</f>
        <v>0.08</v>
      </c>
      <c r="K204" s="9">
        <v>54.5</v>
      </c>
      <c r="L204" s="5">
        <v>3</v>
      </c>
    </row>
    <row r="205" spans="1:12" x14ac:dyDescent="0.25">
      <c r="A205" s="5" t="s">
        <v>2624</v>
      </c>
      <c r="B205" s="5" t="s">
        <v>22</v>
      </c>
      <c r="C205" s="7" t="s">
        <v>163</v>
      </c>
      <c r="D205" s="8">
        <v>47</v>
      </c>
      <c r="E205" s="8">
        <v>24</v>
      </c>
      <c r="F205" s="8">
        <v>275</v>
      </c>
      <c r="G205" s="5">
        <v>11.5</v>
      </c>
      <c r="H205" s="5">
        <v>1</v>
      </c>
      <c r="I205" s="6">
        <f t="shared" si="3"/>
        <v>4.1666666666666664E-2</v>
      </c>
      <c r="J205" s="6">
        <f>D205/(VLOOKUP(B205,'[1]2021 Team'!$B$2:$G$33,2,FALSE))</f>
        <v>9.0384615384615383E-2</v>
      </c>
      <c r="K205" s="9">
        <v>51.1</v>
      </c>
      <c r="L205" s="5">
        <v>0</v>
      </c>
    </row>
    <row r="206" spans="1:12" x14ac:dyDescent="0.25">
      <c r="A206" s="5" t="s">
        <v>1017</v>
      </c>
      <c r="B206" s="5" t="s">
        <v>62</v>
      </c>
      <c r="C206" s="7" t="s">
        <v>163</v>
      </c>
      <c r="D206" s="8">
        <v>38</v>
      </c>
      <c r="E206" s="8">
        <v>24</v>
      </c>
      <c r="F206" s="8">
        <v>282</v>
      </c>
      <c r="G206" s="5">
        <v>11.8</v>
      </c>
      <c r="H206" s="5">
        <v>5</v>
      </c>
      <c r="I206" s="6">
        <f t="shared" si="3"/>
        <v>0.20833333333333334</v>
      </c>
      <c r="J206" s="6">
        <f>D206/(VLOOKUP(B206,'[1]2021 Team'!$B$2:$G$33,2,FALSE))</f>
        <v>7.3929961089494164E-2</v>
      </c>
      <c r="K206" s="9">
        <v>63.2</v>
      </c>
      <c r="L206" s="5">
        <v>1</v>
      </c>
    </row>
    <row r="207" spans="1:12" x14ac:dyDescent="0.25">
      <c r="A207" s="5" t="s">
        <v>2642</v>
      </c>
      <c r="B207" s="5" t="s">
        <v>36</v>
      </c>
      <c r="C207" s="7" t="s">
        <v>153</v>
      </c>
      <c r="D207" s="8">
        <v>34</v>
      </c>
      <c r="E207" s="8">
        <v>24</v>
      </c>
      <c r="F207" s="8">
        <v>244</v>
      </c>
      <c r="G207" s="5">
        <v>10.199999999999999</v>
      </c>
      <c r="H207" s="5">
        <v>0</v>
      </c>
      <c r="I207" s="6">
        <f t="shared" si="3"/>
        <v>0</v>
      </c>
      <c r="J207" s="6">
        <f>D207/(VLOOKUP(B207,'[1]2021 Team'!$B$2:$G$33,2,FALSE))</f>
        <v>5.6291390728476824E-2</v>
      </c>
      <c r="K207" s="9">
        <v>70.599999999999994</v>
      </c>
      <c r="L207" s="5">
        <v>0</v>
      </c>
    </row>
    <row r="208" spans="1:12" x14ac:dyDescent="0.25">
      <c r="A208" s="5" t="s">
        <v>2562</v>
      </c>
      <c r="B208" s="5" t="s">
        <v>40</v>
      </c>
      <c r="C208" s="7" t="s">
        <v>163</v>
      </c>
      <c r="D208" s="8">
        <v>36</v>
      </c>
      <c r="E208" s="8">
        <v>24</v>
      </c>
      <c r="F208" s="8">
        <v>469</v>
      </c>
      <c r="G208" s="5">
        <v>19.5</v>
      </c>
      <c r="H208" s="5">
        <v>2</v>
      </c>
      <c r="I208" s="6">
        <f t="shared" si="3"/>
        <v>8.3333333333333329E-2</v>
      </c>
      <c r="J208" s="6">
        <f>D208/(VLOOKUP(B208,'[1]2021 Team'!$B$2:$G$33,2,FALSE))</f>
        <v>5.7324840764331211E-2</v>
      </c>
      <c r="K208" s="9">
        <v>66.7</v>
      </c>
      <c r="L208" s="5">
        <v>0</v>
      </c>
    </row>
    <row r="209" spans="1:12" x14ac:dyDescent="0.25">
      <c r="A209" s="5" t="s">
        <v>2527</v>
      </c>
      <c r="B209" s="5" t="s">
        <v>60</v>
      </c>
      <c r="C209" s="7" t="s">
        <v>163</v>
      </c>
      <c r="D209" s="8">
        <v>44</v>
      </c>
      <c r="E209" s="8">
        <v>24</v>
      </c>
      <c r="F209" s="8">
        <v>285</v>
      </c>
      <c r="G209" s="5">
        <v>11.9</v>
      </c>
      <c r="H209" s="5">
        <v>2</v>
      </c>
      <c r="I209" s="6">
        <f t="shared" si="3"/>
        <v>8.3333333333333329E-2</v>
      </c>
      <c r="J209" s="6">
        <f>D209/(VLOOKUP(B209,'[1]2021 Team'!$B$2:$G$33,2,FALSE))</f>
        <v>6.6265060240963861E-2</v>
      </c>
      <c r="K209" s="9">
        <v>54.5</v>
      </c>
      <c r="L209" s="5">
        <v>0</v>
      </c>
    </row>
    <row r="210" spans="1:12" x14ac:dyDescent="0.25">
      <c r="A210" s="5" t="s">
        <v>2431</v>
      </c>
      <c r="B210" s="5" t="s">
        <v>66</v>
      </c>
      <c r="C210" s="7" t="s">
        <v>159</v>
      </c>
      <c r="D210" s="8">
        <v>29</v>
      </c>
      <c r="E210" s="8">
        <v>23</v>
      </c>
      <c r="F210" s="8">
        <v>123</v>
      </c>
      <c r="G210" s="5">
        <v>5.3</v>
      </c>
      <c r="H210" s="5">
        <v>3</v>
      </c>
      <c r="I210" s="6">
        <f t="shared" si="3"/>
        <v>0.13043478260869565</v>
      </c>
      <c r="J210" s="6">
        <f>D210/(VLOOKUP(B210,'[1]2021 Team'!$B$2:$G$33,2,FALSE))</f>
        <v>3.9671682626538987E-2</v>
      </c>
      <c r="K210" s="9">
        <v>79.3</v>
      </c>
      <c r="L210" s="5">
        <v>1</v>
      </c>
    </row>
    <row r="211" spans="1:12" x14ac:dyDescent="0.25">
      <c r="A211" s="5" t="s">
        <v>790</v>
      </c>
      <c r="B211" s="5" t="s">
        <v>32</v>
      </c>
      <c r="C211" s="7" t="s">
        <v>153</v>
      </c>
      <c r="D211" s="8">
        <v>34</v>
      </c>
      <c r="E211" s="8">
        <v>23</v>
      </c>
      <c r="F211" s="8">
        <v>171</v>
      </c>
      <c r="G211" s="5">
        <v>7.4</v>
      </c>
      <c r="H211" s="5">
        <v>0</v>
      </c>
      <c r="I211" s="6">
        <f t="shared" si="3"/>
        <v>0</v>
      </c>
      <c r="J211" s="6">
        <f>D211/(VLOOKUP(B211,'[1]2021 Team'!$B$2:$G$33,2,FALSE))</f>
        <v>6.2271062271062272E-2</v>
      </c>
      <c r="K211" s="9">
        <v>67.599999999999994</v>
      </c>
      <c r="L211" s="5">
        <v>1</v>
      </c>
    </row>
    <row r="212" spans="1:12" x14ac:dyDescent="0.25">
      <c r="A212" s="5" t="s">
        <v>1803</v>
      </c>
      <c r="B212" s="5" t="s">
        <v>62</v>
      </c>
      <c r="C212" s="7" t="s">
        <v>159</v>
      </c>
      <c r="D212" s="8">
        <v>29</v>
      </c>
      <c r="E212" s="8">
        <v>23</v>
      </c>
      <c r="F212" s="8">
        <v>157</v>
      </c>
      <c r="G212" s="5">
        <v>6.8</v>
      </c>
      <c r="H212" s="5">
        <v>0</v>
      </c>
      <c r="I212" s="6">
        <f t="shared" si="3"/>
        <v>0</v>
      </c>
      <c r="J212" s="6">
        <f>D212/(VLOOKUP(B212,'[1]2021 Team'!$B$2:$G$33,2,FALSE))</f>
        <v>5.642023346303502E-2</v>
      </c>
      <c r="K212" s="9">
        <v>79.3</v>
      </c>
      <c r="L212" s="5">
        <v>2</v>
      </c>
    </row>
    <row r="213" spans="1:12" x14ac:dyDescent="0.25">
      <c r="A213" s="5" t="s">
        <v>2495</v>
      </c>
      <c r="B213" s="5" t="s">
        <v>34</v>
      </c>
      <c r="C213" s="7" t="s">
        <v>163</v>
      </c>
      <c r="D213" s="8">
        <v>37</v>
      </c>
      <c r="E213" s="8">
        <v>23</v>
      </c>
      <c r="F213" s="8">
        <v>331</v>
      </c>
      <c r="G213" s="5">
        <v>14.4</v>
      </c>
      <c r="H213" s="5">
        <v>3</v>
      </c>
      <c r="I213" s="6">
        <f t="shared" si="3"/>
        <v>0.13043478260869565</v>
      </c>
      <c r="J213" s="6">
        <f>D213/(VLOOKUP(B213,'[1]2021 Team'!$B$2:$G$33,2,FALSE))</f>
        <v>7.1017274472168906E-2</v>
      </c>
      <c r="K213" s="9">
        <v>62.2</v>
      </c>
      <c r="L213" s="5">
        <v>0</v>
      </c>
    </row>
    <row r="214" spans="1:12" x14ac:dyDescent="0.25">
      <c r="A214" s="5" t="s">
        <v>1820</v>
      </c>
      <c r="B214" s="5" t="s">
        <v>30</v>
      </c>
      <c r="C214" s="7" t="s">
        <v>153</v>
      </c>
      <c r="D214" s="8">
        <v>28</v>
      </c>
      <c r="E214" s="8">
        <v>23</v>
      </c>
      <c r="F214" s="8">
        <v>214</v>
      </c>
      <c r="G214" s="5">
        <v>9.3000000000000007</v>
      </c>
      <c r="H214" s="5">
        <v>0</v>
      </c>
      <c r="I214" s="6">
        <f t="shared" si="3"/>
        <v>0</v>
      </c>
      <c r="J214" s="6">
        <f>D214/(VLOOKUP(B214,'[1]2021 Team'!$B$2:$G$33,2,FALSE))</f>
        <v>4.7217537942664416E-2</v>
      </c>
      <c r="K214" s="9">
        <v>82.1</v>
      </c>
      <c r="L214" s="5">
        <v>1</v>
      </c>
    </row>
    <row r="215" spans="1:12" x14ac:dyDescent="0.25">
      <c r="A215" s="5" t="s">
        <v>1629</v>
      </c>
      <c r="B215" s="5" t="s">
        <v>14</v>
      </c>
      <c r="C215" s="7" t="s">
        <v>159</v>
      </c>
      <c r="D215" s="8">
        <v>32</v>
      </c>
      <c r="E215" s="8">
        <v>23</v>
      </c>
      <c r="F215" s="8">
        <v>197</v>
      </c>
      <c r="G215" s="5">
        <v>8.6</v>
      </c>
      <c r="H215" s="5">
        <v>1</v>
      </c>
      <c r="I215" s="6">
        <f t="shared" si="3"/>
        <v>4.3478260869565216E-2</v>
      </c>
      <c r="J215" s="6">
        <f>D215/(VLOOKUP(B215,'[1]2021 Team'!$B$2:$G$33,2,FALSE))</f>
        <v>4.8854961832061068E-2</v>
      </c>
      <c r="K215" s="9">
        <v>71.900000000000006</v>
      </c>
      <c r="L215" s="5">
        <v>2</v>
      </c>
    </row>
    <row r="216" spans="1:12" x14ac:dyDescent="0.25">
      <c r="A216" s="5" t="s">
        <v>1785</v>
      </c>
      <c r="B216" s="5" t="s">
        <v>32</v>
      </c>
      <c r="C216" s="7" t="s">
        <v>163</v>
      </c>
      <c r="D216" s="8">
        <v>37</v>
      </c>
      <c r="E216" s="8">
        <v>22</v>
      </c>
      <c r="F216" s="8">
        <v>323</v>
      </c>
      <c r="G216" s="5">
        <v>14.7</v>
      </c>
      <c r="H216" s="5">
        <v>2</v>
      </c>
      <c r="I216" s="6">
        <f t="shared" si="3"/>
        <v>9.0909090909090912E-2</v>
      </c>
      <c r="J216" s="6">
        <f>D216/(VLOOKUP(B216,'[1]2021 Team'!$B$2:$G$33,2,FALSE))</f>
        <v>6.7765567765567761E-2</v>
      </c>
      <c r="K216" s="9">
        <v>59.5</v>
      </c>
      <c r="L216" s="5">
        <v>1</v>
      </c>
    </row>
    <row r="217" spans="1:12" x14ac:dyDescent="0.25">
      <c r="A217" s="5" t="s">
        <v>305</v>
      </c>
      <c r="B217" s="5" t="s">
        <v>22</v>
      </c>
      <c r="C217" s="7" t="s">
        <v>159</v>
      </c>
      <c r="D217" s="8">
        <v>27</v>
      </c>
      <c r="E217" s="8">
        <v>22</v>
      </c>
      <c r="F217" s="8">
        <v>174</v>
      </c>
      <c r="G217" s="5">
        <v>7.9</v>
      </c>
      <c r="H217" s="5">
        <v>0</v>
      </c>
      <c r="I217" s="6">
        <f t="shared" si="3"/>
        <v>0</v>
      </c>
      <c r="J217" s="6">
        <f>D217/(VLOOKUP(B217,'[1]2021 Team'!$B$2:$G$33,2,FALSE))</f>
        <v>5.1923076923076926E-2</v>
      </c>
      <c r="K217" s="9">
        <v>81.5</v>
      </c>
      <c r="L217" s="5">
        <v>0</v>
      </c>
    </row>
    <row r="218" spans="1:12" x14ac:dyDescent="0.25">
      <c r="A218" s="5" t="s">
        <v>2410</v>
      </c>
      <c r="B218" s="5" t="s">
        <v>42</v>
      </c>
      <c r="C218" s="7" t="s">
        <v>159</v>
      </c>
      <c r="D218" s="8">
        <v>25</v>
      </c>
      <c r="E218" s="8">
        <v>22</v>
      </c>
      <c r="F218" s="8">
        <v>178</v>
      </c>
      <c r="G218" s="5">
        <v>8.1</v>
      </c>
      <c r="H218" s="5">
        <v>0</v>
      </c>
      <c r="I218" s="6">
        <f t="shared" si="3"/>
        <v>0</v>
      </c>
      <c r="J218" s="6">
        <f>D218/(VLOOKUP(B218,'[1]2021 Team'!$B$2:$G$33,2,FALSE))</f>
        <v>3.7091988130563795E-2</v>
      </c>
      <c r="K218" s="9">
        <v>88</v>
      </c>
      <c r="L218" s="5">
        <v>1</v>
      </c>
    </row>
    <row r="219" spans="1:12" x14ac:dyDescent="0.25">
      <c r="A219" s="5" t="s">
        <v>886</v>
      </c>
      <c r="B219" s="5" t="s">
        <v>22</v>
      </c>
      <c r="C219" s="7" t="s">
        <v>153</v>
      </c>
      <c r="D219" s="8">
        <v>28</v>
      </c>
      <c r="E219" s="8">
        <v>21</v>
      </c>
      <c r="F219" s="8">
        <v>233</v>
      </c>
      <c r="G219" s="5">
        <v>11.1</v>
      </c>
      <c r="H219" s="5">
        <v>3</v>
      </c>
      <c r="I219" s="6">
        <f t="shared" si="3"/>
        <v>0.14285714285714285</v>
      </c>
      <c r="J219" s="6">
        <f>D219/(VLOOKUP(B219,'[1]2021 Team'!$B$2:$G$33,2,FALSE))</f>
        <v>5.3846153846153849E-2</v>
      </c>
      <c r="K219" s="9">
        <v>75</v>
      </c>
      <c r="L219" s="5">
        <v>0</v>
      </c>
    </row>
    <row r="220" spans="1:12" x14ac:dyDescent="0.25">
      <c r="A220" s="5" t="s">
        <v>710</v>
      </c>
      <c r="B220" s="5" t="s">
        <v>64</v>
      </c>
      <c r="C220" s="7" t="s">
        <v>159</v>
      </c>
      <c r="D220" s="8">
        <v>23</v>
      </c>
      <c r="E220" s="8">
        <v>21</v>
      </c>
      <c r="F220" s="8">
        <v>133</v>
      </c>
      <c r="G220" s="5">
        <v>6.3</v>
      </c>
      <c r="H220" s="5">
        <v>0</v>
      </c>
      <c r="I220" s="6">
        <f t="shared" si="3"/>
        <v>0</v>
      </c>
      <c r="J220" s="6">
        <f>D220/(VLOOKUP(B220,'[1]2021 Team'!$B$2:$G$33,2,FALSE))</f>
        <v>4.6464646464646465E-2</v>
      </c>
      <c r="K220" s="9">
        <v>91.3</v>
      </c>
      <c r="L220" s="5">
        <v>1</v>
      </c>
    </row>
    <row r="221" spans="1:12" x14ac:dyDescent="0.25">
      <c r="A221" s="5" t="s">
        <v>917</v>
      </c>
      <c r="B221" s="5" t="s">
        <v>64</v>
      </c>
      <c r="C221" s="7" t="s">
        <v>153</v>
      </c>
      <c r="D221" s="8">
        <v>26</v>
      </c>
      <c r="E221" s="8">
        <v>21</v>
      </c>
      <c r="F221" s="8">
        <v>231</v>
      </c>
      <c r="G221" s="5">
        <v>11</v>
      </c>
      <c r="H221" s="5">
        <v>1</v>
      </c>
      <c r="I221" s="6">
        <f t="shared" si="3"/>
        <v>4.7619047619047616E-2</v>
      </c>
      <c r="J221" s="6">
        <f>D221/(VLOOKUP(B221,'[1]2021 Team'!$B$2:$G$33,2,FALSE))</f>
        <v>5.2525252525252523E-2</v>
      </c>
      <c r="K221" s="9">
        <v>80.8</v>
      </c>
      <c r="L221" s="5">
        <v>1</v>
      </c>
    </row>
    <row r="222" spans="1:12" x14ac:dyDescent="0.25">
      <c r="A222" s="5" t="s">
        <v>2411</v>
      </c>
      <c r="B222" s="5" t="s">
        <v>44</v>
      </c>
      <c r="C222" s="7" t="s">
        <v>159</v>
      </c>
      <c r="D222" s="8">
        <v>33</v>
      </c>
      <c r="E222" s="8">
        <v>21</v>
      </c>
      <c r="F222" s="8">
        <v>128</v>
      </c>
      <c r="G222" s="5">
        <v>6.1</v>
      </c>
      <c r="H222" s="5">
        <v>1</v>
      </c>
      <c r="I222" s="6">
        <f t="shared" si="3"/>
        <v>4.7619047619047616E-2</v>
      </c>
      <c r="J222" s="6">
        <f>D222/(VLOOKUP(B222,'[1]2021 Team'!$B$2:$G$33,2,FALSE))</f>
        <v>5.4365733113673806E-2</v>
      </c>
      <c r="K222" s="9">
        <v>63.6</v>
      </c>
      <c r="L222" s="5">
        <v>1</v>
      </c>
    </row>
    <row r="223" spans="1:12" x14ac:dyDescent="0.25">
      <c r="A223" s="5" t="s">
        <v>731</v>
      </c>
      <c r="B223" s="5" t="s">
        <v>32</v>
      </c>
      <c r="C223" s="7" t="s">
        <v>163</v>
      </c>
      <c r="D223" s="8">
        <v>22</v>
      </c>
      <c r="E223" s="8">
        <v>21</v>
      </c>
      <c r="F223" s="8">
        <v>227</v>
      </c>
      <c r="G223" s="5">
        <v>10.8</v>
      </c>
      <c r="H223" s="5">
        <v>2</v>
      </c>
      <c r="I223" s="6">
        <f t="shared" si="3"/>
        <v>9.5238095238095233E-2</v>
      </c>
      <c r="J223" s="6">
        <f>D223/(VLOOKUP(B223,'[1]2021 Team'!$B$2:$G$33,2,FALSE))</f>
        <v>4.0293040293040296E-2</v>
      </c>
      <c r="K223" s="9">
        <v>95.5</v>
      </c>
      <c r="L223" s="5">
        <v>0</v>
      </c>
    </row>
    <row r="224" spans="1:12" x14ac:dyDescent="0.25">
      <c r="A224" s="5" t="s">
        <v>1041</v>
      </c>
      <c r="B224" s="5" t="s">
        <v>70</v>
      </c>
      <c r="C224" s="7" t="s">
        <v>153</v>
      </c>
      <c r="D224" s="8">
        <v>25</v>
      </c>
      <c r="E224" s="8">
        <v>20</v>
      </c>
      <c r="F224" s="8">
        <v>249</v>
      </c>
      <c r="G224" s="5">
        <v>12.5</v>
      </c>
      <c r="H224" s="5">
        <v>1</v>
      </c>
      <c r="I224" s="6">
        <f t="shared" si="3"/>
        <v>0.05</v>
      </c>
      <c r="J224" s="6">
        <f>D224/(VLOOKUP(B224,'[1]2021 Team'!$B$2:$G$33,2,FALSE))</f>
        <v>4.5454545454545456E-2</v>
      </c>
      <c r="K224" s="9">
        <v>80</v>
      </c>
      <c r="L224" s="5">
        <v>1</v>
      </c>
    </row>
    <row r="225" spans="1:12" x14ac:dyDescent="0.25">
      <c r="A225" s="5" t="s">
        <v>356</v>
      </c>
      <c r="B225" s="5" t="s">
        <v>22</v>
      </c>
      <c r="C225" s="7" t="s">
        <v>159</v>
      </c>
      <c r="D225" s="8">
        <v>25</v>
      </c>
      <c r="E225" s="8">
        <v>20</v>
      </c>
      <c r="F225" s="8">
        <v>174</v>
      </c>
      <c r="G225" s="5">
        <v>8.6999999999999993</v>
      </c>
      <c r="H225" s="5">
        <v>1</v>
      </c>
      <c r="I225" s="6">
        <f t="shared" si="3"/>
        <v>0.05</v>
      </c>
      <c r="J225" s="6">
        <f>D225/(VLOOKUP(B225,'[1]2021 Team'!$B$2:$G$33,2,FALSE))</f>
        <v>4.807692307692308E-2</v>
      </c>
      <c r="K225" s="9">
        <v>80</v>
      </c>
      <c r="L225" s="5">
        <v>2</v>
      </c>
    </row>
    <row r="226" spans="1:12" x14ac:dyDescent="0.25">
      <c r="A226" s="5" t="s">
        <v>1725</v>
      </c>
      <c r="B226" s="5" t="s">
        <v>18</v>
      </c>
      <c r="C226" s="7" t="s">
        <v>163</v>
      </c>
      <c r="D226" s="8">
        <v>40</v>
      </c>
      <c r="E226" s="8">
        <v>20</v>
      </c>
      <c r="F226" s="8">
        <v>313</v>
      </c>
      <c r="G226" s="5">
        <v>15.7</v>
      </c>
      <c r="H226" s="5">
        <v>1</v>
      </c>
      <c r="I226" s="6">
        <f t="shared" si="3"/>
        <v>0.05</v>
      </c>
      <c r="J226" s="6">
        <f>D226/(VLOOKUP(B226,'[1]2021 Team'!$B$2:$G$33,2,FALSE))</f>
        <v>7.3800738007380073E-2</v>
      </c>
      <c r="K226" s="9">
        <v>50</v>
      </c>
      <c r="L226" s="5">
        <v>1</v>
      </c>
    </row>
    <row r="227" spans="1:12" x14ac:dyDescent="0.25">
      <c r="A227" s="5" t="s">
        <v>1816</v>
      </c>
      <c r="B227" s="5" t="s">
        <v>32</v>
      </c>
      <c r="C227" s="7" t="s">
        <v>153</v>
      </c>
      <c r="D227" s="8">
        <v>28</v>
      </c>
      <c r="E227" s="8">
        <v>20</v>
      </c>
      <c r="F227" s="8">
        <v>178</v>
      </c>
      <c r="G227" s="5">
        <v>8.9</v>
      </c>
      <c r="H227" s="5">
        <v>3</v>
      </c>
      <c r="I227" s="6">
        <f t="shared" si="3"/>
        <v>0.15</v>
      </c>
      <c r="J227" s="6">
        <f>D227/(VLOOKUP(B227,'[1]2021 Team'!$B$2:$G$33,2,FALSE))</f>
        <v>5.128205128205128E-2</v>
      </c>
      <c r="K227" s="9">
        <v>71.400000000000006</v>
      </c>
      <c r="L227" s="5">
        <v>0</v>
      </c>
    </row>
    <row r="228" spans="1:12" x14ac:dyDescent="0.25">
      <c r="A228" s="5" t="s">
        <v>1731</v>
      </c>
      <c r="B228" s="5" t="s">
        <v>14</v>
      </c>
      <c r="C228" s="7" t="s">
        <v>163</v>
      </c>
      <c r="D228" s="8">
        <v>26</v>
      </c>
      <c r="E228" s="8">
        <v>20</v>
      </c>
      <c r="F228" s="8">
        <v>178</v>
      </c>
      <c r="G228" s="5">
        <v>8.9</v>
      </c>
      <c r="H228" s="5">
        <v>1</v>
      </c>
      <c r="I228" s="6">
        <f t="shared" si="3"/>
        <v>0.05</v>
      </c>
      <c r="J228" s="6">
        <f>D228/(VLOOKUP(B228,'[1]2021 Team'!$B$2:$G$33,2,FALSE))</f>
        <v>3.9694656488549619E-2</v>
      </c>
      <c r="K228" s="9">
        <v>76.900000000000006</v>
      </c>
      <c r="L228" s="5">
        <v>2</v>
      </c>
    </row>
    <row r="229" spans="1:12" x14ac:dyDescent="0.25">
      <c r="A229" s="5" t="s">
        <v>1828</v>
      </c>
      <c r="B229" s="5" t="s">
        <v>42</v>
      </c>
      <c r="C229" s="7" t="s">
        <v>153</v>
      </c>
      <c r="D229" s="8">
        <v>27</v>
      </c>
      <c r="E229" s="8">
        <v>20</v>
      </c>
      <c r="F229" s="8">
        <v>190</v>
      </c>
      <c r="G229" s="5">
        <v>9.5</v>
      </c>
      <c r="H229" s="5">
        <v>3</v>
      </c>
      <c r="I229" s="6">
        <f t="shared" si="3"/>
        <v>0.15</v>
      </c>
      <c r="J229" s="6">
        <f>D229/(VLOOKUP(B229,'[1]2021 Team'!$B$2:$G$33,2,FALSE))</f>
        <v>4.0059347181008904E-2</v>
      </c>
      <c r="K229" s="9">
        <v>74.099999999999994</v>
      </c>
      <c r="L229" s="5">
        <v>0</v>
      </c>
    </row>
    <row r="230" spans="1:12" x14ac:dyDescent="0.25">
      <c r="A230" s="5" t="s">
        <v>836</v>
      </c>
      <c r="B230" s="5" t="s">
        <v>16</v>
      </c>
      <c r="C230" s="7" t="s">
        <v>153</v>
      </c>
      <c r="D230" s="8">
        <v>35</v>
      </c>
      <c r="E230" s="8">
        <v>20</v>
      </c>
      <c r="F230" s="8">
        <v>180</v>
      </c>
      <c r="G230" s="5">
        <v>9</v>
      </c>
      <c r="H230" s="5">
        <v>1</v>
      </c>
      <c r="I230" s="6">
        <f t="shared" si="3"/>
        <v>0.05</v>
      </c>
      <c r="J230" s="6">
        <f>D230/(VLOOKUP(B230,'[1]2021 Team'!$B$2:$G$33,2,FALSE))</f>
        <v>5.8430717863105178E-2</v>
      </c>
      <c r="K230" s="9">
        <v>57.1</v>
      </c>
      <c r="L230" s="5">
        <v>0</v>
      </c>
    </row>
    <row r="231" spans="1:12" x14ac:dyDescent="0.25">
      <c r="A231" s="5" t="s">
        <v>2499</v>
      </c>
      <c r="B231" s="5" t="s">
        <v>44</v>
      </c>
      <c r="C231" s="7" t="s">
        <v>163</v>
      </c>
      <c r="D231" s="8">
        <v>15</v>
      </c>
      <c r="E231" s="8">
        <v>8</v>
      </c>
      <c r="F231" s="8">
        <v>221</v>
      </c>
      <c r="G231" s="5">
        <v>27.6</v>
      </c>
      <c r="H231" s="5">
        <v>1</v>
      </c>
      <c r="I231" s="6">
        <f t="shared" si="3"/>
        <v>0.125</v>
      </c>
      <c r="J231" s="6">
        <f>D231/(VLOOKUP(B231,'[1]2021 Team'!$B$2:$G$33,2,FALSE))</f>
        <v>2.4711696869851731E-2</v>
      </c>
      <c r="K231" s="9">
        <v>53.3</v>
      </c>
      <c r="L231" s="5">
        <v>0</v>
      </c>
    </row>
    <row r="232" spans="1:12" x14ac:dyDescent="0.25">
      <c r="A232" s="5" t="s">
        <v>2499</v>
      </c>
      <c r="B232" s="5" t="s">
        <v>40</v>
      </c>
      <c r="C232" s="7" t="s">
        <v>163</v>
      </c>
      <c r="D232" s="8">
        <v>19</v>
      </c>
      <c r="E232" s="8">
        <v>12</v>
      </c>
      <c r="F232" s="8">
        <v>233</v>
      </c>
      <c r="G232" s="5">
        <v>19.399999999999999</v>
      </c>
      <c r="H232" s="5">
        <v>1</v>
      </c>
      <c r="I232" s="6">
        <f t="shared" si="3"/>
        <v>8.3333333333333329E-2</v>
      </c>
      <c r="J232" s="6">
        <f>D232/(VLOOKUP(B232,'[1]2021 Team'!$B$2:$G$33,2,FALSE))</f>
        <v>3.0254777070063694E-2</v>
      </c>
      <c r="K232" s="9">
        <v>63.2</v>
      </c>
      <c r="L232" s="5">
        <v>1</v>
      </c>
    </row>
    <row r="233" spans="1:12" x14ac:dyDescent="0.25">
      <c r="A233" s="5" t="s">
        <v>635</v>
      </c>
      <c r="B233" s="5" t="s">
        <v>38</v>
      </c>
      <c r="C233" s="7" t="s">
        <v>159</v>
      </c>
      <c r="D233" s="8">
        <v>23</v>
      </c>
      <c r="E233" s="8">
        <v>19</v>
      </c>
      <c r="F233" s="8">
        <v>129</v>
      </c>
      <c r="G233" s="5">
        <v>6.8</v>
      </c>
      <c r="H233" s="5">
        <v>2</v>
      </c>
      <c r="I233" s="6">
        <f t="shared" si="3"/>
        <v>0.10526315789473684</v>
      </c>
      <c r="J233" s="6">
        <f>D233/(VLOOKUP(B233,'[1]2021 Team'!$B$2:$G$33,2,FALSE))</f>
        <v>3.4074074074074076E-2</v>
      </c>
      <c r="K233" s="9">
        <v>82.6</v>
      </c>
      <c r="L233" s="5">
        <v>2</v>
      </c>
    </row>
    <row r="234" spans="1:12" x14ac:dyDescent="0.25">
      <c r="A234" s="5" t="s">
        <v>2483</v>
      </c>
      <c r="B234" s="5" t="s">
        <v>60</v>
      </c>
      <c r="C234" s="7" t="s">
        <v>153</v>
      </c>
      <c r="D234" s="8">
        <v>25</v>
      </c>
      <c r="E234" s="8">
        <v>19</v>
      </c>
      <c r="F234" s="8">
        <v>167</v>
      </c>
      <c r="G234" s="5">
        <v>8.8000000000000007</v>
      </c>
      <c r="H234" s="5">
        <v>0</v>
      </c>
      <c r="I234" s="6">
        <f t="shared" si="3"/>
        <v>0</v>
      </c>
      <c r="J234" s="6">
        <f>D234/(VLOOKUP(B234,'[1]2021 Team'!$B$2:$G$33,2,FALSE))</f>
        <v>3.7650602409638557E-2</v>
      </c>
      <c r="K234" s="9">
        <v>76</v>
      </c>
      <c r="L234" s="5">
        <v>0</v>
      </c>
    </row>
    <row r="235" spans="1:12" x14ac:dyDescent="0.25">
      <c r="A235" s="5" t="s">
        <v>2413</v>
      </c>
      <c r="B235" s="5" t="s">
        <v>68</v>
      </c>
      <c r="C235" s="7" t="s">
        <v>159</v>
      </c>
      <c r="D235" s="8">
        <v>26</v>
      </c>
      <c r="E235" s="8">
        <v>19</v>
      </c>
      <c r="F235" s="8">
        <v>87</v>
      </c>
      <c r="G235" s="5">
        <v>4.5999999999999996</v>
      </c>
      <c r="H235" s="5">
        <v>0</v>
      </c>
      <c r="I235" s="6">
        <f t="shared" si="3"/>
        <v>0</v>
      </c>
      <c r="J235" s="6">
        <f>D235/(VLOOKUP(B235,'[1]2021 Team'!$B$2:$G$33,2,FALSE))</f>
        <v>4.8598130841121495E-2</v>
      </c>
      <c r="K235" s="9">
        <v>73.099999999999994</v>
      </c>
      <c r="L235" s="5">
        <v>2</v>
      </c>
    </row>
    <row r="236" spans="1:12" x14ac:dyDescent="0.25">
      <c r="A236" s="5" t="s">
        <v>563</v>
      </c>
      <c r="B236" s="5" t="s">
        <v>22</v>
      </c>
      <c r="C236" s="7" t="s">
        <v>159</v>
      </c>
      <c r="D236" s="8">
        <v>25</v>
      </c>
      <c r="E236" s="8">
        <v>19</v>
      </c>
      <c r="F236" s="8">
        <v>137</v>
      </c>
      <c r="G236" s="5">
        <v>7.2</v>
      </c>
      <c r="H236" s="5">
        <v>0</v>
      </c>
      <c r="I236" s="6">
        <f t="shared" si="3"/>
        <v>0</v>
      </c>
      <c r="J236" s="6">
        <f>D236/(VLOOKUP(B236,'[1]2021 Team'!$B$2:$G$33,2,FALSE))</f>
        <v>4.807692307692308E-2</v>
      </c>
      <c r="K236" s="9">
        <v>76</v>
      </c>
      <c r="L236" s="5">
        <v>1</v>
      </c>
    </row>
    <row r="237" spans="1:12" x14ac:dyDescent="0.25">
      <c r="A237" s="5" t="s">
        <v>910</v>
      </c>
      <c r="B237" s="5" t="s">
        <v>62</v>
      </c>
      <c r="C237" s="7" t="s">
        <v>159</v>
      </c>
      <c r="D237" s="8">
        <v>20</v>
      </c>
      <c r="E237" s="8">
        <v>19</v>
      </c>
      <c r="F237" s="8">
        <v>137</v>
      </c>
      <c r="G237" s="5">
        <v>7.2</v>
      </c>
      <c r="H237" s="5">
        <v>1</v>
      </c>
      <c r="I237" s="6">
        <f t="shared" si="3"/>
        <v>5.2631578947368418E-2</v>
      </c>
      <c r="J237" s="6">
        <f>D237/(VLOOKUP(B237,'[1]2021 Team'!$B$2:$G$33,2,FALSE))</f>
        <v>3.8910505836575876E-2</v>
      </c>
      <c r="K237" s="9">
        <v>95</v>
      </c>
      <c r="L237" s="5">
        <v>0</v>
      </c>
    </row>
    <row r="238" spans="1:12" x14ac:dyDescent="0.25">
      <c r="A238" s="5" t="s">
        <v>2664</v>
      </c>
      <c r="B238" s="5" t="s">
        <v>8</v>
      </c>
      <c r="C238" s="7" t="s">
        <v>163</v>
      </c>
      <c r="D238" s="8">
        <v>32</v>
      </c>
      <c r="E238" s="8">
        <v>19</v>
      </c>
      <c r="F238" s="8">
        <v>208</v>
      </c>
      <c r="G238" s="5">
        <v>10.9</v>
      </c>
      <c r="H238" s="5">
        <v>3</v>
      </c>
      <c r="I238" s="6">
        <f t="shared" si="3"/>
        <v>0.15789473684210525</v>
      </c>
      <c r="J238" s="6">
        <f>D238/(VLOOKUP(B238,'[1]2021 Team'!$B$2:$G$33,2,FALSE))</f>
        <v>5.4145516074450083E-2</v>
      </c>
      <c r="K238" s="9">
        <v>59.4</v>
      </c>
      <c r="L238" s="5">
        <v>0</v>
      </c>
    </row>
    <row r="239" spans="1:12" x14ac:dyDescent="0.25">
      <c r="A239" s="5" t="s">
        <v>2449</v>
      </c>
      <c r="B239" s="5" t="s">
        <v>22</v>
      </c>
      <c r="C239" s="7" t="s">
        <v>163</v>
      </c>
      <c r="D239" s="8">
        <v>21</v>
      </c>
      <c r="E239" s="8">
        <v>18</v>
      </c>
      <c r="F239" s="8">
        <v>181</v>
      </c>
      <c r="G239" s="5">
        <v>10.1</v>
      </c>
      <c r="H239" s="5">
        <v>2</v>
      </c>
      <c r="I239" s="6">
        <f t="shared" si="3"/>
        <v>0.1111111111111111</v>
      </c>
      <c r="J239" s="6">
        <f>D239/(VLOOKUP(B239,'[1]2021 Team'!$B$2:$G$33,2,FALSE))</f>
        <v>4.0384615384615387E-2</v>
      </c>
      <c r="K239" s="9">
        <v>85.7</v>
      </c>
      <c r="L239" s="5">
        <v>4</v>
      </c>
    </row>
    <row r="240" spans="1:12" x14ac:dyDescent="0.25">
      <c r="A240" s="5" t="s">
        <v>1692</v>
      </c>
      <c r="B240" s="5" t="s">
        <v>50</v>
      </c>
      <c r="C240" s="7" t="s">
        <v>159</v>
      </c>
      <c r="D240" s="8">
        <v>21</v>
      </c>
      <c r="E240" s="8">
        <v>18</v>
      </c>
      <c r="F240" s="8">
        <v>132</v>
      </c>
      <c r="G240" s="5">
        <v>7.3</v>
      </c>
      <c r="H240" s="5">
        <v>0</v>
      </c>
      <c r="I240" s="6">
        <f t="shared" si="3"/>
        <v>0</v>
      </c>
      <c r="J240" s="6">
        <f>D240/(VLOOKUP(B240,'[1]2021 Team'!$B$2:$G$33,2,FALSE))</f>
        <v>3.925233644859813E-2</v>
      </c>
      <c r="K240" s="9">
        <v>85.7</v>
      </c>
      <c r="L240" s="5">
        <v>2</v>
      </c>
    </row>
    <row r="241" spans="1:12" x14ac:dyDescent="0.25">
      <c r="A241" s="5" t="s">
        <v>166</v>
      </c>
      <c r="B241" s="5" t="s">
        <v>68</v>
      </c>
      <c r="C241" s="7" t="s">
        <v>159</v>
      </c>
      <c r="D241" s="8">
        <v>20</v>
      </c>
      <c r="E241" s="8">
        <v>18</v>
      </c>
      <c r="F241" s="8">
        <v>154</v>
      </c>
      <c r="G241" s="5">
        <v>8.6</v>
      </c>
      <c r="H241" s="5">
        <v>0</v>
      </c>
      <c r="I241" s="6">
        <f t="shared" si="3"/>
        <v>0</v>
      </c>
      <c r="J241" s="6">
        <f>D241/(VLOOKUP(B241,'[1]2021 Team'!$B$2:$G$33,2,FALSE))</f>
        <v>3.7383177570093455E-2</v>
      </c>
      <c r="K241" s="9">
        <v>90</v>
      </c>
      <c r="L241" s="5">
        <v>1</v>
      </c>
    </row>
    <row r="242" spans="1:12" x14ac:dyDescent="0.25">
      <c r="A242" s="5" t="s">
        <v>939</v>
      </c>
      <c r="B242" s="5" t="s">
        <v>16</v>
      </c>
      <c r="C242" s="7" t="s">
        <v>153</v>
      </c>
      <c r="D242" s="8">
        <v>30</v>
      </c>
      <c r="E242" s="8">
        <v>18</v>
      </c>
      <c r="F242" s="8">
        <v>188</v>
      </c>
      <c r="G242" s="5">
        <v>10.4</v>
      </c>
      <c r="H242" s="5">
        <v>0</v>
      </c>
      <c r="I242" s="6">
        <f t="shared" si="3"/>
        <v>0</v>
      </c>
      <c r="J242" s="6">
        <f>D242/(VLOOKUP(B242,'[1]2021 Team'!$B$2:$G$33,2,FALSE))</f>
        <v>5.0083472454090151E-2</v>
      </c>
      <c r="K242" s="9">
        <v>60</v>
      </c>
      <c r="L242" s="5">
        <v>0</v>
      </c>
    </row>
    <row r="243" spans="1:12" x14ac:dyDescent="0.25">
      <c r="A243" s="5" t="s">
        <v>1763</v>
      </c>
      <c r="B243" s="5" t="s">
        <v>70</v>
      </c>
      <c r="C243" s="7" t="s">
        <v>153</v>
      </c>
      <c r="D243" s="8">
        <v>25</v>
      </c>
      <c r="E243" s="8">
        <v>18</v>
      </c>
      <c r="F243" s="8">
        <v>196</v>
      </c>
      <c r="G243" s="5">
        <v>10.9</v>
      </c>
      <c r="H243" s="5">
        <v>3</v>
      </c>
      <c r="I243" s="6">
        <f t="shared" si="3"/>
        <v>0.16666666666666666</v>
      </c>
      <c r="J243" s="6">
        <f>D243/(VLOOKUP(B243,'[1]2021 Team'!$B$2:$G$33,2,FALSE))</f>
        <v>4.5454545454545456E-2</v>
      </c>
      <c r="K243" s="9">
        <v>72</v>
      </c>
      <c r="L243" s="5">
        <v>1</v>
      </c>
    </row>
    <row r="244" spans="1:12" x14ac:dyDescent="0.25">
      <c r="A244" s="5" t="s">
        <v>914</v>
      </c>
      <c r="B244" s="5" t="s">
        <v>30</v>
      </c>
      <c r="C244" s="7" t="s">
        <v>153</v>
      </c>
      <c r="D244" s="8">
        <v>29</v>
      </c>
      <c r="E244" s="8">
        <v>18</v>
      </c>
      <c r="F244" s="8">
        <v>204</v>
      </c>
      <c r="G244" s="5">
        <v>11.3</v>
      </c>
      <c r="H244" s="5">
        <v>2</v>
      </c>
      <c r="I244" s="6">
        <f t="shared" si="3"/>
        <v>0.1111111111111111</v>
      </c>
      <c r="J244" s="6">
        <f>D244/(VLOOKUP(B244,'[1]2021 Team'!$B$2:$G$33,2,FALSE))</f>
        <v>4.8903878583473864E-2</v>
      </c>
      <c r="K244" s="9">
        <v>62.1</v>
      </c>
      <c r="L244" s="5">
        <v>0</v>
      </c>
    </row>
    <row r="245" spans="1:12" x14ac:dyDescent="0.25">
      <c r="A245" s="5" t="s">
        <v>2406</v>
      </c>
      <c r="B245" s="5" t="s">
        <v>16</v>
      </c>
      <c r="C245" s="7" t="s">
        <v>163</v>
      </c>
      <c r="D245" s="8">
        <v>25</v>
      </c>
      <c r="E245" s="8">
        <v>18</v>
      </c>
      <c r="F245" s="8">
        <v>250</v>
      </c>
      <c r="G245" s="5">
        <v>13.9</v>
      </c>
      <c r="H245" s="5">
        <v>1</v>
      </c>
      <c r="I245" s="6">
        <f t="shared" si="3"/>
        <v>5.5555555555555552E-2</v>
      </c>
      <c r="J245" s="6">
        <f>D245/(VLOOKUP(B245,'[1]2021 Team'!$B$2:$G$33,2,FALSE))</f>
        <v>4.1736227045075125E-2</v>
      </c>
      <c r="K245" s="9">
        <v>72</v>
      </c>
      <c r="L245" s="5">
        <v>0</v>
      </c>
    </row>
    <row r="246" spans="1:12" x14ac:dyDescent="0.25">
      <c r="A246" s="5" t="s">
        <v>674</v>
      </c>
      <c r="B246" s="5" t="s">
        <v>48</v>
      </c>
      <c r="C246" s="7" t="s">
        <v>613</v>
      </c>
      <c r="D246" s="8">
        <v>18</v>
      </c>
      <c r="E246" s="8">
        <v>17</v>
      </c>
      <c r="F246" s="8">
        <v>125</v>
      </c>
      <c r="G246" s="5">
        <v>7.4</v>
      </c>
      <c r="H246" s="5">
        <v>0</v>
      </c>
      <c r="I246" s="6">
        <f t="shared" si="3"/>
        <v>0</v>
      </c>
      <c r="J246" s="6">
        <f>D246/(VLOOKUP(B246,'[1]2021 Team'!$B$2:$G$33,2,FALSE))</f>
        <v>2.9801324503311258E-2</v>
      </c>
      <c r="K246" s="9">
        <v>94.4</v>
      </c>
      <c r="L246" s="5">
        <v>0</v>
      </c>
    </row>
    <row r="247" spans="1:12" x14ac:dyDescent="0.25">
      <c r="A247" s="5" t="s">
        <v>1821</v>
      </c>
      <c r="B247" s="5" t="s">
        <v>16</v>
      </c>
      <c r="C247" s="7" t="s">
        <v>163</v>
      </c>
      <c r="D247" s="8">
        <v>30</v>
      </c>
      <c r="E247" s="8">
        <v>17</v>
      </c>
      <c r="F247" s="8">
        <v>138</v>
      </c>
      <c r="G247" s="5">
        <v>8.1</v>
      </c>
      <c r="H247" s="5">
        <v>0</v>
      </c>
      <c r="I247" s="6">
        <f t="shared" si="3"/>
        <v>0</v>
      </c>
      <c r="J247" s="6">
        <f>D247/(VLOOKUP(B247,'[1]2021 Team'!$B$2:$G$33,2,FALSE))</f>
        <v>5.0083472454090151E-2</v>
      </c>
      <c r="K247" s="9">
        <v>56.7</v>
      </c>
      <c r="L247" s="5">
        <v>0</v>
      </c>
    </row>
    <row r="248" spans="1:12" x14ac:dyDescent="0.25">
      <c r="A248" s="5" t="s">
        <v>2460</v>
      </c>
      <c r="B248" s="5" t="s">
        <v>42</v>
      </c>
      <c r="C248" s="7" t="s">
        <v>153</v>
      </c>
      <c r="D248" s="8">
        <v>19</v>
      </c>
      <c r="E248" s="8">
        <v>16</v>
      </c>
      <c r="F248" s="8">
        <v>165</v>
      </c>
      <c r="G248" s="5">
        <v>10.3</v>
      </c>
      <c r="H248" s="5">
        <v>1</v>
      </c>
      <c r="I248" s="6">
        <f t="shared" si="3"/>
        <v>6.25E-2</v>
      </c>
      <c r="J248" s="6">
        <f>D248/(VLOOKUP(B248,'[1]2021 Team'!$B$2:$G$33,2,FALSE))</f>
        <v>2.8189910979228485E-2</v>
      </c>
      <c r="K248" s="9">
        <v>84.2</v>
      </c>
      <c r="L248" s="5">
        <v>0</v>
      </c>
    </row>
    <row r="249" spans="1:12" x14ac:dyDescent="0.25">
      <c r="A249" s="5" t="s">
        <v>1042</v>
      </c>
      <c r="B249" s="5" t="s">
        <v>24</v>
      </c>
      <c r="C249" s="7" t="s">
        <v>163</v>
      </c>
      <c r="D249" s="8">
        <v>25</v>
      </c>
      <c r="E249" s="8">
        <v>16</v>
      </c>
      <c r="F249" s="8">
        <v>184</v>
      </c>
      <c r="G249" s="5">
        <v>11.5</v>
      </c>
      <c r="H249" s="5">
        <v>0</v>
      </c>
      <c r="I249" s="6">
        <f t="shared" si="3"/>
        <v>0</v>
      </c>
      <c r="J249" s="6">
        <f>D249/(VLOOKUP(B249,'[1]2021 Team'!$B$2:$G$33,2,FALSE))</f>
        <v>3.8639876352395672E-2</v>
      </c>
      <c r="K249" s="9">
        <v>64</v>
      </c>
      <c r="L249" s="5">
        <v>0</v>
      </c>
    </row>
    <row r="250" spans="1:12" x14ac:dyDescent="0.25">
      <c r="A250" s="5" t="s">
        <v>767</v>
      </c>
      <c r="B250" s="5" t="s">
        <v>64</v>
      </c>
      <c r="C250" s="7" t="s">
        <v>159</v>
      </c>
      <c r="D250" s="8">
        <v>20</v>
      </c>
      <c r="E250" s="8">
        <v>16</v>
      </c>
      <c r="F250" s="8">
        <v>161</v>
      </c>
      <c r="G250" s="5">
        <v>10.1</v>
      </c>
      <c r="H250" s="5">
        <v>0</v>
      </c>
      <c r="I250" s="6">
        <f t="shared" si="3"/>
        <v>0</v>
      </c>
      <c r="J250" s="6">
        <f>D250/(VLOOKUP(B250,'[1]2021 Team'!$B$2:$G$33,2,FALSE))</f>
        <v>4.0404040404040407E-2</v>
      </c>
      <c r="K250" s="9">
        <v>80</v>
      </c>
      <c r="L250" s="5">
        <v>0</v>
      </c>
    </row>
    <row r="251" spans="1:12" x14ac:dyDescent="0.25">
      <c r="A251" s="5" t="s">
        <v>2503</v>
      </c>
      <c r="B251" s="5" t="s">
        <v>56</v>
      </c>
      <c r="C251" s="7" t="s">
        <v>153</v>
      </c>
      <c r="D251" s="8">
        <v>25</v>
      </c>
      <c r="E251" s="8">
        <v>16</v>
      </c>
      <c r="F251" s="8">
        <v>173</v>
      </c>
      <c r="G251" s="5">
        <v>10.8</v>
      </c>
      <c r="H251" s="5">
        <v>1</v>
      </c>
      <c r="I251" s="6">
        <f t="shared" ref="I251:I312" si="4">H251/E251</f>
        <v>6.25E-2</v>
      </c>
      <c r="J251" s="6">
        <f>D251/(VLOOKUP(B251,'[1]2021 Team'!$B$2:$G$33,2,FALSE))</f>
        <v>4.1459369817578771E-2</v>
      </c>
      <c r="K251" s="9">
        <v>64</v>
      </c>
      <c r="L251" s="5">
        <v>0</v>
      </c>
    </row>
    <row r="252" spans="1:12" x14ac:dyDescent="0.25">
      <c r="A252" s="5" t="s">
        <v>1732</v>
      </c>
      <c r="B252" s="5" t="s">
        <v>52</v>
      </c>
      <c r="C252" s="7" t="s">
        <v>163</v>
      </c>
      <c r="D252" s="8">
        <v>26</v>
      </c>
      <c r="E252" s="8">
        <v>16</v>
      </c>
      <c r="F252" s="8">
        <v>95</v>
      </c>
      <c r="G252" s="5">
        <v>5.9</v>
      </c>
      <c r="H252" s="5">
        <v>0</v>
      </c>
      <c r="I252" s="6">
        <f t="shared" si="4"/>
        <v>0</v>
      </c>
      <c r="J252" s="6">
        <f>D252/(VLOOKUP(B252,'[1]2021 Team'!$B$2:$G$33,2,FALSE))</f>
        <v>5.1587301587301584E-2</v>
      </c>
      <c r="K252" s="9">
        <v>61.5</v>
      </c>
      <c r="L252" s="5">
        <v>0</v>
      </c>
    </row>
    <row r="253" spans="1:12" x14ac:dyDescent="0.25">
      <c r="A253" s="5" t="s">
        <v>1036</v>
      </c>
      <c r="B253" s="5" t="s">
        <v>12</v>
      </c>
      <c r="C253" s="7" t="s">
        <v>163</v>
      </c>
      <c r="D253" s="8">
        <v>20</v>
      </c>
      <c r="E253" s="8">
        <v>16</v>
      </c>
      <c r="F253" s="8">
        <v>202</v>
      </c>
      <c r="G253" s="5">
        <v>12.6</v>
      </c>
      <c r="H253" s="5">
        <v>0</v>
      </c>
      <c r="I253" s="6">
        <f t="shared" si="4"/>
        <v>0</v>
      </c>
      <c r="J253" s="6">
        <f>D253/(VLOOKUP(B253,'[1]2021 Team'!$B$2:$G$33,2,FALSE))</f>
        <v>3.2733224222585927E-2</v>
      </c>
      <c r="K253" s="9">
        <v>80</v>
      </c>
      <c r="L253" s="5">
        <v>0</v>
      </c>
    </row>
    <row r="254" spans="1:12" x14ac:dyDescent="0.25">
      <c r="A254" s="5" t="s">
        <v>1707</v>
      </c>
      <c r="B254" s="5" t="s">
        <v>18</v>
      </c>
      <c r="C254" s="7" t="s">
        <v>159</v>
      </c>
      <c r="D254" s="8">
        <v>23</v>
      </c>
      <c r="E254" s="8">
        <v>16</v>
      </c>
      <c r="F254" s="8">
        <v>103</v>
      </c>
      <c r="G254" s="5">
        <v>6.4</v>
      </c>
      <c r="H254" s="5">
        <v>1</v>
      </c>
      <c r="I254" s="6">
        <f t="shared" si="4"/>
        <v>6.25E-2</v>
      </c>
      <c r="J254" s="6">
        <f>D254/(VLOOKUP(B254,'[1]2021 Team'!$B$2:$G$33,2,FALSE))</f>
        <v>4.2435424354243544E-2</v>
      </c>
      <c r="K254" s="9">
        <v>69.599999999999994</v>
      </c>
      <c r="L254" s="5">
        <v>0</v>
      </c>
    </row>
    <row r="255" spans="1:12" x14ac:dyDescent="0.25">
      <c r="A255" s="5" t="s">
        <v>2531</v>
      </c>
      <c r="B255" s="5" t="s">
        <v>8</v>
      </c>
      <c r="C255" s="7" t="s">
        <v>153</v>
      </c>
      <c r="D255" s="8">
        <v>17</v>
      </c>
      <c r="E255" s="8">
        <v>16</v>
      </c>
      <c r="F255" s="8">
        <v>193</v>
      </c>
      <c r="G255" s="5">
        <v>12.1</v>
      </c>
      <c r="H255" s="5">
        <v>1</v>
      </c>
      <c r="I255" s="6">
        <f t="shared" si="4"/>
        <v>6.25E-2</v>
      </c>
      <c r="J255" s="6">
        <f>D255/(VLOOKUP(B255,'[1]2021 Team'!$B$2:$G$33,2,FALSE))</f>
        <v>2.8764805414551606E-2</v>
      </c>
      <c r="K255" s="9">
        <v>94.1</v>
      </c>
      <c r="L255" s="5">
        <v>0</v>
      </c>
    </row>
    <row r="256" spans="1:12" x14ac:dyDescent="0.25">
      <c r="A256" s="5" t="s">
        <v>2471</v>
      </c>
      <c r="B256" s="5" t="s">
        <v>28</v>
      </c>
      <c r="C256" s="7" t="s">
        <v>163</v>
      </c>
      <c r="D256" s="8">
        <v>22</v>
      </c>
      <c r="E256" s="8">
        <v>15</v>
      </c>
      <c r="F256" s="8">
        <v>204</v>
      </c>
      <c r="G256" s="5">
        <v>13.6</v>
      </c>
      <c r="H256" s="5">
        <v>2</v>
      </c>
      <c r="I256" s="6">
        <f t="shared" si="4"/>
        <v>0.13333333333333333</v>
      </c>
      <c r="J256" s="6">
        <f>D256/(VLOOKUP(B256,'[1]2021 Team'!$B$2:$G$33,2,FALSE))</f>
        <v>3.7099494097807759E-2</v>
      </c>
      <c r="K256" s="9">
        <v>68.2</v>
      </c>
      <c r="L256" s="5">
        <v>0</v>
      </c>
    </row>
    <row r="257" spans="1:12" x14ac:dyDescent="0.25">
      <c r="A257" s="5" t="s">
        <v>1738</v>
      </c>
      <c r="B257" s="5" t="s">
        <v>20</v>
      </c>
      <c r="C257" s="7" t="s">
        <v>159</v>
      </c>
      <c r="D257" s="8">
        <v>17</v>
      </c>
      <c r="E257" s="8">
        <v>15</v>
      </c>
      <c r="F257" s="8">
        <v>151</v>
      </c>
      <c r="G257" s="5">
        <v>10.1</v>
      </c>
      <c r="H257" s="5">
        <v>2</v>
      </c>
      <c r="I257" s="6">
        <f t="shared" si="4"/>
        <v>0.13333333333333333</v>
      </c>
      <c r="J257" s="6">
        <f>D257/(VLOOKUP(B257,'[1]2021 Team'!$B$2:$G$33,2,FALSE))</f>
        <v>3.063063063063063E-2</v>
      </c>
      <c r="K257" s="9">
        <v>88.2</v>
      </c>
      <c r="L257" s="5">
        <v>0</v>
      </c>
    </row>
    <row r="258" spans="1:12" x14ac:dyDescent="0.25">
      <c r="A258" s="5" t="s">
        <v>2397</v>
      </c>
      <c r="B258" s="5" t="s">
        <v>26</v>
      </c>
      <c r="C258" s="7" t="s">
        <v>163</v>
      </c>
      <c r="D258" s="8">
        <v>23</v>
      </c>
      <c r="E258" s="8">
        <v>15</v>
      </c>
      <c r="F258" s="8">
        <v>175</v>
      </c>
      <c r="G258" s="5">
        <v>11.7</v>
      </c>
      <c r="H258" s="5">
        <v>1</v>
      </c>
      <c r="I258" s="6">
        <f t="shared" si="4"/>
        <v>6.6666666666666666E-2</v>
      </c>
      <c r="J258" s="6">
        <f>D258/(VLOOKUP(B258,'[1]2021 Team'!$B$2:$G$33,2,FALSE))</f>
        <v>4.2513863216266171E-2</v>
      </c>
      <c r="K258" s="9">
        <v>65.2</v>
      </c>
      <c r="L258" s="5">
        <v>0</v>
      </c>
    </row>
    <row r="259" spans="1:12" x14ac:dyDescent="0.25">
      <c r="A259" s="5" t="s">
        <v>2646</v>
      </c>
      <c r="B259" s="5" t="s">
        <v>62</v>
      </c>
      <c r="C259" s="7" t="s">
        <v>163</v>
      </c>
      <c r="D259" s="8">
        <v>24</v>
      </c>
      <c r="E259" s="8">
        <v>15</v>
      </c>
      <c r="F259" s="8">
        <v>177</v>
      </c>
      <c r="G259" s="5">
        <v>11.8</v>
      </c>
      <c r="H259" s="5">
        <v>0</v>
      </c>
      <c r="I259" s="6">
        <f t="shared" si="4"/>
        <v>0</v>
      </c>
      <c r="J259" s="6">
        <f>D259/(VLOOKUP(B259,'[1]2021 Team'!$B$2:$G$33,2,FALSE))</f>
        <v>4.6692607003891051E-2</v>
      </c>
      <c r="K259" s="9">
        <v>62.5</v>
      </c>
      <c r="L259" s="5">
        <v>0</v>
      </c>
    </row>
    <row r="260" spans="1:12" x14ac:dyDescent="0.25">
      <c r="A260" s="5" t="s">
        <v>2518</v>
      </c>
      <c r="B260" s="5" t="s">
        <v>70</v>
      </c>
      <c r="C260" s="7" t="s">
        <v>163</v>
      </c>
      <c r="D260" s="8">
        <v>23</v>
      </c>
      <c r="E260" s="8">
        <v>15</v>
      </c>
      <c r="F260" s="8">
        <v>211</v>
      </c>
      <c r="G260" s="5">
        <v>14.1</v>
      </c>
      <c r="H260" s="5">
        <v>2</v>
      </c>
      <c r="I260" s="6">
        <f t="shared" si="4"/>
        <v>0.13333333333333333</v>
      </c>
      <c r="J260" s="6">
        <f>D260/(VLOOKUP(B260,'[1]2021 Team'!$B$2:$G$33,2,FALSE))</f>
        <v>4.1818181818181817E-2</v>
      </c>
      <c r="K260" s="9">
        <v>65.2</v>
      </c>
      <c r="L260" s="5">
        <v>0</v>
      </c>
    </row>
    <row r="261" spans="1:12" x14ac:dyDescent="0.25">
      <c r="A261" s="5" t="s">
        <v>912</v>
      </c>
      <c r="B261" s="5" t="s">
        <v>60</v>
      </c>
      <c r="C261" s="7" t="s">
        <v>163</v>
      </c>
      <c r="D261" s="8">
        <v>28</v>
      </c>
      <c r="E261" s="8">
        <v>15</v>
      </c>
      <c r="F261" s="8">
        <v>129</v>
      </c>
      <c r="G261" s="5">
        <v>8.6</v>
      </c>
      <c r="H261" s="5">
        <v>0</v>
      </c>
      <c r="I261" s="6">
        <f t="shared" si="4"/>
        <v>0</v>
      </c>
      <c r="J261" s="6">
        <f>D261/(VLOOKUP(B261,'[1]2021 Team'!$B$2:$G$33,2,FALSE))</f>
        <v>4.2168674698795178E-2</v>
      </c>
      <c r="K261" s="9">
        <v>53.6</v>
      </c>
      <c r="L261" s="5">
        <v>0</v>
      </c>
    </row>
    <row r="262" spans="1:12" x14ac:dyDescent="0.25">
      <c r="A262" s="5" t="s">
        <v>1799</v>
      </c>
      <c r="B262" s="5" t="s">
        <v>18</v>
      </c>
      <c r="C262" s="7" t="s">
        <v>153</v>
      </c>
      <c r="D262" s="8">
        <v>23</v>
      </c>
      <c r="E262" s="8">
        <v>14</v>
      </c>
      <c r="F262" s="8">
        <v>167</v>
      </c>
      <c r="G262" s="5">
        <v>11.9</v>
      </c>
      <c r="H262" s="5">
        <v>3</v>
      </c>
      <c r="I262" s="6">
        <f t="shared" si="4"/>
        <v>0.21428571428571427</v>
      </c>
      <c r="J262" s="6">
        <f>D262/(VLOOKUP(B262,'[1]2021 Team'!$B$2:$G$33,2,FALSE))</f>
        <v>4.2435424354243544E-2</v>
      </c>
      <c r="K262" s="9">
        <v>60.9</v>
      </c>
      <c r="L262" s="5">
        <v>0</v>
      </c>
    </row>
    <row r="263" spans="1:12" x14ac:dyDescent="0.25">
      <c r="A263" s="5" t="s">
        <v>543</v>
      </c>
      <c r="B263" s="5" t="s">
        <v>18</v>
      </c>
      <c r="C263" s="7" t="s">
        <v>159</v>
      </c>
      <c r="D263" s="8">
        <v>16</v>
      </c>
      <c r="E263" s="8">
        <v>14</v>
      </c>
      <c r="F263" s="8">
        <v>96</v>
      </c>
      <c r="G263" s="5">
        <v>6.9</v>
      </c>
      <c r="H263" s="5">
        <v>0</v>
      </c>
      <c r="I263" s="6">
        <f t="shared" si="4"/>
        <v>0</v>
      </c>
      <c r="J263" s="6">
        <f>D263/(VLOOKUP(B263,'[1]2021 Team'!$B$2:$G$33,2,FALSE))</f>
        <v>2.9520295202952029E-2</v>
      </c>
      <c r="K263" s="9">
        <v>87.5</v>
      </c>
      <c r="L263" s="5">
        <v>1</v>
      </c>
    </row>
    <row r="264" spans="1:12" x14ac:dyDescent="0.25">
      <c r="A264" s="5" t="s">
        <v>748</v>
      </c>
      <c r="B264" s="5" t="s">
        <v>46</v>
      </c>
      <c r="C264" s="7" t="s">
        <v>163</v>
      </c>
      <c r="D264" s="8">
        <v>28</v>
      </c>
      <c r="E264" s="8">
        <v>14</v>
      </c>
      <c r="F264" s="8">
        <v>223</v>
      </c>
      <c r="G264" s="5">
        <v>15.9</v>
      </c>
      <c r="H264" s="5">
        <v>4</v>
      </c>
      <c r="I264" s="6">
        <f t="shared" si="4"/>
        <v>0.2857142857142857</v>
      </c>
      <c r="J264" s="6">
        <f>D264/(VLOOKUP(B264,'[1]2021 Team'!$B$2:$G$33,2,FALSE))</f>
        <v>4.5528455284552849E-2</v>
      </c>
      <c r="K264" s="9">
        <v>50</v>
      </c>
      <c r="L264" s="5">
        <v>0</v>
      </c>
    </row>
    <row r="265" spans="1:12" x14ac:dyDescent="0.25">
      <c r="A265" s="5" t="s">
        <v>2498</v>
      </c>
      <c r="B265" s="5" t="s">
        <v>66</v>
      </c>
      <c r="C265" s="7" t="s">
        <v>153</v>
      </c>
      <c r="D265" s="8">
        <v>21</v>
      </c>
      <c r="E265" s="8">
        <v>14</v>
      </c>
      <c r="F265" s="8">
        <v>135</v>
      </c>
      <c r="G265" s="5">
        <v>9.6</v>
      </c>
      <c r="H265" s="5">
        <v>1</v>
      </c>
      <c r="I265" s="6">
        <f t="shared" si="4"/>
        <v>7.1428571428571425E-2</v>
      </c>
      <c r="J265" s="6">
        <f>D265/(VLOOKUP(B265,'[1]2021 Team'!$B$2:$G$33,2,FALSE))</f>
        <v>2.8727770177838577E-2</v>
      </c>
      <c r="K265" s="9">
        <v>66.7</v>
      </c>
      <c r="L265" s="5">
        <v>0</v>
      </c>
    </row>
    <row r="266" spans="1:12" x14ac:dyDescent="0.25">
      <c r="A266" s="5" t="s">
        <v>1835</v>
      </c>
      <c r="B266" s="5" t="s">
        <v>68</v>
      </c>
      <c r="C266" s="7" t="s">
        <v>153</v>
      </c>
      <c r="D266" s="8">
        <v>18</v>
      </c>
      <c r="E266" s="8">
        <v>14</v>
      </c>
      <c r="F266" s="8">
        <v>145</v>
      </c>
      <c r="G266" s="5">
        <v>10.4</v>
      </c>
      <c r="H266" s="5">
        <v>3</v>
      </c>
      <c r="I266" s="6">
        <f t="shared" si="4"/>
        <v>0.21428571428571427</v>
      </c>
      <c r="J266" s="6">
        <f>D266/(VLOOKUP(B266,'[1]2021 Team'!$B$2:$G$33,2,FALSE))</f>
        <v>3.3644859813084113E-2</v>
      </c>
      <c r="K266" s="9">
        <v>77.8</v>
      </c>
      <c r="L266" s="5">
        <v>0</v>
      </c>
    </row>
    <row r="267" spans="1:12" x14ac:dyDescent="0.25">
      <c r="A267" s="5" t="s">
        <v>324</v>
      </c>
      <c r="B267" s="5" t="s">
        <v>50</v>
      </c>
      <c r="C267" s="7" t="s">
        <v>159</v>
      </c>
      <c r="D267" s="8">
        <v>18</v>
      </c>
      <c r="E267" s="8">
        <v>14</v>
      </c>
      <c r="F267" s="8">
        <v>123</v>
      </c>
      <c r="G267" s="5">
        <v>8.8000000000000007</v>
      </c>
      <c r="H267" s="5">
        <v>0</v>
      </c>
      <c r="I267" s="6">
        <f t="shared" si="4"/>
        <v>0</v>
      </c>
      <c r="J267" s="6">
        <f>D267/(VLOOKUP(B267,'[1]2021 Team'!$B$2:$G$33,2,FALSE))</f>
        <v>3.3644859813084113E-2</v>
      </c>
      <c r="K267" s="9">
        <v>77.8</v>
      </c>
      <c r="L267" s="5">
        <v>2</v>
      </c>
    </row>
    <row r="268" spans="1:12" x14ac:dyDescent="0.25">
      <c r="A268" s="5" t="s">
        <v>682</v>
      </c>
      <c r="B268" s="5" t="s">
        <v>34</v>
      </c>
      <c r="C268" s="7" t="s">
        <v>163</v>
      </c>
      <c r="D268" s="8">
        <v>22</v>
      </c>
      <c r="E268" s="8">
        <v>13</v>
      </c>
      <c r="F268" s="8">
        <v>173</v>
      </c>
      <c r="G268" s="5">
        <v>13.3</v>
      </c>
      <c r="H268" s="5">
        <v>2</v>
      </c>
      <c r="I268" s="6">
        <f t="shared" si="4"/>
        <v>0.15384615384615385</v>
      </c>
      <c r="J268" s="6">
        <f>D268/(VLOOKUP(B268,'[1]2021 Team'!$B$2:$G$33,2,FALSE))</f>
        <v>4.2226487523992322E-2</v>
      </c>
      <c r="K268" s="9">
        <v>59.1</v>
      </c>
      <c r="L268" s="5">
        <v>0</v>
      </c>
    </row>
    <row r="269" spans="1:12" x14ac:dyDescent="0.25">
      <c r="A269" s="5" t="s">
        <v>802</v>
      </c>
      <c r="B269" s="5" t="s">
        <v>28</v>
      </c>
      <c r="C269" s="7" t="s">
        <v>163</v>
      </c>
      <c r="D269" s="8">
        <v>27</v>
      </c>
      <c r="E269" s="8">
        <v>13</v>
      </c>
      <c r="F269" s="8">
        <v>157</v>
      </c>
      <c r="G269" s="5">
        <v>12.1</v>
      </c>
      <c r="H269" s="5">
        <v>0</v>
      </c>
      <c r="I269" s="6">
        <f t="shared" si="4"/>
        <v>0</v>
      </c>
      <c r="J269" s="6">
        <f>D269/(VLOOKUP(B269,'[1]2021 Team'!$B$2:$G$33,2,FALSE))</f>
        <v>4.5531197301854974E-2</v>
      </c>
      <c r="K269" s="9">
        <v>48.1</v>
      </c>
      <c r="L269" s="5">
        <v>0</v>
      </c>
    </row>
    <row r="270" spans="1:12" x14ac:dyDescent="0.25">
      <c r="A270" s="5" t="s">
        <v>867</v>
      </c>
      <c r="B270" s="5" t="s">
        <v>52</v>
      </c>
      <c r="C270" s="7" t="s">
        <v>163</v>
      </c>
      <c r="D270" s="8">
        <v>18</v>
      </c>
      <c r="E270" s="8">
        <v>13</v>
      </c>
      <c r="F270" s="8">
        <v>249</v>
      </c>
      <c r="G270" s="5">
        <v>19.2</v>
      </c>
      <c r="H270" s="5">
        <v>2</v>
      </c>
      <c r="I270" s="6">
        <f t="shared" si="4"/>
        <v>0.15384615384615385</v>
      </c>
      <c r="J270" s="6">
        <f>D270/(VLOOKUP(B270,'[1]2021 Team'!$B$2:$G$33,2,FALSE))</f>
        <v>3.5714285714285712E-2</v>
      </c>
      <c r="K270" s="9">
        <v>72.2</v>
      </c>
      <c r="L270" s="5">
        <v>0</v>
      </c>
    </row>
    <row r="271" spans="1:12" x14ac:dyDescent="0.25">
      <c r="A271" s="5" t="s">
        <v>956</v>
      </c>
      <c r="B271" s="5" t="s">
        <v>52</v>
      </c>
      <c r="C271" s="7" t="s">
        <v>163</v>
      </c>
      <c r="D271" s="8">
        <v>22</v>
      </c>
      <c r="E271" s="8">
        <v>13</v>
      </c>
      <c r="F271" s="8">
        <v>159</v>
      </c>
      <c r="G271" s="5">
        <v>12.2</v>
      </c>
      <c r="H271" s="5">
        <v>4</v>
      </c>
      <c r="I271" s="6">
        <f t="shared" si="4"/>
        <v>0.30769230769230771</v>
      </c>
      <c r="J271" s="6">
        <f>D271/(VLOOKUP(B271,'[1]2021 Team'!$B$2:$G$33,2,FALSE))</f>
        <v>4.3650793650793648E-2</v>
      </c>
      <c r="K271" s="9">
        <v>59.1</v>
      </c>
      <c r="L271" s="5">
        <v>0</v>
      </c>
    </row>
    <row r="272" spans="1:12" x14ac:dyDescent="0.25">
      <c r="A272" s="5" t="s">
        <v>1581</v>
      </c>
      <c r="B272" s="5" t="s">
        <v>38</v>
      </c>
      <c r="C272" s="7" t="s">
        <v>159</v>
      </c>
      <c r="D272" s="8">
        <v>20</v>
      </c>
      <c r="E272" s="8">
        <v>13</v>
      </c>
      <c r="F272" s="8">
        <v>107</v>
      </c>
      <c r="G272" s="5">
        <v>8.1999999999999993</v>
      </c>
      <c r="H272" s="5">
        <v>1</v>
      </c>
      <c r="I272" s="6">
        <f t="shared" si="4"/>
        <v>7.6923076923076927E-2</v>
      </c>
      <c r="J272" s="6">
        <f>D272/(VLOOKUP(B272,'[1]2021 Team'!$B$2:$G$33,2,FALSE))</f>
        <v>2.9629629629629631E-2</v>
      </c>
      <c r="K272" s="9">
        <v>65</v>
      </c>
      <c r="L272" s="5">
        <v>0</v>
      </c>
    </row>
    <row r="273" spans="1:12" x14ac:dyDescent="0.25">
      <c r="A273" s="5" t="s">
        <v>595</v>
      </c>
      <c r="B273" s="5" t="s">
        <v>36</v>
      </c>
      <c r="C273" s="7" t="s">
        <v>159</v>
      </c>
      <c r="D273" s="8">
        <v>21</v>
      </c>
      <c r="E273" s="8">
        <v>13</v>
      </c>
      <c r="F273" s="8">
        <v>114</v>
      </c>
      <c r="G273" s="5">
        <v>8.8000000000000007</v>
      </c>
      <c r="H273" s="5">
        <v>1</v>
      </c>
      <c r="I273" s="6">
        <f t="shared" si="4"/>
        <v>7.6923076923076927E-2</v>
      </c>
      <c r="J273" s="6">
        <f>D273/(VLOOKUP(B273,'[1]2021 Team'!$B$2:$G$33,2,FALSE))</f>
        <v>3.4768211920529798E-2</v>
      </c>
      <c r="K273" s="9">
        <v>61.9</v>
      </c>
      <c r="L273" s="5">
        <v>0</v>
      </c>
    </row>
    <row r="274" spans="1:12" x14ac:dyDescent="0.25">
      <c r="A274" s="5" t="s">
        <v>1697</v>
      </c>
      <c r="B274" s="5" t="s">
        <v>58</v>
      </c>
      <c r="C274" s="7" t="s">
        <v>159</v>
      </c>
      <c r="D274" s="8">
        <v>16</v>
      </c>
      <c r="E274" s="8">
        <v>13</v>
      </c>
      <c r="F274" s="8">
        <v>83</v>
      </c>
      <c r="G274" s="5">
        <v>6.4</v>
      </c>
      <c r="H274" s="5">
        <v>0</v>
      </c>
      <c r="I274" s="6">
        <f t="shared" si="4"/>
        <v>0</v>
      </c>
      <c r="J274" s="6">
        <f>D274/(VLOOKUP(B274,'[1]2021 Team'!$B$2:$G$33,2,FALSE))</f>
        <v>3.2388663967611336E-2</v>
      </c>
      <c r="K274" s="9">
        <v>81.3</v>
      </c>
      <c r="L274" s="5">
        <v>1</v>
      </c>
    </row>
    <row r="275" spans="1:12" x14ac:dyDescent="0.25">
      <c r="A275" s="5" t="s">
        <v>1695</v>
      </c>
      <c r="B275" s="5" t="s">
        <v>46</v>
      </c>
      <c r="C275" s="7" t="s">
        <v>159</v>
      </c>
      <c r="D275" s="8">
        <v>19</v>
      </c>
      <c r="E275" s="8">
        <v>12</v>
      </c>
      <c r="F275" s="8">
        <v>117</v>
      </c>
      <c r="G275" s="5">
        <v>9.8000000000000007</v>
      </c>
      <c r="H275" s="5">
        <v>0</v>
      </c>
      <c r="I275" s="6">
        <f t="shared" si="4"/>
        <v>0</v>
      </c>
      <c r="J275" s="6">
        <f>D275/(VLOOKUP(B275,'[1]2021 Team'!$B$2:$G$33,2,FALSE))</f>
        <v>3.0894308943089432E-2</v>
      </c>
      <c r="K275" s="9">
        <v>63.2</v>
      </c>
      <c r="L275" s="5">
        <v>0</v>
      </c>
    </row>
    <row r="276" spans="1:12" x14ac:dyDescent="0.25">
      <c r="A276" s="5" t="s">
        <v>638</v>
      </c>
      <c r="B276" s="5" t="s">
        <v>70</v>
      </c>
      <c r="C276" s="7" t="s">
        <v>163</v>
      </c>
      <c r="D276" s="8">
        <v>25</v>
      </c>
      <c r="E276" s="8">
        <v>12</v>
      </c>
      <c r="F276" s="8">
        <v>165</v>
      </c>
      <c r="G276" s="5">
        <v>13.8</v>
      </c>
      <c r="H276" s="5">
        <v>0</v>
      </c>
      <c r="I276" s="6">
        <f t="shared" si="4"/>
        <v>0</v>
      </c>
      <c r="J276" s="6">
        <f>D276/(VLOOKUP(B276,'[1]2021 Team'!$B$2:$G$33,2,FALSE))</f>
        <v>4.5454545454545456E-2</v>
      </c>
      <c r="K276" s="9">
        <v>48</v>
      </c>
      <c r="L276" s="5">
        <v>0</v>
      </c>
    </row>
    <row r="277" spans="1:12" x14ac:dyDescent="0.25">
      <c r="A277" s="5" t="s">
        <v>2574</v>
      </c>
      <c r="B277" s="5" t="s">
        <v>60</v>
      </c>
      <c r="C277" s="7" t="s">
        <v>153</v>
      </c>
      <c r="D277" s="8">
        <v>18</v>
      </c>
      <c r="E277" s="8">
        <v>12</v>
      </c>
      <c r="F277" s="8">
        <v>84</v>
      </c>
      <c r="G277" s="5">
        <v>7</v>
      </c>
      <c r="H277" s="5">
        <v>1</v>
      </c>
      <c r="I277" s="6">
        <f t="shared" si="4"/>
        <v>8.3333333333333329E-2</v>
      </c>
      <c r="J277" s="6">
        <f>D277/(VLOOKUP(B277,'[1]2021 Team'!$B$2:$G$33,2,FALSE))</f>
        <v>2.710843373493976E-2</v>
      </c>
      <c r="K277" s="9">
        <v>66.7</v>
      </c>
      <c r="L277" s="5">
        <v>0</v>
      </c>
    </row>
    <row r="278" spans="1:12" x14ac:dyDescent="0.25">
      <c r="A278" s="5" t="s">
        <v>2615</v>
      </c>
      <c r="B278" s="5" t="s">
        <v>46</v>
      </c>
      <c r="C278" s="7" t="s">
        <v>163</v>
      </c>
      <c r="D278" s="8">
        <v>17</v>
      </c>
      <c r="E278" s="8">
        <v>12</v>
      </c>
      <c r="F278" s="8">
        <v>161</v>
      </c>
      <c r="G278" s="5">
        <v>13.4</v>
      </c>
      <c r="H278" s="5">
        <v>2</v>
      </c>
      <c r="I278" s="6">
        <f t="shared" si="4"/>
        <v>0.16666666666666666</v>
      </c>
      <c r="J278" s="6">
        <f>D278/(VLOOKUP(B278,'[1]2021 Team'!$B$2:$G$33,2,FALSE))</f>
        <v>2.7642276422764227E-2</v>
      </c>
      <c r="K278" s="9">
        <v>70.599999999999994</v>
      </c>
      <c r="L278" s="5">
        <v>0</v>
      </c>
    </row>
    <row r="279" spans="1:12" x14ac:dyDescent="0.25">
      <c r="A279" s="5" t="s">
        <v>2492</v>
      </c>
      <c r="B279" s="5" t="s">
        <v>50</v>
      </c>
      <c r="C279" s="7" t="s">
        <v>163</v>
      </c>
      <c r="D279" s="8">
        <v>22</v>
      </c>
      <c r="E279" s="8">
        <v>12</v>
      </c>
      <c r="F279" s="8">
        <v>184</v>
      </c>
      <c r="G279" s="5">
        <v>15.3</v>
      </c>
      <c r="H279" s="5">
        <v>0</v>
      </c>
      <c r="I279" s="6">
        <f t="shared" si="4"/>
        <v>0</v>
      </c>
      <c r="J279" s="6">
        <f>D279/(VLOOKUP(B279,'[1]2021 Team'!$B$2:$G$33,2,FALSE))</f>
        <v>4.1121495327102804E-2</v>
      </c>
      <c r="K279" s="9">
        <v>54.5</v>
      </c>
      <c r="L279" s="5">
        <v>1</v>
      </c>
    </row>
    <row r="280" spans="1:12" x14ac:dyDescent="0.25">
      <c r="A280" s="5" t="s">
        <v>2536</v>
      </c>
      <c r="B280" s="5" t="s">
        <v>36</v>
      </c>
      <c r="C280" s="7" t="s">
        <v>159</v>
      </c>
      <c r="D280" s="8">
        <v>21</v>
      </c>
      <c r="E280" s="8">
        <v>12</v>
      </c>
      <c r="F280" s="8">
        <v>65</v>
      </c>
      <c r="G280" s="5">
        <v>5.4</v>
      </c>
      <c r="H280" s="5">
        <v>0</v>
      </c>
      <c r="I280" s="6">
        <f t="shared" si="4"/>
        <v>0</v>
      </c>
      <c r="J280" s="6">
        <f>D280/(VLOOKUP(B280,'[1]2021 Team'!$B$2:$G$33,2,FALSE))</f>
        <v>3.4768211920529798E-2</v>
      </c>
      <c r="K280" s="9">
        <v>57.1</v>
      </c>
      <c r="L280" s="5">
        <v>2</v>
      </c>
    </row>
    <row r="281" spans="1:12" x14ac:dyDescent="0.25">
      <c r="A281" s="5" t="s">
        <v>2549</v>
      </c>
      <c r="B281" s="5" t="s">
        <v>40</v>
      </c>
      <c r="C281" s="7" t="s">
        <v>159</v>
      </c>
      <c r="D281" s="8">
        <v>14</v>
      </c>
      <c r="E281" s="8">
        <v>12</v>
      </c>
      <c r="F281" s="8">
        <v>72</v>
      </c>
      <c r="G281" s="5">
        <v>6</v>
      </c>
      <c r="H281" s="5">
        <v>0</v>
      </c>
      <c r="I281" s="6">
        <f t="shared" si="4"/>
        <v>0</v>
      </c>
      <c r="J281" s="6">
        <f>D281/(VLOOKUP(B281,'[1]2021 Team'!$B$2:$G$33,2,FALSE))</f>
        <v>2.2292993630573247E-2</v>
      </c>
      <c r="K281" s="9">
        <v>85.7</v>
      </c>
      <c r="L281" s="5">
        <v>0</v>
      </c>
    </row>
    <row r="282" spans="1:12" x14ac:dyDescent="0.25">
      <c r="A282" s="5" t="s">
        <v>2649</v>
      </c>
      <c r="B282" s="5" t="s">
        <v>46</v>
      </c>
      <c r="C282" s="7" t="s">
        <v>153</v>
      </c>
      <c r="D282" s="8">
        <v>16</v>
      </c>
      <c r="E282" s="8">
        <v>12</v>
      </c>
      <c r="F282" s="8">
        <v>110</v>
      </c>
      <c r="G282" s="5">
        <v>9.1999999999999993</v>
      </c>
      <c r="H282" s="5">
        <v>0</v>
      </c>
      <c r="I282" s="6">
        <f t="shared" si="4"/>
        <v>0</v>
      </c>
      <c r="J282" s="6">
        <f>D282/(VLOOKUP(B282,'[1]2021 Team'!$B$2:$G$33,2,FALSE))</f>
        <v>2.6016260162601626E-2</v>
      </c>
      <c r="K282" s="9">
        <v>75</v>
      </c>
      <c r="L282" s="5">
        <v>0</v>
      </c>
    </row>
    <row r="283" spans="1:12" x14ac:dyDescent="0.25">
      <c r="A283" s="5" t="s">
        <v>1019</v>
      </c>
      <c r="B283" s="5" t="s">
        <v>24</v>
      </c>
      <c r="C283" s="7" t="s">
        <v>163</v>
      </c>
      <c r="D283" s="8">
        <v>16</v>
      </c>
      <c r="E283" s="8">
        <v>12</v>
      </c>
      <c r="F283" s="8">
        <v>149</v>
      </c>
      <c r="G283" s="5">
        <v>12.4</v>
      </c>
      <c r="H283" s="5">
        <v>3</v>
      </c>
      <c r="I283" s="6">
        <f t="shared" si="4"/>
        <v>0.25</v>
      </c>
      <c r="J283" s="6">
        <f>D283/(VLOOKUP(B283,'[1]2021 Team'!$B$2:$G$33,2,FALSE))</f>
        <v>2.472952086553323E-2</v>
      </c>
      <c r="K283" s="9">
        <v>75</v>
      </c>
      <c r="L283" s="5">
        <v>0</v>
      </c>
    </row>
    <row r="284" spans="1:12" x14ac:dyDescent="0.25">
      <c r="A284" s="5" t="s">
        <v>2548</v>
      </c>
      <c r="B284" s="5" t="s">
        <v>50</v>
      </c>
      <c r="C284" s="7" t="s">
        <v>159</v>
      </c>
      <c r="D284" s="8">
        <v>14</v>
      </c>
      <c r="E284" s="8">
        <v>12</v>
      </c>
      <c r="F284" s="8">
        <v>94</v>
      </c>
      <c r="G284" s="5">
        <v>7.8</v>
      </c>
      <c r="H284" s="5">
        <v>0</v>
      </c>
      <c r="I284" s="6">
        <f t="shared" si="4"/>
        <v>0</v>
      </c>
      <c r="J284" s="6">
        <f>D284/(VLOOKUP(B284,'[1]2021 Team'!$B$2:$G$33,2,FALSE))</f>
        <v>2.6168224299065422E-2</v>
      </c>
      <c r="K284" s="9">
        <v>85.7</v>
      </c>
      <c r="L284" s="5">
        <v>0</v>
      </c>
    </row>
    <row r="285" spans="1:12" x14ac:dyDescent="0.25">
      <c r="A285" s="5" t="s">
        <v>876</v>
      </c>
      <c r="B285" s="5" t="s">
        <v>28</v>
      </c>
      <c r="C285" s="7" t="s">
        <v>153</v>
      </c>
      <c r="D285" s="8">
        <v>17</v>
      </c>
      <c r="E285" s="8">
        <v>12</v>
      </c>
      <c r="F285" s="8">
        <v>117</v>
      </c>
      <c r="G285" s="5">
        <v>9.8000000000000007</v>
      </c>
      <c r="H285" s="5">
        <v>2</v>
      </c>
      <c r="I285" s="6">
        <f t="shared" si="4"/>
        <v>0.16666666666666666</v>
      </c>
      <c r="J285" s="6">
        <f>D285/(VLOOKUP(B285,'[1]2021 Team'!$B$2:$G$33,2,FALSE))</f>
        <v>2.866779089376054E-2</v>
      </c>
      <c r="K285" s="9">
        <v>70.599999999999994</v>
      </c>
      <c r="L285" s="5">
        <v>0</v>
      </c>
    </row>
    <row r="286" spans="1:12" x14ac:dyDescent="0.25">
      <c r="A286" s="5" t="s">
        <v>2425</v>
      </c>
      <c r="B286" s="5" t="s">
        <v>56</v>
      </c>
      <c r="C286" s="7" t="s">
        <v>159</v>
      </c>
      <c r="D286" s="8">
        <v>16</v>
      </c>
      <c r="E286" s="8">
        <v>11</v>
      </c>
      <c r="F286" s="8">
        <v>49</v>
      </c>
      <c r="G286" s="5">
        <v>4.5</v>
      </c>
      <c r="H286" s="5">
        <v>0</v>
      </c>
      <c r="I286" s="6">
        <f t="shared" si="4"/>
        <v>0</v>
      </c>
      <c r="J286" s="6">
        <f>D286/(VLOOKUP(B286,'[1]2021 Team'!$B$2:$G$33,2,FALSE))</f>
        <v>2.6533996683250415E-2</v>
      </c>
      <c r="K286" s="9">
        <v>68.8</v>
      </c>
      <c r="L286" s="5">
        <v>0</v>
      </c>
    </row>
    <row r="287" spans="1:12" x14ac:dyDescent="0.25">
      <c r="A287" s="5" t="s">
        <v>995</v>
      </c>
      <c r="B287" s="5" t="s">
        <v>34</v>
      </c>
      <c r="C287" s="7" t="s">
        <v>153</v>
      </c>
      <c r="D287" s="8">
        <v>15</v>
      </c>
      <c r="E287" s="8">
        <v>11</v>
      </c>
      <c r="F287" s="8">
        <v>106</v>
      </c>
      <c r="G287" s="5">
        <v>9.6</v>
      </c>
      <c r="H287" s="5">
        <v>0</v>
      </c>
      <c r="I287" s="6">
        <f t="shared" si="4"/>
        <v>0</v>
      </c>
      <c r="J287" s="6">
        <f>D287/(VLOOKUP(B287,'[1]2021 Team'!$B$2:$G$33,2,FALSE))</f>
        <v>2.8790786948176585E-2</v>
      </c>
      <c r="K287" s="9">
        <v>73.3</v>
      </c>
      <c r="L287" s="5">
        <v>0</v>
      </c>
    </row>
    <row r="288" spans="1:12" x14ac:dyDescent="0.25">
      <c r="A288" s="5" t="s">
        <v>2632</v>
      </c>
      <c r="B288" s="5" t="s">
        <v>24</v>
      </c>
      <c r="C288" s="7" t="s">
        <v>153</v>
      </c>
      <c r="D288" s="8">
        <v>17</v>
      </c>
      <c r="E288" s="8">
        <v>11</v>
      </c>
      <c r="F288" s="8">
        <v>96</v>
      </c>
      <c r="G288" s="5">
        <v>8.6999999999999993</v>
      </c>
      <c r="H288" s="5">
        <v>2</v>
      </c>
      <c r="I288" s="6">
        <f t="shared" si="4"/>
        <v>0.18181818181818182</v>
      </c>
      <c r="J288" s="6">
        <f>D288/(VLOOKUP(B288,'[1]2021 Team'!$B$2:$G$33,2,FALSE))</f>
        <v>2.6275115919629059E-2</v>
      </c>
      <c r="K288" s="9">
        <v>64.7</v>
      </c>
      <c r="L288" s="5">
        <v>0</v>
      </c>
    </row>
    <row r="289" spans="1:12" x14ac:dyDescent="0.25">
      <c r="A289" s="5" t="s">
        <v>1811</v>
      </c>
      <c r="B289" s="5" t="s">
        <v>54</v>
      </c>
      <c r="C289" s="7" t="s">
        <v>163</v>
      </c>
      <c r="D289" s="8">
        <v>21</v>
      </c>
      <c r="E289" s="8">
        <v>11</v>
      </c>
      <c r="F289" s="8">
        <v>105</v>
      </c>
      <c r="G289" s="5">
        <v>9.5</v>
      </c>
      <c r="H289" s="5">
        <v>0</v>
      </c>
      <c r="I289" s="6">
        <f t="shared" si="4"/>
        <v>0</v>
      </c>
      <c r="J289" s="6">
        <f>D289/(VLOOKUP(B289,'[1]2021 Team'!$B$2:$G$33,2,FALSE))</f>
        <v>3.5413153456998317E-2</v>
      </c>
      <c r="K289" s="9">
        <v>52.4</v>
      </c>
      <c r="L289" s="5">
        <v>0</v>
      </c>
    </row>
    <row r="290" spans="1:12" x14ac:dyDescent="0.25">
      <c r="A290" s="5" t="s">
        <v>2443</v>
      </c>
      <c r="B290" s="5" t="s">
        <v>66</v>
      </c>
      <c r="C290" s="7" t="s">
        <v>163</v>
      </c>
      <c r="D290" s="8">
        <v>18</v>
      </c>
      <c r="E290" s="8">
        <v>11</v>
      </c>
      <c r="F290" s="8">
        <v>167</v>
      </c>
      <c r="G290" s="5">
        <v>15.2</v>
      </c>
      <c r="H290" s="5">
        <v>1</v>
      </c>
      <c r="I290" s="6">
        <f t="shared" si="4"/>
        <v>9.0909090909090912E-2</v>
      </c>
      <c r="J290" s="6">
        <f>D290/(VLOOKUP(B290,'[1]2021 Team'!$B$2:$G$33,2,FALSE))</f>
        <v>2.4623803009575923E-2</v>
      </c>
      <c r="K290" s="9">
        <v>61.1</v>
      </c>
      <c r="L290" s="5">
        <v>0</v>
      </c>
    </row>
    <row r="291" spans="1:12" x14ac:dyDescent="0.25">
      <c r="A291" s="5" t="s">
        <v>2206</v>
      </c>
      <c r="B291" s="5" t="s">
        <v>54</v>
      </c>
      <c r="C291" s="7" t="s">
        <v>163</v>
      </c>
      <c r="D291" s="8">
        <v>20</v>
      </c>
      <c r="E291" s="8">
        <v>11</v>
      </c>
      <c r="F291" s="8">
        <v>224</v>
      </c>
      <c r="G291" s="5">
        <v>20.399999999999999</v>
      </c>
      <c r="H291" s="5">
        <v>1</v>
      </c>
      <c r="I291" s="6">
        <f t="shared" si="4"/>
        <v>9.0909090909090912E-2</v>
      </c>
      <c r="J291" s="6">
        <f>D291/(VLOOKUP(B291,'[1]2021 Team'!$B$2:$G$33,2,FALSE))</f>
        <v>3.3726812816188868E-2</v>
      </c>
      <c r="K291" s="9">
        <v>55</v>
      </c>
      <c r="L291" s="5">
        <v>1</v>
      </c>
    </row>
    <row r="292" spans="1:12" x14ac:dyDescent="0.25">
      <c r="A292" s="5" t="s">
        <v>786</v>
      </c>
      <c r="B292" s="5" t="s">
        <v>20</v>
      </c>
      <c r="C292" s="7" t="s">
        <v>153</v>
      </c>
      <c r="D292" s="8">
        <v>15</v>
      </c>
      <c r="E292" s="8">
        <v>11</v>
      </c>
      <c r="F292" s="8">
        <v>81</v>
      </c>
      <c r="G292" s="5">
        <v>7.4</v>
      </c>
      <c r="H292" s="5">
        <v>0</v>
      </c>
      <c r="I292" s="6">
        <f t="shared" si="4"/>
        <v>0</v>
      </c>
      <c r="J292" s="6">
        <f>D292/(VLOOKUP(B292,'[1]2021 Team'!$B$2:$G$33,2,FALSE))</f>
        <v>2.7027027027027029E-2</v>
      </c>
      <c r="K292" s="9">
        <v>73.3</v>
      </c>
      <c r="L292" s="5">
        <v>0</v>
      </c>
    </row>
    <row r="293" spans="1:12" x14ac:dyDescent="0.25">
      <c r="A293" s="5" t="s">
        <v>1002</v>
      </c>
      <c r="B293" s="5" t="s">
        <v>44</v>
      </c>
      <c r="C293" s="7" t="s">
        <v>163</v>
      </c>
      <c r="D293" s="8">
        <v>20</v>
      </c>
      <c r="E293" s="8">
        <v>11</v>
      </c>
      <c r="F293" s="8">
        <v>133</v>
      </c>
      <c r="G293" s="5">
        <v>12.1</v>
      </c>
      <c r="H293" s="5">
        <v>0</v>
      </c>
      <c r="I293" s="6">
        <f t="shared" si="4"/>
        <v>0</v>
      </c>
      <c r="J293" s="6">
        <f>D293/(VLOOKUP(B293,'[1]2021 Team'!$B$2:$G$33,2,FALSE))</f>
        <v>3.2948929159802305E-2</v>
      </c>
      <c r="K293" s="9">
        <v>55</v>
      </c>
      <c r="L293" s="5">
        <v>0</v>
      </c>
    </row>
    <row r="294" spans="1:12" x14ac:dyDescent="0.25">
      <c r="A294" s="5" t="s">
        <v>2551</v>
      </c>
      <c r="B294" s="5" t="s">
        <v>46</v>
      </c>
      <c r="C294" s="7" t="s">
        <v>163</v>
      </c>
      <c r="D294" s="8">
        <v>2</v>
      </c>
      <c r="E294" s="8">
        <v>2</v>
      </c>
      <c r="F294" s="8">
        <v>-7</v>
      </c>
      <c r="G294" s="5">
        <v>-3.5</v>
      </c>
      <c r="H294" s="5">
        <v>0</v>
      </c>
      <c r="I294" s="6">
        <f t="shared" si="4"/>
        <v>0</v>
      </c>
      <c r="J294" s="6">
        <f>D294/(VLOOKUP(B294,'[1]2021 Team'!$B$2:$G$33,2,FALSE))</f>
        <v>3.2520325203252032E-3</v>
      </c>
      <c r="K294" s="9">
        <v>100</v>
      </c>
      <c r="L294" s="5">
        <v>2</v>
      </c>
    </row>
    <row r="295" spans="1:12" x14ac:dyDescent="0.25">
      <c r="A295" s="5" t="s">
        <v>2551</v>
      </c>
      <c r="B295" s="5" t="s">
        <v>18</v>
      </c>
      <c r="C295" s="7" t="s">
        <v>163</v>
      </c>
      <c r="D295" s="8">
        <v>15</v>
      </c>
      <c r="E295" s="8">
        <v>9</v>
      </c>
      <c r="F295" s="8">
        <v>139</v>
      </c>
      <c r="G295" s="5">
        <v>15.4</v>
      </c>
      <c r="H295" s="5">
        <v>2</v>
      </c>
      <c r="I295" s="6">
        <f t="shared" si="4"/>
        <v>0.22222222222222221</v>
      </c>
      <c r="J295" s="6">
        <f>D295/(VLOOKUP(B295,'[1]2021 Team'!$B$2:$G$33,2,FALSE))</f>
        <v>2.7675276752767528E-2</v>
      </c>
      <c r="K295" s="9">
        <v>60</v>
      </c>
      <c r="L295" s="5">
        <v>1</v>
      </c>
    </row>
    <row r="296" spans="1:12" x14ac:dyDescent="0.25">
      <c r="A296" s="5" t="s">
        <v>2537</v>
      </c>
      <c r="B296" s="5" t="s">
        <v>40</v>
      </c>
      <c r="C296" s="7" t="s">
        <v>159</v>
      </c>
      <c r="D296" s="8">
        <v>13</v>
      </c>
      <c r="E296" s="8">
        <v>10</v>
      </c>
      <c r="F296" s="8">
        <v>67</v>
      </c>
      <c r="G296" s="5">
        <v>6.7</v>
      </c>
      <c r="H296" s="5">
        <v>0</v>
      </c>
      <c r="I296" s="6">
        <f t="shared" si="4"/>
        <v>0</v>
      </c>
      <c r="J296" s="6">
        <f>D296/(VLOOKUP(B296,'[1]2021 Team'!$B$2:$G$33,2,FALSE))</f>
        <v>2.0700636942675158E-2</v>
      </c>
      <c r="K296" s="9">
        <v>76.900000000000006</v>
      </c>
      <c r="L296" s="5">
        <v>2</v>
      </c>
    </row>
    <row r="297" spans="1:12" x14ac:dyDescent="0.25">
      <c r="A297" s="5" t="s">
        <v>2593</v>
      </c>
      <c r="B297" s="5" t="s">
        <v>28</v>
      </c>
      <c r="C297" s="7" t="s">
        <v>163</v>
      </c>
      <c r="D297" s="8">
        <v>22</v>
      </c>
      <c r="E297" s="8">
        <v>10</v>
      </c>
      <c r="F297" s="8">
        <v>103</v>
      </c>
      <c r="G297" s="5">
        <v>10.3</v>
      </c>
      <c r="H297" s="5">
        <v>0</v>
      </c>
      <c r="I297" s="6">
        <f t="shared" si="4"/>
        <v>0</v>
      </c>
      <c r="J297" s="6">
        <f>D297/(VLOOKUP(B297,'[1]2021 Team'!$B$2:$G$33,2,FALSE))</f>
        <v>3.7099494097807759E-2</v>
      </c>
      <c r="K297" s="9">
        <v>45.5</v>
      </c>
      <c r="L297" s="5">
        <v>0</v>
      </c>
    </row>
    <row r="298" spans="1:12" x14ac:dyDescent="0.25">
      <c r="A298" s="5" t="s">
        <v>1583</v>
      </c>
      <c r="B298" s="5" t="s">
        <v>34</v>
      </c>
      <c r="C298" s="7" t="s">
        <v>163</v>
      </c>
      <c r="D298" s="8">
        <v>20</v>
      </c>
      <c r="E298" s="8">
        <v>10</v>
      </c>
      <c r="F298" s="8">
        <v>162</v>
      </c>
      <c r="G298" s="5">
        <v>16.2</v>
      </c>
      <c r="H298" s="5">
        <v>1</v>
      </c>
      <c r="I298" s="6">
        <f t="shared" si="4"/>
        <v>0.1</v>
      </c>
      <c r="J298" s="6">
        <f>D298/(VLOOKUP(B298,'[1]2021 Team'!$B$2:$G$33,2,FALSE))</f>
        <v>3.8387715930902108E-2</v>
      </c>
      <c r="K298" s="9">
        <v>50</v>
      </c>
      <c r="L298" s="5">
        <v>0</v>
      </c>
    </row>
    <row r="299" spans="1:12" x14ac:dyDescent="0.25">
      <c r="A299" s="5" t="s">
        <v>942</v>
      </c>
      <c r="B299" s="5" t="s">
        <v>64</v>
      </c>
      <c r="C299" s="7" t="s">
        <v>163</v>
      </c>
      <c r="D299" s="8">
        <v>20</v>
      </c>
      <c r="E299" s="8">
        <v>10</v>
      </c>
      <c r="F299" s="8">
        <v>64</v>
      </c>
      <c r="G299" s="5">
        <v>6.4</v>
      </c>
      <c r="H299" s="5">
        <v>1</v>
      </c>
      <c r="I299" s="6">
        <f t="shared" si="4"/>
        <v>0.1</v>
      </c>
      <c r="J299" s="6">
        <f>D299/(VLOOKUP(B299,'[1]2021 Team'!$B$2:$G$33,2,FALSE))</f>
        <v>4.0404040404040407E-2</v>
      </c>
      <c r="K299" s="9">
        <v>50</v>
      </c>
      <c r="L299" s="5">
        <v>0</v>
      </c>
    </row>
    <row r="300" spans="1:12" x14ac:dyDescent="0.25">
      <c r="A300" s="5" t="s">
        <v>2576</v>
      </c>
      <c r="B300" s="5" t="s">
        <v>66</v>
      </c>
      <c r="C300" s="7" t="s">
        <v>163</v>
      </c>
      <c r="D300" s="8">
        <v>12</v>
      </c>
      <c r="E300" s="8">
        <v>10</v>
      </c>
      <c r="F300" s="8">
        <v>212</v>
      </c>
      <c r="G300" s="5">
        <v>21.2</v>
      </c>
      <c r="H300" s="5">
        <v>2</v>
      </c>
      <c r="I300" s="6">
        <f t="shared" si="4"/>
        <v>0.2</v>
      </c>
      <c r="J300" s="6">
        <f>D300/(VLOOKUP(B300,'[1]2021 Team'!$B$2:$G$33,2,FALSE))</f>
        <v>1.6415868673050615E-2</v>
      </c>
      <c r="K300" s="9">
        <v>83.3</v>
      </c>
      <c r="L300" s="5">
        <v>0</v>
      </c>
    </row>
    <row r="301" spans="1:12" x14ac:dyDescent="0.25">
      <c r="A301" s="5" t="s">
        <v>695</v>
      </c>
      <c r="B301" s="5" t="s">
        <v>40</v>
      </c>
      <c r="C301" s="7" t="s">
        <v>613</v>
      </c>
      <c r="D301" s="8">
        <v>12</v>
      </c>
      <c r="E301" s="8">
        <v>10</v>
      </c>
      <c r="F301" s="8">
        <v>85</v>
      </c>
      <c r="G301" s="5">
        <v>8.5</v>
      </c>
      <c r="H301" s="5">
        <v>1</v>
      </c>
      <c r="I301" s="6">
        <f t="shared" si="4"/>
        <v>0.1</v>
      </c>
      <c r="J301" s="6">
        <f>D301/(VLOOKUP(B301,'[1]2021 Team'!$B$2:$G$33,2,FALSE))</f>
        <v>1.9108280254777069E-2</v>
      </c>
      <c r="K301" s="9">
        <v>83.3</v>
      </c>
      <c r="L301" s="5">
        <v>0</v>
      </c>
    </row>
    <row r="302" spans="1:12" x14ac:dyDescent="0.25">
      <c r="A302" s="5" t="s">
        <v>2419</v>
      </c>
      <c r="B302" s="5" t="s">
        <v>66</v>
      </c>
      <c r="C302" s="7" t="s">
        <v>159</v>
      </c>
      <c r="D302" s="8">
        <v>13</v>
      </c>
      <c r="E302" s="8">
        <v>10</v>
      </c>
      <c r="F302" s="8">
        <v>64</v>
      </c>
      <c r="G302" s="5">
        <v>6.4</v>
      </c>
      <c r="H302" s="5">
        <v>0</v>
      </c>
      <c r="I302" s="6">
        <f t="shared" si="4"/>
        <v>0</v>
      </c>
      <c r="J302" s="6">
        <f>D302/(VLOOKUP(B302,'[1]2021 Team'!$B$2:$G$33,2,FALSE))</f>
        <v>1.7783857729138167E-2</v>
      </c>
      <c r="K302" s="9">
        <v>76.900000000000006</v>
      </c>
      <c r="L302" s="5">
        <v>2</v>
      </c>
    </row>
    <row r="303" spans="1:12" x14ac:dyDescent="0.25">
      <c r="A303" s="5" t="s">
        <v>1662</v>
      </c>
      <c r="B303" s="5" t="s">
        <v>12</v>
      </c>
      <c r="C303" s="7" t="s">
        <v>159</v>
      </c>
      <c r="D303" s="8">
        <v>13</v>
      </c>
      <c r="E303" s="8">
        <v>10</v>
      </c>
      <c r="F303" s="8">
        <v>75</v>
      </c>
      <c r="G303" s="5">
        <v>7.5</v>
      </c>
      <c r="H303" s="5">
        <v>0</v>
      </c>
      <c r="I303" s="6">
        <f t="shared" si="4"/>
        <v>0</v>
      </c>
      <c r="J303" s="6">
        <f>D303/(VLOOKUP(B303,'[1]2021 Team'!$B$2:$G$33,2,FALSE))</f>
        <v>2.1276595744680851E-2</v>
      </c>
      <c r="K303" s="9">
        <v>76.900000000000006</v>
      </c>
      <c r="L303" s="5">
        <v>0</v>
      </c>
    </row>
    <row r="304" spans="1:12" x14ac:dyDescent="0.25">
      <c r="A304" s="5" t="s">
        <v>469</v>
      </c>
      <c r="B304" s="5" t="s">
        <v>70</v>
      </c>
      <c r="C304" s="7" t="s">
        <v>159</v>
      </c>
      <c r="D304" s="8">
        <v>11</v>
      </c>
      <c r="E304" s="8">
        <v>10</v>
      </c>
      <c r="F304" s="8">
        <v>73</v>
      </c>
      <c r="G304" s="5">
        <v>7.3</v>
      </c>
      <c r="H304" s="5">
        <v>0</v>
      </c>
      <c r="I304" s="6">
        <f t="shared" si="4"/>
        <v>0</v>
      </c>
      <c r="J304" s="6">
        <f>D304/(VLOOKUP(B304,'[1]2021 Team'!$B$2:$G$33,2,FALSE))</f>
        <v>0.02</v>
      </c>
      <c r="K304" s="9">
        <v>90.9</v>
      </c>
      <c r="L304" s="5">
        <v>1</v>
      </c>
    </row>
    <row r="305" spans="1:12" x14ac:dyDescent="0.25">
      <c r="A305" s="5" t="s">
        <v>959</v>
      </c>
      <c r="B305" s="5" t="s">
        <v>54</v>
      </c>
      <c r="C305" s="7" t="s">
        <v>163</v>
      </c>
      <c r="D305" s="8">
        <v>16</v>
      </c>
      <c r="E305" s="8">
        <v>10</v>
      </c>
      <c r="F305" s="8">
        <v>87</v>
      </c>
      <c r="G305" s="5">
        <v>8.6999999999999993</v>
      </c>
      <c r="H305" s="5">
        <v>1</v>
      </c>
      <c r="I305" s="6">
        <f t="shared" si="4"/>
        <v>0.1</v>
      </c>
      <c r="J305" s="6">
        <f>D305/(VLOOKUP(B305,'[1]2021 Team'!$B$2:$G$33,2,FALSE))</f>
        <v>2.6981450252951095E-2</v>
      </c>
      <c r="K305" s="9">
        <v>62.5</v>
      </c>
      <c r="L305" s="5">
        <v>1</v>
      </c>
    </row>
    <row r="306" spans="1:12" x14ac:dyDescent="0.25">
      <c r="A306" s="5" t="s">
        <v>2436</v>
      </c>
      <c r="B306" s="5" t="s">
        <v>22</v>
      </c>
      <c r="C306" s="7" t="s">
        <v>163</v>
      </c>
      <c r="D306" s="8">
        <v>23</v>
      </c>
      <c r="E306" s="8">
        <v>10</v>
      </c>
      <c r="F306" s="8">
        <v>135</v>
      </c>
      <c r="G306" s="5">
        <v>13.5</v>
      </c>
      <c r="H306" s="5">
        <v>1</v>
      </c>
      <c r="I306" s="6">
        <f t="shared" si="4"/>
        <v>0.1</v>
      </c>
      <c r="J306" s="6">
        <f>D306/(VLOOKUP(B306,'[1]2021 Team'!$B$2:$G$33,2,FALSE))</f>
        <v>4.4230769230769233E-2</v>
      </c>
      <c r="K306" s="9">
        <v>43.5</v>
      </c>
      <c r="L306" s="5">
        <v>0</v>
      </c>
    </row>
    <row r="307" spans="1:12" x14ac:dyDescent="0.25">
      <c r="A307" s="5" t="s">
        <v>2665</v>
      </c>
      <c r="B307" s="5" t="s">
        <v>48</v>
      </c>
      <c r="C307" s="7" t="s">
        <v>163</v>
      </c>
      <c r="D307" s="8">
        <v>15</v>
      </c>
      <c r="E307" s="8">
        <v>10</v>
      </c>
      <c r="F307" s="8">
        <v>68</v>
      </c>
      <c r="G307" s="5">
        <v>6.8</v>
      </c>
      <c r="H307" s="5">
        <v>0</v>
      </c>
      <c r="I307" s="6">
        <f t="shared" si="4"/>
        <v>0</v>
      </c>
      <c r="J307" s="6">
        <f>D307/(VLOOKUP(B307,'[1]2021 Team'!$B$2:$G$33,2,FALSE))</f>
        <v>2.4834437086092714E-2</v>
      </c>
      <c r="K307" s="9">
        <v>66.7</v>
      </c>
      <c r="L307" s="5">
        <v>2</v>
      </c>
    </row>
    <row r="308" spans="1:12" x14ac:dyDescent="0.25">
      <c r="A308" s="5" t="s">
        <v>1664</v>
      </c>
      <c r="B308" s="5" t="s">
        <v>16</v>
      </c>
      <c r="C308" s="7" t="s">
        <v>159</v>
      </c>
      <c r="D308" s="8">
        <v>6</v>
      </c>
      <c r="E308" s="8">
        <v>3</v>
      </c>
      <c r="F308" s="8">
        <v>15</v>
      </c>
      <c r="G308" s="5">
        <v>5</v>
      </c>
      <c r="H308" s="5">
        <v>0</v>
      </c>
      <c r="I308" s="6">
        <f t="shared" si="4"/>
        <v>0</v>
      </c>
      <c r="J308" s="6">
        <f>D308/(VLOOKUP(B308,'[1]2021 Team'!$B$2:$G$33,2,FALSE))</f>
        <v>1.001669449081803E-2</v>
      </c>
      <c r="K308" s="9">
        <v>50</v>
      </c>
      <c r="L308" s="5">
        <v>0</v>
      </c>
    </row>
    <row r="309" spans="1:12" x14ac:dyDescent="0.25">
      <c r="A309" s="5" t="s">
        <v>1664</v>
      </c>
      <c r="B309" s="5" t="s">
        <v>32</v>
      </c>
      <c r="C309" s="7" t="s">
        <v>159</v>
      </c>
      <c r="D309" s="8">
        <v>10</v>
      </c>
      <c r="E309" s="8">
        <v>7</v>
      </c>
      <c r="F309" s="8">
        <v>62</v>
      </c>
      <c r="G309" s="5">
        <v>8.9</v>
      </c>
      <c r="H309" s="5">
        <v>0</v>
      </c>
      <c r="I309" s="6">
        <f t="shared" si="4"/>
        <v>0</v>
      </c>
      <c r="J309" s="6">
        <f>D309/(VLOOKUP(B309,'[1]2021 Team'!$B$2:$G$33,2,FALSE))</f>
        <v>1.8315018315018316E-2</v>
      </c>
      <c r="K309" s="9">
        <v>70</v>
      </c>
      <c r="L309" s="5">
        <v>0</v>
      </c>
    </row>
    <row r="310" spans="1:12" x14ac:dyDescent="0.25">
      <c r="A310" s="5" t="s">
        <v>1775</v>
      </c>
      <c r="B310" s="5" t="s">
        <v>38</v>
      </c>
      <c r="C310" s="7" t="s">
        <v>153</v>
      </c>
      <c r="D310" s="8">
        <v>13</v>
      </c>
      <c r="E310" s="8">
        <v>9</v>
      </c>
      <c r="F310" s="8">
        <v>87</v>
      </c>
      <c r="G310" s="5">
        <v>9.6999999999999993</v>
      </c>
      <c r="H310" s="5">
        <v>0</v>
      </c>
      <c r="I310" s="6">
        <f t="shared" si="4"/>
        <v>0</v>
      </c>
      <c r="J310" s="6">
        <f>D310/(VLOOKUP(B310,'[1]2021 Team'!$B$2:$G$33,2,FALSE))</f>
        <v>1.9259259259259261E-2</v>
      </c>
      <c r="K310" s="9">
        <v>69.2</v>
      </c>
      <c r="L310" s="5">
        <v>0</v>
      </c>
    </row>
    <row r="311" spans="1:12" x14ac:dyDescent="0.25">
      <c r="A311" s="5" t="s">
        <v>2535</v>
      </c>
      <c r="B311" s="5" t="s">
        <v>64</v>
      </c>
      <c r="C311" s="7" t="s">
        <v>159</v>
      </c>
      <c r="D311" s="8">
        <v>10</v>
      </c>
      <c r="E311" s="8">
        <v>9</v>
      </c>
      <c r="F311" s="8">
        <v>87</v>
      </c>
      <c r="G311" s="5">
        <v>9.6999999999999993</v>
      </c>
      <c r="H311" s="5">
        <v>0</v>
      </c>
      <c r="I311" s="6">
        <f t="shared" si="4"/>
        <v>0</v>
      </c>
      <c r="J311" s="6">
        <f>D311/(VLOOKUP(B311,'[1]2021 Team'!$B$2:$G$33,2,FALSE))</f>
        <v>2.0202020202020204E-2</v>
      </c>
      <c r="K311" s="9">
        <v>90</v>
      </c>
      <c r="L311" s="5">
        <v>1</v>
      </c>
    </row>
    <row r="312" spans="1:12" x14ac:dyDescent="0.25">
      <c r="A312" s="5" t="s">
        <v>1651</v>
      </c>
      <c r="B312" s="5" t="s">
        <v>68</v>
      </c>
      <c r="C312" s="7" t="s">
        <v>159</v>
      </c>
      <c r="D312" s="8">
        <v>11</v>
      </c>
      <c r="E312" s="8">
        <v>9</v>
      </c>
      <c r="F312" s="8">
        <v>123</v>
      </c>
      <c r="G312" s="5">
        <v>13.7</v>
      </c>
      <c r="H312" s="5">
        <v>0</v>
      </c>
      <c r="I312" s="6">
        <f t="shared" si="4"/>
        <v>0</v>
      </c>
      <c r="J312" s="6">
        <f>D312/(VLOOKUP(B312,'[1]2021 Team'!$B$2:$G$33,2,FALSE))</f>
        <v>2.0560747663551402E-2</v>
      </c>
      <c r="K312" s="9">
        <v>81.8</v>
      </c>
      <c r="L312" s="5">
        <v>2</v>
      </c>
    </row>
    <row r="313" spans="1:12" x14ac:dyDescent="0.25">
      <c r="A313" s="5" t="s">
        <v>2627</v>
      </c>
      <c r="B313" s="5" t="s">
        <v>36</v>
      </c>
      <c r="C313" s="7" t="s">
        <v>153</v>
      </c>
      <c r="D313" s="8">
        <v>14</v>
      </c>
      <c r="E313" s="8">
        <v>9</v>
      </c>
      <c r="F313" s="8">
        <v>55</v>
      </c>
      <c r="G313" s="5">
        <v>6.1</v>
      </c>
      <c r="H313" s="5">
        <v>1</v>
      </c>
      <c r="I313" s="6">
        <f t="shared" ref="I313:I373" si="5">H313/E313</f>
        <v>0.1111111111111111</v>
      </c>
      <c r="J313" s="6">
        <f>D313/(VLOOKUP(B313,'[1]2021 Team'!$B$2:$G$33,2,FALSE))</f>
        <v>2.3178807947019868E-2</v>
      </c>
      <c r="K313" s="9">
        <v>64.3</v>
      </c>
      <c r="L313" s="5">
        <v>0</v>
      </c>
    </row>
    <row r="314" spans="1:12" x14ac:dyDescent="0.25">
      <c r="A314" s="5" t="s">
        <v>2501</v>
      </c>
      <c r="B314" s="5" t="s">
        <v>68</v>
      </c>
      <c r="C314" s="7" t="s">
        <v>163</v>
      </c>
      <c r="D314" s="8">
        <v>19</v>
      </c>
      <c r="E314" s="8">
        <v>9</v>
      </c>
      <c r="F314" s="8">
        <v>160</v>
      </c>
      <c r="G314" s="5">
        <v>17.8</v>
      </c>
      <c r="H314" s="5">
        <v>0</v>
      </c>
      <c r="I314" s="6">
        <f t="shared" si="5"/>
        <v>0</v>
      </c>
      <c r="J314" s="6">
        <f>D314/(VLOOKUP(B314,'[1]2021 Team'!$B$2:$G$33,2,FALSE))</f>
        <v>3.5514018691588788E-2</v>
      </c>
      <c r="K314" s="9">
        <v>47.4</v>
      </c>
      <c r="L314" s="5">
        <v>0</v>
      </c>
    </row>
    <row r="315" spans="1:12" x14ac:dyDescent="0.25">
      <c r="A315" s="5" t="s">
        <v>2508</v>
      </c>
      <c r="B315" s="5" t="s">
        <v>70</v>
      </c>
      <c r="C315" s="7" t="s">
        <v>163</v>
      </c>
      <c r="D315" s="8">
        <v>14</v>
      </c>
      <c r="E315" s="8">
        <v>9</v>
      </c>
      <c r="F315" s="8">
        <v>83</v>
      </c>
      <c r="G315" s="5">
        <v>9.1999999999999993</v>
      </c>
      <c r="H315" s="5">
        <v>0</v>
      </c>
      <c r="I315" s="6">
        <f t="shared" si="5"/>
        <v>0</v>
      </c>
      <c r="J315" s="6">
        <f>D315/(VLOOKUP(B315,'[1]2021 Team'!$B$2:$G$33,2,FALSE))</f>
        <v>2.5454545454545455E-2</v>
      </c>
      <c r="K315" s="9">
        <v>64.3</v>
      </c>
      <c r="L315" s="5">
        <v>1</v>
      </c>
    </row>
    <row r="316" spans="1:12" x14ac:dyDescent="0.25">
      <c r="A316" s="5" t="s">
        <v>950</v>
      </c>
      <c r="B316" s="5" t="s">
        <v>12</v>
      </c>
      <c r="C316" s="7" t="s">
        <v>153</v>
      </c>
      <c r="D316" s="8">
        <v>15</v>
      </c>
      <c r="E316" s="8">
        <v>9</v>
      </c>
      <c r="F316" s="8">
        <v>66</v>
      </c>
      <c r="G316" s="5">
        <v>7.3</v>
      </c>
      <c r="H316" s="5">
        <v>0</v>
      </c>
      <c r="I316" s="6">
        <f t="shared" si="5"/>
        <v>0</v>
      </c>
      <c r="J316" s="6">
        <f>D316/(VLOOKUP(B316,'[1]2021 Team'!$B$2:$G$33,2,FALSE))</f>
        <v>2.4549918166939442E-2</v>
      </c>
      <c r="K316" s="9">
        <v>60</v>
      </c>
      <c r="L316" s="5">
        <v>1</v>
      </c>
    </row>
    <row r="317" spans="1:12" x14ac:dyDescent="0.25">
      <c r="A317" s="5" t="s">
        <v>2543</v>
      </c>
      <c r="B317" s="5" t="s">
        <v>54</v>
      </c>
      <c r="C317" s="7" t="s">
        <v>159</v>
      </c>
      <c r="D317" s="8">
        <v>13</v>
      </c>
      <c r="E317" s="8">
        <v>9</v>
      </c>
      <c r="F317" s="8">
        <v>30</v>
      </c>
      <c r="G317" s="5">
        <v>3.3</v>
      </c>
      <c r="H317" s="5">
        <v>1</v>
      </c>
      <c r="I317" s="6">
        <f t="shared" si="5"/>
        <v>0.1111111111111111</v>
      </c>
      <c r="J317" s="6">
        <f>D317/(VLOOKUP(B317,'[1]2021 Team'!$B$2:$G$33,2,FALSE))</f>
        <v>2.1922428330522766E-2</v>
      </c>
      <c r="K317" s="9">
        <v>69.2</v>
      </c>
      <c r="L317" s="5">
        <v>0</v>
      </c>
    </row>
    <row r="318" spans="1:12" x14ac:dyDescent="0.25">
      <c r="A318" s="5" t="s">
        <v>797</v>
      </c>
      <c r="B318" s="5" t="s">
        <v>62</v>
      </c>
      <c r="C318" s="7" t="s">
        <v>163</v>
      </c>
      <c r="D318" s="8">
        <v>20</v>
      </c>
      <c r="E318" s="8">
        <v>9</v>
      </c>
      <c r="F318" s="8">
        <v>87</v>
      </c>
      <c r="G318" s="5">
        <v>9.6999999999999993</v>
      </c>
      <c r="H318" s="5">
        <v>1</v>
      </c>
      <c r="I318" s="6">
        <f t="shared" si="5"/>
        <v>0.1111111111111111</v>
      </c>
      <c r="J318" s="6">
        <f>D318/(VLOOKUP(B318,'[1]2021 Team'!$B$2:$G$33,2,FALSE))</f>
        <v>3.8910505836575876E-2</v>
      </c>
      <c r="K318" s="9">
        <v>45</v>
      </c>
      <c r="L318" s="5">
        <v>0</v>
      </c>
    </row>
    <row r="319" spans="1:12" x14ac:dyDescent="0.25">
      <c r="A319" s="5" t="s">
        <v>1845</v>
      </c>
      <c r="B319" s="5" t="s">
        <v>10</v>
      </c>
      <c r="C319" s="7" t="s">
        <v>613</v>
      </c>
      <c r="D319" s="8">
        <v>10</v>
      </c>
      <c r="E319" s="8">
        <v>9</v>
      </c>
      <c r="F319" s="8">
        <v>56</v>
      </c>
      <c r="G319" s="5">
        <v>6.2</v>
      </c>
      <c r="H319" s="5">
        <v>0</v>
      </c>
      <c r="I319" s="6">
        <f t="shared" si="5"/>
        <v>0</v>
      </c>
      <c r="J319" s="6">
        <f>D319/(VLOOKUP(B319,'[1]2021 Team'!$B$2:$G$33,2,FALSE))</f>
        <v>1.7452006980802792E-2</v>
      </c>
      <c r="K319" s="9">
        <v>90</v>
      </c>
      <c r="L319" s="5">
        <v>0</v>
      </c>
    </row>
    <row r="320" spans="1:12" x14ac:dyDescent="0.25">
      <c r="A320" s="5" t="s">
        <v>2653</v>
      </c>
      <c r="B320" s="5" t="s">
        <v>10</v>
      </c>
      <c r="C320" s="7" t="s">
        <v>153</v>
      </c>
      <c r="D320" s="8">
        <v>11</v>
      </c>
      <c r="E320" s="8">
        <v>9</v>
      </c>
      <c r="F320" s="8">
        <v>65</v>
      </c>
      <c r="G320" s="5">
        <v>7.2</v>
      </c>
      <c r="H320" s="5">
        <v>1</v>
      </c>
      <c r="I320" s="6">
        <f t="shared" si="5"/>
        <v>0.1111111111111111</v>
      </c>
      <c r="J320" s="6">
        <f>D320/(VLOOKUP(B320,'[1]2021 Team'!$B$2:$G$33,2,FALSE))</f>
        <v>1.9197207678883072E-2</v>
      </c>
      <c r="K320" s="9">
        <v>81.8</v>
      </c>
      <c r="L320" s="5">
        <v>0</v>
      </c>
    </row>
    <row r="321" spans="1:12" x14ac:dyDescent="0.25">
      <c r="A321" s="5" t="s">
        <v>1847</v>
      </c>
      <c r="B321" s="5" t="s">
        <v>30</v>
      </c>
      <c r="C321" s="7" t="s">
        <v>163</v>
      </c>
      <c r="D321" s="8">
        <v>17</v>
      </c>
      <c r="E321" s="8">
        <v>9</v>
      </c>
      <c r="F321" s="8">
        <v>98</v>
      </c>
      <c r="G321" s="5">
        <v>10.9</v>
      </c>
      <c r="H321" s="5">
        <v>0</v>
      </c>
      <c r="I321" s="6">
        <f t="shared" si="5"/>
        <v>0</v>
      </c>
      <c r="J321" s="6">
        <f>D321/(VLOOKUP(B321,'[1]2021 Team'!$B$2:$G$33,2,FALSE))</f>
        <v>2.866779089376054E-2</v>
      </c>
      <c r="K321" s="9">
        <v>52.9</v>
      </c>
      <c r="L321" s="5">
        <v>0</v>
      </c>
    </row>
    <row r="322" spans="1:12" x14ac:dyDescent="0.25">
      <c r="A322" s="5" t="s">
        <v>2523</v>
      </c>
      <c r="B322" s="5" t="s">
        <v>14</v>
      </c>
      <c r="C322" s="7" t="s">
        <v>153</v>
      </c>
      <c r="D322" s="8">
        <v>12</v>
      </c>
      <c r="E322" s="8">
        <v>9</v>
      </c>
      <c r="F322" s="8">
        <v>44</v>
      </c>
      <c r="G322" s="5">
        <v>4.9000000000000004</v>
      </c>
      <c r="H322" s="5">
        <v>1</v>
      </c>
      <c r="I322" s="6">
        <f t="shared" si="5"/>
        <v>0.1111111111111111</v>
      </c>
      <c r="J322" s="6">
        <f>D322/(VLOOKUP(B322,'[1]2021 Team'!$B$2:$G$33,2,FALSE))</f>
        <v>1.8320610687022901E-2</v>
      </c>
      <c r="K322" s="9">
        <v>75</v>
      </c>
      <c r="L322" s="5">
        <v>1</v>
      </c>
    </row>
    <row r="323" spans="1:12" x14ac:dyDescent="0.25">
      <c r="A323" s="5" t="s">
        <v>1859</v>
      </c>
      <c r="B323" s="5" t="s">
        <v>52</v>
      </c>
      <c r="C323" s="7" t="s">
        <v>153</v>
      </c>
      <c r="D323" s="8">
        <v>15</v>
      </c>
      <c r="E323" s="8">
        <v>9</v>
      </c>
      <c r="F323" s="8">
        <v>133</v>
      </c>
      <c r="G323" s="5">
        <v>14.8</v>
      </c>
      <c r="H323" s="5">
        <v>1</v>
      </c>
      <c r="I323" s="6">
        <f t="shared" si="5"/>
        <v>0.1111111111111111</v>
      </c>
      <c r="J323" s="6">
        <f>D323/(VLOOKUP(B323,'[1]2021 Team'!$B$2:$G$33,2,FALSE))</f>
        <v>2.976190476190476E-2</v>
      </c>
      <c r="K323" s="9">
        <v>60</v>
      </c>
      <c r="L323" s="5">
        <v>0</v>
      </c>
    </row>
    <row r="324" spans="1:12" x14ac:dyDescent="0.25">
      <c r="A324" s="5" t="s">
        <v>2532</v>
      </c>
      <c r="B324" s="5" t="s">
        <v>12</v>
      </c>
      <c r="C324" s="7" t="s">
        <v>159</v>
      </c>
      <c r="D324" s="8">
        <v>12</v>
      </c>
      <c r="E324" s="8">
        <v>9</v>
      </c>
      <c r="F324" s="8">
        <v>84</v>
      </c>
      <c r="G324" s="5">
        <v>9.3000000000000007</v>
      </c>
      <c r="H324" s="5">
        <v>0</v>
      </c>
      <c r="I324" s="6">
        <f t="shared" si="5"/>
        <v>0</v>
      </c>
      <c r="J324" s="6">
        <f>D324/(VLOOKUP(B324,'[1]2021 Team'!$B$2:$G$33,2,FALSE))</f>
        <v>1.9639934533551555E-2</v>
      </c>
      <c r="K324" s="9">
        <v>75</v>
      </c>
      <c r="L324" s="5">
        <v>1</v>
      </c>
    </row>
    <row r="325" spans="1:12" x14ac:dyDescent="0.25">
      <c r="A325" s="5" t="s">
        <v>1730</v>
      </c>
      <c r="B325" s="5" t="s">
        <v>38</v>
      </c>
      <c r="C325" s="7" t="s">
        <v>159</v>
      </c>
      <c r="D325" s="8">
        <v>9</v>
      </c>
      <c r="E325" s="8">
        <v>8</v>
      </c>
      <c r="F325" s="8">
        <v>105</v>
      </c>
      <c r="G325" s="5">
        <v>13.1</v>
      </c>
      <c r="H325" s="5">
        <v>0</v>
      </c>
      <c r="I325" s="6">
        <f t="shared" si="5"/>
        <v>0</v>
      </c>
      <c r="J325" s="6">
        <f>D325/(VLOOKUP(B325,'[1]2021 Team'!$B$2:$G$33,2,FALSE))</f>
        <v>1.3333333333333334E-2</v>
      </c>
      <c r="K325" s="9">
        <v>88.9</v>
      </c>
      <c r="L325" s="5">
        <v>0</v>
      </c>
    </row>
    <row r="326" spans="1:12" x14ac:dyDescent="0.25">
      <c r="A326" s="5" t="s">
        <v>2509</v>
      </c>
      <c r="B326" s="5" t="s">
        <v>56</v>
      </c>
      <c r="C326" s="7" t="s">
        <v>163</v>
      </c>
      <c r="D326" s="8">
        <v>23</v>
      </c>
      <c r="E326" s="8">
        <v>8</v>
      </c>
      <c r="F326" s="8">
        <v>133</v>
      </c>
      <c r="G326" s="5">
        <v>16.600000000000001</v>
      </c>
      <c r="H326" s="5">
        <v>0</v>
      </c>
      <c r="I326" s="6">
        <f t="shared" si="5"/>
        <v>0</v>
      </c>
      <c r="J326" s="6">
        <f>D326/(VLOOKUP(B326,'[1]2021 Team'!$B$2:$G$33,2,FALSE))</f>
        <v>3.8142620232172471E-2</v>
      </c>
      <c r="K326" s="9">
        <v>34.799999999999997</v>
      </c>
      <c r="L326" s="5">
        <v>0</v>
      </c>
    </row>
    <row r="327" spans="1:12" x14ac:dyDescent="0.25">
      <c r="A327" s="5" t="s">
        <v>729</v>
      </c>
      <c r="B327" s="5" t="s">
        <v>12</v>
      </c>
      <c r="C327" s="7" t="s">
        <v>613</v>
      </c>
      <c r="D327" s="8">
        <v>13</v>
      </c>
      <c r="E327" s="8">
        <v>8</v>
      </c>
      <c r="F327" s="8">
        <v>63</v>
      </c>
      <c r="G327" s="5">
        <v>7.9</v>
      </c>
      <c r="H327" s="5">
        <v>1</v>
      </c>
      <c r="I327" s="6">
        <f t="shared" si="5"/>
        <v>0.125</v>
      </c>
      <c r="J327" s="6">
        <f>D327/(VLOOKUP(B327,'[1]2021 Team'!$B$2:$G$33,2,FALSE))</f>
        <v>2.1276595744680851E-2</v>
      </c>
      <c r="K327" s="9">
        <v>61.5</v>
      </c>
      <c r="L327" s="5">
        <v>0</v>
      </c>
    </row>
    <row r="328" spans="1:12" x14ac:dyDescent="0.25">
      <c r="A328" s="5" t="s">
        <v>1011</v>
      </c>
      <c r="B328" s="5" t="s">
        <v>26</v>
      </c>
      <c r="C328" s="7" t="s">
        <v>153</v>
      </c>
      <c r="D328" s="8">
        <v>12</v>
      </c>
      <c r="E328" s="8">
        <v>8</v>
      </c>
      <c r="F328" s="8">
        <v>47</v>
      </c>
      <c r="G328" s="5">
        <v>5.9</v>
      </c>
      <c r="H328" s="5">
        <v>1</v>
      </c>
      <c r="I328" s="6">
        <f t="shared" si="5"/>
        <v>0.125</v>
      </c>
      <c r="J328" s="6">
        <f>D328/(VLOOKUP(B328,'[1]2021 Team'!$B$2:$G$33,2,FALSE))</f>
        <v>2.2181146025878003E-2</v>
      </c>
      <c r="K328" s="9">
        <v>66.7</v>
      </c>
      <c r="L328" s="5">
        <v>0</v>
      </c>
    </row>
    <row r="329" spans="1:12" x14ac:dyDescent="0.25">
      <c r="A329" s="5" t="s">
        <v>2519</v>
      </c>
      <c r="B329" s="5" t="s">
        <v>56</v>
      </c>
      <c r="C329" s="7" t="s">
        <v>163</v>
      </c>
      <c r="D329" s="8">
        <v>17</v>
      </c>
      <c r="E329" s="8">
        <v>8</v>
      </c>
      <c r="F329" s="8">
        <v>113</v>
      </c>
      <c r="G329" s="5">
        <v>14.1</v>
      </c>
      <c r="H329" s="5">
        <v>0</v>
      </c>
      <c r="I329" s="6">
        <f t="shared" si="5"/>
        <v>0</v>
      </c>
      <c r="J329" s="6">
        <f>D329/(VLOOKUP(B329,'[1]2021 Team'!$B$2:$G$33,2,FALSE))</f>
        <v>2.8192371475953566E-2</v>
      </c>
      <c r="K329" s="9">
        <v>47.1</v>
      </c>
      <c r="L329" s="5">
        <v>0</v>
      </c>
    </row>
    <row r="330" spans="1:12" x14ac:dyDescent="0.25">
      <c r="A330" s="5" t="s">
        <v>1865</v>
      </c>
      <c r="B330" s="5" t="s">
        <v>30</v>
      </c>
      <c r="C330" s="7" t="s">
        <v>163</v>
      </c>
      <c r="D330" s="8">
        <v>13</v>
      </c>
      <c r="E330" s="8">
        <v>8</v>
      </c>
      <c r="F330" s="8">
        <v>58</v>
      </c>
      <c r="G330" s="5">
        <v>7.3</v>
      </c>
      <c r="H330" s="5">
        <v>0</v>
      </c>
      <c r="I330" s="6">
        <f t="shared" si="5"/>
        <v>0</v>
      </c>
      <c r="J330" s="6">
        <f>D330/(VLOOKUP(B330,'[1]2021 Team'!$B$2:$G$33,2,FALSE))</f>
        <v>2.1922428330522766E-2</v>
      </c>
      <c r="K330" s="9">
        <v>61.5</v>
      </c>
      <c r="L330" s="5">
        <v>2</v>
      </c>
    </row>
    <row r="331" spans="1:12" x14ac:dyDescent="0.25">
      <c r="A331" s="5" t="s">
        <v>1673</v>
      </c>
      <c r="B331" s="5" t="s">
        <v>14</v>
      </c>
      <c r="C331" s="7" t="s">
        <v>159</v>
      </c>
      <c r="D331" s="8">
        <v>9</v>
      </c>
      <c r="E331" s="8">
        <v>7</v>
      </c>
      <c r="F331" s="8">
        <v>72</v>
      </c>
      <c r="G331" s="5">
        <v>10.3</v>
      </c>
      <c r="H331" s="5">
        <v>2</v>
      </c>
      <c r="I331" s="6">
        <f t="shared" si="5"/>
        <v>0.2857142857142857</v>
      </c>
      <c r="J331" s="6">
        <f>D331/(VLOOKUP(B331,'[1]2021 Team'!$B$2:$G$33,2,FALSE))</f>
        <v>1.3740458015267175E-2</v>
      </c>
      <c r="K331" s="9">
        <v>77.8</v>
      </c>
      <c r="L331" s="5">
        <v>1</v>
      </c>
    </row>
    <row r="332" spans="1:12" x14ac:dyDescent="0.25">
      <c r="A332" s="5" t="s">
        <v>1781</v>
      </c>
      <c r="B332" s="5" t="s">
        <v>36</v>
      </c>
      <c r="C332" s="7" t="s">
        <v>163</v>
      </c>
      <c r="D332" s="8">
        <v>22</v>
      </c>
      <c r="E332" s="8">
        <v>7</v>
      </c>
      <c r="F332" s="8">
        <v>154</v>
      </c>
      <c r="G332" s="5">
        <v>22</v>
      </c>
      <c r="H332" s="5">
        <v>2</v>
      </c>
      <c r="I332" s="6">
        <f t="shared" si="5"/>
        <v>0.2857142857142857</v>
      </c>
      <c r="J332" s="6">
        <f>D332/(VLOOKUP(B332,'[1]2021 Team'!$B$2:$G$33,2,FALSE))</f>
        <v>3.6423841059602648E-2</v>
      </c>
      <c r="K332" s="9">
        <v>31.8</v>
      </c>
      <c r="L332" s="5">
        <v>0</v>
      </c>
    </row>
    <row r="333" spans="1:12" x14ac:dyDescent="0.25">
      <c r="A333" s="5" t="s">
        <v>1016</v>
      </c>
      <c r="B333" s="5" t="s">
        <v>36</v>
      </c>
      <c r="C333" s="7" t="s">
        <v>153</v>
      </c>
      <c r="D333" s="8">
        <v>11</v>
      </c>
      <c r="E333" s="8">
        <v>7</v>
      </c>
      <c r="F333" s="8">
        <v>56</v>
      </c>
      <c r="G333" s="5">
        <v>8</v>
      </c>
      <c r="H333" s="5">
        <v>0</v>
      </c>
      <c r="I333" s="6">
        <f t="shared" si="5"/>
        <v>0</v>
      </c>
      <c r="J333" s="6">
        <f>D333/(VLOOKUP(B333,'[1]2021 Team'!$B$2:$G$33,2,FALSE))</f>
        <v>1.8211920529801324E-2</v>
      </c>
      <c r="K333" s="9">
        <v>63.6</v>
      </c>
      <c r="L333" s="5">
        <v>1</v>
      </c>
    </row>
    <row r="334" spans="1:12" x14ac:dyDescent="0.25">
      <c r="A334" s="5" t="s">
        <v>909</v>
      </c>
      <c r="B334" s="5" t="s">
        <v>38</v>
      </c>
      <c r="C334" s="7" t="s">
        <v>153</v>
      </c>
      <c r="D334" s="8">
        <v>10</v>
      </c>
      <c r="E334" s="8">
        <v>7</v>
      </c>
      <c r="F334" s="8">
        <v>36</v>
      </c>
      <c r="G334" s="5">
        <v>5.0999999999999996</v>
      </c>
      <c r="H334" s="5">
        <v>1</v>
      </c>
      <c r="I334" s="6">
        <f t="shared" si="5"/>
        <v>0.14285714285714285</v>
      </c>
      <c r="J334" s="6">
        <f>D334/(VLOOKUP(B334,'[1]2021 Team'!$B$2:$G$33,2,FALSE))</f>
        <v>1.4814814814814815E-2</v>
      </c>
      <c r="K334" s="9">
        <v>70</v>
      </c>
      <c r="L334" s="5">
        <v>0</v>
      </c>
    </row>
    <row r="335" spans="1:12" x14ac:dyDescent="0.25">
      <c r="A335" s="5" t="s">
        <v>2493</v>
      </c>
      <c r="B335" s="5" t="s">
        <v>64</v>
      </c>
      <c r="C335" s="7" t="s">
        <v>163</v>
      </c>
      <c r="D335" s="8">
        <v>12</v>
      </c>
      <c r="E335" s="8">
        <v>7</v>
      </c>
      <c r="F335" s="8">
        <v>59</v>
      </c>
      <c r="G335" s="5">
        <v>8.4</v>
      </c>
      <c r="H335" s="5">
        <v>0</v>
      </c>
      <c r="I335" s="6">
        <f t="shared" si="5"/>
        <v>0</v>
      </c>
      <c r="J335" s="6">
        <f>D335/(VLOOKUP(B335,'[1]2021 Team'!$B$2:$G$33,2,FALSE))</f>
        <v>2.4242424242424242E-2</v>
      </c>
      <c r="K335" s="9">
        <v>58.3</v>
      </c>
      <c r="L335" s="5">
        <v>0</v>
      </c>
    </row>
    <row r="336" spans="1:12" x14ac:dyDescent="0.25">
      <c r="A336" s="5" t="s">
        <v>2438</v>
      </c>
      <c r="B336" s="5" t="s">
        <v>28</v>
      </c>
      <c r="C336" s="7" t="s">
        <v>159</v>
      </c>
      <c r="D336" s="8">
        <v>10</v>
      </c>
      <c r="E336" s="8">
        <v>7</v>
      </c>
      <c r="F336" s="8">
        <v>60</v>
      </c>
      <c r="G336" s="5">
        <v>8.6</v>
      </c>
      <c r="H336" s="5">
        <v>0</v>
      </c>
      <c r="I336" s="6">
        <f t="shared" si="5"/>
        <v>0</v>
      </c>
      <c r="J336" s="6">
        <f>D336/(VLOOKUP(B336,'[1]2021 Team'!$B$2:$G$33,2,FALSE))</f>
        <v>1.6863406408094434E-2</v>
      </c>
      <c r="K336" s="9">
        <v>70</v>
      </c>
      <c r="L336" s="5">
        <v>2</v>
      </c>
    </row>
    <row r="337" spans="1:12" x14ac:dyDescent="0.25">
      <c r="A337" s="5" t="s">
        <v>2631</v>
      </c>
      <c r="B337" s="5" t="s">
        <v>18</v>
      </c>
      <c r="C337" s="7" t="s">
        <v>153</v>
      </c>
      <c r="D337" s="8">
        <v>8</v>
      </c>
      <c r="E337" s="8">
        <v>7</v>
      </c>
      <c r="F337" s="8">
        <v>62</v>
      </c>
      <c r="G337" s="5">
        <v>8.9</v>
      </c>
      <c r="H337" s="5">
        <v>1</v>
      </c>
      <c r="I337" s="6">
        <f t="shared" si="5"/>
        <v>0.14285714285714285</v>
      </c>
      <c r="J337" s="6">
        <f>D337/(VLOOKUP(B337,'[1]2021 Team'!$B$2:$G$33,2,FALSE))</f>
        <v>1.4760147601476014E-2</v>
      </c>
      <c r="K337" s="9">
        <v>87.5</v>
      </c>
      <c r="L337" s="5">
        <v>0</v>
      </c>
    </row>
    <row r="338" spans="1:12" x14ac:dyDescent="0.25">
      <c r="A338" s="5" t="s">
        <v>688</v>
      </c>
      <c r="B338" s="5" t="s">
        <v>28</v>
      </c>
      <c r="C338" s="7" t="s">
        <v>159</v>
      </c>
      <c r="D338" s="8">
        <v>8</v>
      </c>
      <c r="E338" s="8">
        <v>7</v>
      </c>
      <c r="F338" s="8">
        <v>52</v>
      </c>
      <c r="G338" s="5">
        <v>7.4</v>
      </c>
      <c r="H338" s="5">
        <v>0</v>
      </c>
      <c r="I338" s="6">
        <f t="shared" si="5"/>
        <v>0</v>
      </c>
      <c r="J338" s="6">
        <f>D338/(VLOOKUP(B338,'[1]2021 Team'!$B$2:$G$33,2,FALSE))</f>
        <v>1.3490725126475547E-2</v>
      </c>
      <c r="K338" s="9">
        <v>87.5</v>
      </c>
      <c r="L338" s="5">
        <v>0</v>
      </c>
    </row>
    <row r="339" spans="1:12" x14ac:dyDescent="0.25">
      <c r="A339" s="5" t="s">
        <v>2396</v>
      </c>
      <c r="B339" s="5" t="s">
        <v>58</v>
      </c>
      <c r="C339" s="7" t="s">
        <v>163</v>
      </c>
      <c r="D339" s="8">
        <v>11</v>
      </c>
      <c r="E339" s="8">
        <v>7</v>
      </c>
      <c r="F339" s="8">
        <v>95</v>
      </c>
      <c r="G339" s="5">
        <v>13.6</v>
      </c>
      <c r="H339" s="5">
        <v>3</v>
      </c>
      <c r="I339" s="6">
        <f t="shared" si="5"/>
        <v>0.42857142857142855</v>
      </c>
      <c r="J339" s="6">
        <f>D339/(VLOOKUP(B339,'[1]2021 Team'!$B$2:$G$33,2,FALSE))</f>
        <v>2.2267206477732792E-2</v>
      </c>
      <c r="K339" s="9">
        <v>63.6</v>
      </c>
      <c r="L339" s="5">
        <v>0</v>
      </c>
    </row>
    <row r="340" spans="1:12" x14ac:dyDescent="0.25">
      <c r="A340" s="5" t="s">
        <v>1678</v>
      </c>
      <c r="B340" s="5" t="s">
        <v>62</v>
      </c>
      <c r="C340" s="7" t="s">
        <v>159</v>
      </c>
      <c r="D340" s="8">
        <v>8</v>
      </c>
      <c r="E340" s="8">
        <v>7</v>
      </c>
      <c r="F340" s="8">
        <v>31</v>
      </c>
      <c r="G340" s="5">
        <v>4.4000000000000004</v>
      </c>
      <c r="H340" s="5">
        <v>0</v>
      </c>
      <c r="I340" s="6">
        <f t="shared" si="5"/>
        <v>0</v>
      </c>
      <c r="J340" s="6">
        <f>D340/(VLOOKUP(B340,'[1]2021 Team'!$B$2:$G$33,2,FALSE))</f>
        <v>1.556420233463035E-2</v>
      </c>
      <c r="K340" s="9">
        <v>87.5</v>
      </c>
      <c r="L340" s="5">
        <v>1</v>
      </c>
    </row>
    <row r="341" spans="1:12" x14ac:dyDescent="0.25">
      <c r="A341" s="5" t="s">
        <v>1790</v>
      </c>
      <c r="B341" s="5" t="s">
        <v>36</v>
      </c>
      <c r="C341" s="7" t="s">
        <v>163</v>
      </c>
      <c r="D341" s="8">
        <v>1</v>
      </c>
      <c r="E341" s="8">
        <v>0</v>
      </c>
      <c r="F341" s="8">
        <v>0</v>
      </c>
      <c r="G341" s="5"/>
      <c r="H341" s="5">
        <v>0</v>
      </c>
      <c r="I341" s="6" t="e">
        <f t="shared" si="5"/>
        <v>#DIV/0!</v>
      </c>
      <c r="J341" s="6">
        <f>D341/(VLOOKUP(B341,'[1]2021 Team'!$B$2:$G$33,2,FALSE))</f>
        <v>1.6556291390728477E-3</v>
      </c>
      <c r="K341" s="9">
        <v>0</v>
      </c>
      <c r="L341" s="5">
        <v>0</v>
      </c>
    </row>
    <row r="342" spans="1:12" x14ac:dyDescent="0.25">
      <c r="A342" s="5" t="s">
        <v>1790</v>
      </c>
      <c r="B342" s="5" t="s">
        <v>64</v>
      </c>
      <c r="C342" s="7" t="s">
        <v>163</v>
      </c>
      <c r="D342" s="8">
        <v>1</v>
      </c>
      <c r="E342" s="8">
        <v>1</v>
      </c>
      <c r="F342" s="8">
        <v>3</v>
      </c>
      <c r="G342" s="5">
        <v>3</v>
      </c>
      <c r="H342" s="5">
        <v>0</v>
      </c>
      <c r="I342" s="6">
        <f t="shared" si="5"/>
        <v>0</v>
      </c>
      <c r="J342" s="6">
        <f>D342/(VLOOKUP(B342,'[1]2021 Team'!$B$2:$G$33,2,FALSE))</f>
        <v>2.0202020202020202E-3</v>
      </c>
      <c r="K342" s="9">
        <v>100</v>
      </c>
      <c r="L342" s="5">
        <v>0</v>
      </c>
    </row>
    <row r="343" spans="1:12" x14ac:dyDescent="0.25">
      <c r="A343" s="5" t="s">
        <v>1790</v>
      </c>
      <c r="B343" s="5" t="s">
        <v>32</v>
      </c>
      <c r="C343" s="7" t="s">
        <v>163</v>
      </c>
      <c r="D343" s="8">
        <v>12</v>
      </c>
      <c r="E343" s="8">
        <v>6</v>
      </c>
      <c r="F343" s="8">
        <v>107</v>
      </c>
      <c r="G343" s="5">
        <v>17.8</v>
      </c>
      <c r="H343" s="5">
        <v>0</v>
      </c>
      <c r="I343" s="6">
        <f t="shared" si="5"/>
        <v>0</v>
      </c>
      <c r="J343" s="6">
        <f>D343/(VLOOKUP(B343,'[1]2021 Team'!$B$2:$G$33,2,FALSE))</f>
        <v>2.197802197802198E-2</v>
      </c>
      <c r="K343" s="9">
        <v>50</v>
      </c>
      <c r="L343" s="5">
        <v>0</v>
      </c>
    </row>
    <row r="344" spans="1:12" x14ac:dyDescent="0.25">
      <c r="A344" s="5" t="s">
        <v>2407</v>
      </c>
      <c r="B344" s="5" t="s">
        <v>8</v>
      </c>
      <c r="C344" s="7" t="s">
        <v>159</v>
      </c>
      <c r="D344" s="8">
        <v>7</v>
      </c>
      <c r="E344" s="8">
        <v>6</v>
      </c>
      <c r="F344" s="8">
        <v>42</v>
      </c>
      <c r="G344" s="5">
        <v>7</v>
      </c>
      <c r="H344" s="5">
        <v>0</v>
      </c>
      <c r="I344" s="6">
        <f t="shared" si="5"/>
        <v>0</v>
      </c>
      <c r="J344" s="6">
        <f>D344/(VLOOKUP(B344,'[1]2021 Team'!$B$2:$G$33,2,FALSE))</f>
        <v>1.1844331641285956E-2</v>
      </c>
      <c r="K344" s="9">
        <v>85.7</v>
      </c>
      <c r="L344" s="5">
        <v>0</v>
      </c>
    </row>
    <row r="345" spans="1:12" x14ac:dyDescent="0.25">
      <c r="A345" s="5" t="s">
        <v>2538</v>
      </c>
      <c r="B345" s="5" t="s">
        <v>64</v>
      </c>
      <c r="C345" s="7" t="s">
        <v>159</v>
      </c>
      <c r="D345" s="8">
        <v>6</v>
      </c>
      <c r="E345" s="8">
        <v>6</v>
      </c>
      <c r="F345" s="8">
        <v>29</v>
      </c>
      <c r="G345" s="5">
        <v>4.8</v>
      </c>
      <c r="H345" s="5">
        <v>0</v>
      </c>
      <c r="I345" s="6">
        <f t="shared" si="5"/>
        <v>0</v>
      </c>
      <c r="J345" s="6">
        <f>D345/(VLOOKUP(B345,'[1]2021 Team'!$B$2:$G$33,2,FALSE))</f>
        <v>1.2121212121212121E-2</v>
      </c>
      <c r="K345" s="9">
        <v>100</v>
      </c>
      <c r="L345" s="5">
        <v>1</v>
      </c>
    </row>
    <row r="346" spans="1:12" x14ac:dyDescent="0.25">
      <c r="A346" s="5" t="s">
        <v>2421</v>
      </c>
      <c r="B346" s="5" t="s">
        <v>24</v>
      </c>
      <c r="C346" s="7" t="s">
        <v>159</v>
      </c>
      <c r="D346" s="8">
        <v>7</v>
      </c>
      <c r="E346" s="8">
        <v>6</v>
      </c>
      <c r="F346" s="8">
        <v>29</v>
      </c>
      <c r="G346" s="5">
        <v>4.8</v>
      </c>
      <c r="H346" s="5">
        <v>1</v>
      </c>
      <c r="I346" s="6">
        <f t="shared" si="5"/>
        <v>0.16666666666666666</v>
      </c>
      <c r="J346" s="6">
        <f>D346/(VLOOKUP(B346,'[1]2021 Team'!$B$2:$G$33,2,FALSE))</f>
        <v>1.0819165378670788E-2</v>
      </c>
      <c r="K346" s="9">
        <v>85.7</v>
      </c>
      <c r="L346" s="5">
        <v>0</v>
      </c>
    </row>
    <row r="347" spans="1:12" x14ac:dyDescent="0.25">
      <c r="A347" s="5" t="s">
        <v>2179</v>
      </c>
      <c r="B347" s="5" t="s">
        <v>66</v>
      </c>
      <c r="C347" s="7" t="s">
        <v>163</v>
      </c>
      <c r="D347" s="8">
        <v>12</v>
      </c>
      <c r="E347" s="8">
        <v>6</v>
      </c>
      <c r="F347" s="8">
        <v>43</v>
      </c>
      <c r="G347" s="5">
        <v>7.2</v>
      </c>
      <c r="H347" s="5">
        <v>0</v>
      </c>
      <c r="I347" s="6">
        <f t="shared" si="5"/>
        <v>0</v>
      </c>
      <c r="J347" s="6">
        <f>D347/(VLOOKUP(B347,'[1]2021 Team'!$B$2:$G$33,2,FALSE))</f>
        <v>1.6415868673050615E-2</v>
      </c>
      <c r="K347" s="9">
        <v>50</v>
      </c>
      <c r="L347" s="5">
        <v>0</v>
      </c>
    </row>
    <row r="348" spans="1:12" x14ac:dyDescent="0.25">
      <c r="A348" s="5" t="s">
        <v>872</v>
      </c>
      <c r="B348" s="5" t="s">
        <v>28</v>
      </c>
      <c r="C348" s="7" t="s">
        <v>163</v>
      </c>
      <c r="D348" s="8">
        <v>10</v>
      </c>
      <c r="E348" s="8">
        <v>6</v>
      </c>
      <c r="F348" s="8">
        <v>54</v>
      </c>
      <c r="G348" s="5">
        <v>9</v>
      </c>
      <c r="H348" s="5">
        <v>0</v>
      </c>
      <c r="I348" s="6">
        <f t="shared" si="5"/>
        <v>0</v>
      </c>
      <c r="J348" s="6">
        <f>D348/(VLOOKUP(B348,'[1]2021 Team'!$B$2:$G$33,2,FALSE))</f>
        <v>1.6863406408094434E-2</v>
      </c>
      <c r="K348" s="9">
        <v>60</v>
      </c>
      <c r="L348" s="5">
        <v>0</v>
      </c>
    </row>
    <row r="349" spans="1:12" x14ac:dyDescent="0.25">
      <c r="A349" s="5" t="s">
        <v>974</v>
      </c>
      <c r="B349" s="5" t="s">
        <v>36</v>
      </c>
      <c r="C349" s="7" t="s">
        <v>153</v>
      </c>
      <c r="D349" s="8">
        <v>9</v>
      </c>
      <c r="E349" s="8">
        <v>6</v>
      </c>
      <c r="F349" s="8">
        <v>71</v>
      </c>
      <c r="G349" s="5">
        <v>11.8</v>
      </c>
      <c r="H349" s="5">
        <v>1</v>
      </c>
      <c r="I349" s="6">
        <f t="shared" si="5"/>
        <v>0.16666666666666666</v>
      </c>
      <c r="J349" s="6">
        <f>D349/(VLOOKUP(B349,'[1]2021 Team'!$B$2:$G$33,2,FALSE))</f>
        <v>1.4900662251655629E-2</v>
      </c>
      <c r="K349" s="9">
        <v>66.7</v>
      </c>
      <c r="L349" s="5">
        <v>0</v>
      </c>
    </row>
    <row r="350" spans="1:12" x14ac:dyDescent="0.25">
      <c r="A350" s="5" t="s">
        <v>2507</v>
      </c>
      <c r="B350" s="5" t="s">
        <v>42</v>
      </c>
      <c r="C350" s="7" t="s">
        <v>153</v>
      </c>
      <c r="D350" s="8">
        <v>8</v>
      </c>
      <c r="E350" s="8">
        <v>6</v>
      </c>
      <c r="F350" s="8">
        <v>45</v>
      </c>
      <c r="G350" s="5">
        <v>7.5</v>
      </c>
      <c r="H350" s="5">
        <v>0</v>
      </c>
      <c r="I350" s="6">
        <f t="shared" si="5"/>
        <v>0</v>
      </c>
      <c r="J350" s="6">
        <f>D350/(VLOOKUP(B350,'[1]2021 Team'!$B$2:$G$33,2,FALSE))</f>
        <v>1.1869436201780416E-2</v>
      </c>
      <c r="K350" s="9">
        <v>75</v>
      </c>
      <c r="L350" s="5">
        <v>0</v>
      </c>
    </row>
    <row r="351" spans="1:12" x14ac:dyDescent="0.25">
      <c r="A351" s="5" t="s">
        <v>1706</v>
      </c>
      <c r="B351" s="5" t="s">
        <v>64</v>
      </c>
      <c r="C351" s="7" t="s">
        <v>159</v>
      </c>
      <c r="D351" s="8">
        <v>8</v>
      </c>
      <c r="E351" s="8">
        <v>6</v>
      </c>
      <c r="F351" s="8">
        <v>48</v>
      </c>
      <c r="G351" s="5">
        <v>8</v>
      </c>
      <c r="H351" s="5">
        <v>0</v>
      </c>
      <c r="I351" s="6">
        <f t="shared" si="5"/>
        <v>0</v>
      </c>
      <c r="J351" s="6">
        <f>D351/(VLOOKUP(B351,'[1]2021 Team'!$B$2:$G$33,2,FALSE))</f>
        <v>1.6161616161616162E-2</v>
      </c>
      <c r="K351" s="9">
        <v>75</v>
      </c>
      <c r="L351" s="5">
        <v>0</v>
      </c>
    </row>
    <row r="352" spans="1:12" x14ac:dyDescent="0.25">
      <c r="A352" s="5" t="s">
        <v>828</v>
      </c>
      <c r="B352" s="5" t="s">
        <v>70</v>
      </c>
      <c r="C352" s="7" t="s">
        <v>163</v>
      </c>
      <c r="D352" s="8">
        <v>9</v>
      </c>
      <c r="E352" s="8">
        <v>6</v>
      </c>
      <c r="F352" s="8">
        <v>27</v>
      </c>
      <c r="G352" s="5">
        <v>4.5</v>
      </c>
      <c r="H352" s="5">
        <v>0</v>
      </c>
      <c r="I352" s="6">
        <f t="shared" si="5"/>
        <v>0</v>
      </c>
      <c r="J352" s="6">
        <f>D352/(VLOOKUP(B352,'[1]2021 Team'!$B$2:$G$33,2,FALSE))</f>
        <v>1.6363636363636365E-2</v>
      </c>
      <c r="K352" s="9">
        <v>66.7</v>
      </c>
      <c r="L352" s="5">
        <v>0</v>
      </c>
    </row>
    <row r="353" spans="1:12" x14ac:dyDescent="0.25">
      <c r="A353" s="5" t="s">
        <v>2520</v>
      </c>
      <c r="B353" s="5" t="s">
        <v>16</v>
      </c>
      <c r="C353" s="7" t="s">
        <v>163</v>
      </c>
      <c r="D353" s="8">
        <v>11</v>
      </c>
      <c r="E353" s="8">
        <v>6</v>
      </c>
      <c r="F353" s="8">
        <v>104</v>
      </c>
      <c r="G353" s="5">
        <v>17.3</v>
      </c>
      <c r="H353" s="5">
        <v>0</v>
      </c>
      <c r="I353" s="6">
        <f t="shared" si="5"/>
        <v>0</v>
      </c>
      <c r="J353" s="6">
        <f>D353/(VLOOKUP(B353,'[1]2021 Team'!$B$2:$G$33,2,FALSE))</f>
        <v>1.8363939899833055E-2</v>
      </c>
      <c r="K353" s="9">
        <v>54.5</v>
      </c>
      <c r="L353" s="5">
        <v>0</v>
      </c>
    </row>
    <row r="354" spans="1:12" x14ac:dyDescent="0.25">
      <c r="A354" s="5" t="s">
        <v>2585</v>
      </c>
      <c r="B354" s="5" t="s">
        <v>52</v>
      </c>
      <c r="C354" s="7" t="s">
        <v>163</v>
      </c>
      <c r="D354" s="8">
        <v>23</v>
      </c>
      <c r="E354" s="8">
        <v>6</v>
      </c>
      <c r="F354" s="8">
        <v>68</v>
      </c>
      <c r="G354" s="5">
        <v>11.3</v>
      </c>
      <c r="H354" s="5">
        <v>1</v>
      </c>
      <c r="I354" s="6">
        <f t="shared" si="5"/>
        <v>0.16666666666666666</v>
      </c>
      <c r="J354" s="6">
        <f>D354/(VLOOKUP(B354,'[1]2021 Team'!$B$2:$G$33,2,FALSE))</f>
        <v>4.5634920634920632E-2</v>
      </c>
      <c r="K354" s="9">
        <v>26.1</v>
      </c>
      <c r="L354" s="5">
        <v>0</v>
      </c>
    </row>
    <row r="355" spans="1:12" x14ac:dyDescent="0.25">
      <c r="A355" s="5" t="s">
        <v>2586</v>
      </c>
      <c r="B355" s="5" t="s">
        <v>46</v>
      </c>
      <c r="C355" s="7" t="s">
        <v>163</v>
      </c>
      <c r="D355" s="8">
        <v>16</v>
      </c>
      <c r="E355" s="8">
        <v>6</v>
      </c>
      <c r="F355" s="8">
        <v>71</v>
      </c>
      <c r="G355" s="5">
        <v>11.8</v>
      </c>
      <c r="H355" s="5">
        <v>0</v>
      </c>
      <c r="I355" s="6">
        <f t="shared" si="5"/>
        <v>0</v>
      </c>
      <c r="J355" s="6">
        <f>D355/(VLOOKUP(B355,'[1]2021 Team'!$B$2:$G$33,2,FALSE))</f>
        <v>2.6016260162601626E-2</v>
      </c>
      <c r="K355" s="9">
        <v>37.5</v>
      </c>
      <c r="L355" s="5">
        <v>0</v>
      </c>
    </row>
    <row r="356" spans="1:12" x14ac:dyDescent="0.25">
      <c r="A356" s="5" t="s">
        <v>2200</v>
      </c>
      <c r="B356" s="5" t="s">
        <v>32</v>
      </c>
      <c r="C356" s="7" t="s">
        <v>163</v>
      </c>
      <c r="D356" s="8">
        <v>11</v>
      </c>
      <c r="E356" s="8">
        <v>5</v>
      </c>
      <c r="F356" s="8">
        <v>23</v>
      </c>
      <c r="G356" s="5">
        <v>4.5999999999999996</v>
      </c>
      <c r="H356" s="5">
        <v>1</v>
      </c>
      <c r="I356" s="6">
        <f t="shared" si="5"/>
        <v>0.2</v>
      </c>
      <c r="J356" s="6">
        <f>D356/(VLOOKUP(B356,'[1]2021 Team'!$B$2:$G$33,2,FALSE))</f>
        <v>2.0146520146520148E-2</v>
      </c>
      <c r="K356" s="9">
        <v>45.5</v>
      </c>
      <c r="L356" s="5">
        <v>0</v>
      </c>
    </row>
    <row r="357" spans="1:12" x14ac:dyDescent="0.25">
      <c r="A357" s="5" t="s">
        <v>2200</v>
      </c>
      <c r="B357" s="5" t="s">
        <v>60</v>
      </c>
      <c r="C357" s="7" t="s">
        <v>163</v>
      </c>
      <c r="D357" s="8">
        <v>1</v>
      </c>
      <c r="E357" s="8">
        <v>1</v>
      </c>
      <c r="F357" s="8">
        <v>2</v>
      </c>
      <c r="G357" s="5">
        <v>2</v>
      </c>
      <c r="H357" s="5">
        <v>0</v>
      </c>
      <c r="I357" s="6">
        <f t="shared" si="5"/>
        <v>0</v>
      </c>
      <c r="J357" s="6">
        <f>D357/(VLOOKUP(B357,'[1]2021 Team'!$B$2:$G$33,2,FALSE))</f>
        <v>1.5060240963855422E-3</v>
      </c>
      <c r="K357" s="9">
        <v>100</v>
      </c>
      <c r="L357" s="5">
        <v>0</v>
      </c>
    </row>
    <row r="358" spans="1:12" x14ac:dyDescent="0.25">
      <c r="A358" s="5" t="s">
        <v>2591</v>
      </c>
      <c r="B358" s="5" t="s">
        <v>32</v>
      </c>
      <c r="C358" s="7" t="s">
        <v>153</v>
      </c>
      <c r="D358" s="8">
        <v>5</v>
      </c>
      <c r="E358" s="8">
        <v>5</v>
      </c>
      <c r="F358" s="8">
        <v>47</v>
      </c>
      <c r="G358" s="5">
        <v>9.4</v>
      </c>
      <c r="H358" s="5">
        <v>1</v>
      </c>
      <c r="I358" s="6">
        <f t="shared" si="5"/>
        <v>0.2</v>
      </c>
      <c r="J358" s="6">
        <f>D358/(VLOOKUP(B358,'[1]2021 Team'!$B$2:$G$33,2,FALSE))</f>
        <v>9.1575091575091579E-3</v>
      </c>
      <c r="K358" s="9">
        <v>100</v>
      </c>
      <c r="L358" s="5">
        <v>0</v>
      </c>
    </row>
    <row r="359" spans="1:12" x14ac:dyDescent="0.25">
      <c r="A359" s="5" t="s">
        <v>2614</v>
      </c>
      <c r="B359" s="5" t="s">
        <v>68</v>
      </c>
      <c r="C359" s="7" t="s">
        <v>163</v>
      </c>
      <c r="D359" s="8">
        <v>8</v>
      </c>
      <c r="E359" s="8">
        <v>5</v>
      </c>
      <c r="F359" s="8">
        <v>49</v>
      </c>
      <c r="G359" s="5">
        <v>9.8000000000000007</v>
      </c>
      <c r="H359" s="5">
        <v>1</v>
      </c>
      <c r="I359" s="6">
        <f t="shared" si="5"/>
        <v>0.2</v>
      </c>
      <c r="J359" s="6">
        <f>D359/(VLOOKUP(B359,'[1]2021 Team'!$B$2:$G$33,2,FALSE))</f>
        <v>1.4953271028037384E-2</v>
      </c>
      <c r="K359" s="9">
        <v>62.5</v>
      </c>
      <c r="L359" s="5">
        <v>0</v>
      </c>
    </row>
    <row r="360" spans="1:12" x14ac:dyDescent="0.25">
      <c r="A360" s="5" t="s">
        <v>2186</v>
      </c>
      <c r="B360" s="5" t="s">
        <v>38</v>
      </c>
      <c r="C360" s="7" t="s">
        <v>153</v>
      </c>
      <c r="D360" s="8">
        <v>5</v>
      </c>
      <c r="E360" s="8">
        <v>5</v>
      </c>
      <c r="F360" s="8">
        <v>47</v>
      </c>
      <c r="G360" s="5">
        <v>9.4</v>
      </c>
      <c r="H360" s="5">
        <v>2</v>
      </c>
      <c r="I360" s="6">
        <f t="shared" si="5"/>
        <v>0.4</v>
      </c>
      <c r="J360" s="6">
        <f>D360/(VLOOKUP(B360,'[1]2021 Team'!$B$2:$G$33,2,FALSE))</f>
        <v>7.4074074074074077E-3</v>
      </c>
      <c r="K360" s="9">
        <v>100</v>
      </c>
      <c r="L360" s="5">
        <v>0</v>
      </c>
    </row>
    <row r="361" spans="1:12" x14ac:dyDescent="0.25">
      <c r="A361" s="5" t="s">
        <v>2486</v>
      </c>
      <c r="B361" s="5" t="s">
        <v>38</v>
      </c>
      <c r="C361" s="7" t="s">
        <v>163</v>
      </c>
      <c r="D361" s="8">
        <v>14</v>
      </c>
      <c r="E361" s="8">
        <v>5</v>
      </c>
      <c r="F361" s="8">
        <v>32</v>
      </c>
      <c r="G361" s="5">
        <v>6.4</v>
      </c>
      <c r="H361" s="5">
        <v>1</v>
      </c>
      <c r="I361" s="6">
        <f t="shared" si="5"/>
        <v>0.2</v>
      </c>
      <c r="J361" s="6">
        <f>D361/(VLOOKUP(B361,'[1]2021 Team'!$B$2:$G$33,2,FALSE))</f>
        <v>2.074074074074074E-2</v>
      </c>
      <c r="K361" s="9">
        <v>35.700000000000003</v>
      </c>
      <c r="L361" s="5">
        <v>0</v>
      </c>
    </row>
    <row r="362" spans="1:12" x14ac:dyDescent="0.25">
      <c r="A362" s="5" t="s">
        <v>2440</v>
      </c>
      <c r="B362" s="5" t="s">
        <v>26</v>
      </c>
      <c r="C362" s="7" t="s">
        <v>163</v>
      </c>
      <c r="D362" s="8">
        <v>10</v>
      </c>
      <c r="E362" s="8">
        <v>5</v>
      </c>
      <c r="F362" s="8">
        <v>74</v>
      </c>
      <c r="G362" s="5">
        <v>14.8</v>
      </c>
      <c r="H362" s="5">
        <v>0</v>
      </c>
      <c r="I362" s="6">
        <f t="shared" si="5"/>
        <v>0</v>
      </c>
      <c r="J362" s="6">
        <f>D362/(VLOOKUP(B362,'[1]2021 Team'!$B$2:$G$33,2,FALSE))</f>
        <v>1.8484288354898338E-2</v>
      </c>
      <c r="K362" s="9">
        <v>50</v>
      </c>
      <c r="L362" s="5">
        <v>0</v>
      </c>
    </row>
    <row r="363" spans="1:12" x14ac:dyDescent="0.25">
      <c r="A363" s="5" t="s">
        <v>2494</v>
      </c>
      <c r="B363" s="5" t="s">
        <v>10</v>
      </c>
      <c r="C363" s="7" t="s">
        <v>2623</v>
      </c>
      <c r="D363" s="8">
        <v>6</v>
      </c>
      <c r="E363" s="8">
        <v>5</v>
      </c>
      <c r="F363" s="8">
        <v>43</v>
      </c>
      <c r="G363" s="5">
        <v>8.6</v>
      </c>
      <c r="H363" s="5">
        <v>0</v>
      </c>
      <c r="I363" s="6">
        <f t="shared" si="5"/>
        <v>0</v>
      </c>
      <c r="J363" s="6">
        <f>D363/(VLOOKUP(B363,'[1]2021 Team'!$B$2:$G$33,2,FALSE))</f>
        <v>1.0471204188481676E-2</v>
      </c>
      <c r="K363" s="9">
        <v>83.3</v>
      </c>
      <c r="L363" s="5">
        <v>0</v>
      </c>
    </row>
    <row r="364" spans="1:12" x14ac:dyDescent="0.25">
      <c r="A364" s="5" t="s">
        <v>1689</v>
      </c>
      <c r="B364" s="5" t="s">
        <v>52</v>
      </c>
      <c r="C364" s="7" t="s">
        <v>159</v>
      </c>
      <c r="D364" s="8">
        <v>8</v>
      </c>
      <c r="E364" s="8">
        <v>5</v>
      </c>
      <c r="F364" s="8">
        <v>29</v>
      </c>
      <c r="G364" s="5">
        <v>5.8</v>
      </c>
      <c r="H364" s="5">
        <v>0</v>
      </c>
      <c r="I364" s="6">
        <f t="shared" si="5"/>
        <v>0</v>
      </c>
      <c r="J364" s="6">
        <f>D364/(VLOOKUP(B364,'[1]2021 Team'!$B$2:$G$33,2,FALSE))</f>
        <v>1.5873015873015872E-2</v>
      </c>
      <c r="K364" s="9">
        <v>62.5</v>
      </c>
      <c r="L364" s="5">
        <v>0</v>
      </c>
    </row>
    <row r="365" spans="1:12" x14ac:dyDescent="0.25">
      <c r="A365" s="5" t="s">
        <v>1653</v>
      </c>
      <c r="B365" s="5" t="s">
        <v>42</v>
      </c>
      <c r="C365" s="7" t="s">
        <v>159</v>
      </c>
      <c r="D365" s="8">
        <v>6</v>
      </c>
      <c r="E365" s="8">
        <v>5</v>
      </c>
      <c r="F365" s="8">
        <v>38</v>
      </c>
      <c r="G365" s="5">
        <v>7.6</v>
      </c>
      <c r="H365" s="5">
        <v>0</v>
      </c>
      <c r="I365" s="6">
        <f t="shared" si="5"/>
        <v>0</v>
      </c>
      <c r="J365" s="6">
        <f>D365/(VLOOKUP(B365,'[1]2021 Team'!$B$2:$G$33,2,FALSE))</f>
        <v>8.9020771513353119E-3</v>
      </c>
      <c r="K365" s="9">
        <v>83.3</v>
      </c>
      <c r="L365" s="5">
        <v>1</v>
      </c>
    </row>
    <row r="366" spans="1:12" x14ac:dyDescent="0.25">
      <c r="A366" s="5" t="s">
        <v>1001</v>
      </c>
      <c r="B366" s="5" t="s">
        <v>66</v>
      </c>
      <c r="C366" s="7" t="s">
        <v>163</v>
      </c>
      <c r="D366" s="8">
        <v>9</v>
      </c>
      <c r="E366" s="8">
        <v>5</v>
      </c>
      <c r="F366" s="8">
        <v>38</v>
      </c>
      <c r="G366" s="5">
        <v>7.6</v>
      </c>
      <c r="H366" s="5">
        <v>0</v>
      </c>
      <c r="I366" s="6">
        <f t="shared" si="5"/>
        <v>0</v>
      </c>
      <c r="J366" s="6">
        <f>D366/(VLOOKUP(B366,'[1]2021 Team'!$B$2:$G$33,2,FALSE))</f>
        <v>1.2311901504787962E-2</v>
      </c>
      <c r="K366" s="9">
        <v>55.6</v>
      </c>
      <c r="L366" s="5">
        <v>0</v>
      </c>
    </row>
    <row r="367" spans="1:12" x14ac:dyDescent="0.25">
      <c r="A367" s="5" t="s">
        <v>929</v>
      </c>
      <c r="B367" s="5" t="s">
        <v>64</v>
      </c>
      <c r="C367" s="7" t="s">
        <v>153</v>
      </c>
      <c r="D367" s="8">
        <v>8</v>
      </c>
      <c r="E367" s="8">
        <v>5</v>
      </c>
      <c r="F367" s="8">
        <v>33</v>
      </c>
      <c r="G367" s="5">
        <v>6.6</v>
      </c>
      <c r="H367" s="5">
        <v>0</v>
      </c>
      <c r="I367" s="6">
        <f t="shared" si="5"/>
        <v>0</v>
      </c>
      <c r="J367" s="6">
        <f>D367/(VLOOKUP(B367,'[1]2021 Team'!$B$2:$G$33,2,FALSE))</f>
        <v>1.6161616161616162E-2</v>
      </c>
      <c r="K367" s="9">
        <v>62.5</v>
      </c>
      <c r="L367" s="5">
        <v>0</v>
      </c>
    </row>
    <row r="368" spans="1:12" x14ac:dyDescent="0.25">
      <c r="A368" s="5" t="s">
        <v>2654</v>
      </c>
      <c r="B368" s="5" t="s">
        <v>16</v>
      </c>
      <c r="C368" s="7" t="s">
        <v>159</v>
      </c>
      <c r="D368" s="8">
        <v>5</v>
      </c>
      <c r="E368" s="8">
        <v>5</v>
      </c>
      <c r="F368" s="8">
        <v>48</v>
      </c>
      <c r="G368" s="5">
        <v>9.6</v>
      </c>
      <c r="H368" s="5">
        <v>0</v>
      </c>
      <c r="I368" s="6">
        <f t="shared" si="5"/>
        <v>0</v>
      </c>
      <c r="J368" s="6">
        <f>D368/(VLOOKUP(B368,'[1]2021 Team'!$B$2:$G$33,2,FALSE))</f>
        <v>8.3472454090150246E-3</v>
      </c>
      <c r="K368" s="9">
        <v>100</v>
      </c>
      <c r="L368" s="5">
        <v>0</v>
      </c>
    </row>
    <row r="369" spans="1:12" x14ac:dyDescent="0.25">
      <c r="A369" s="5" t="s">
        <v>1713</v>
      </c>
      <c r="B369" s="5" t="s">
        <v>48</v>
      </c>
      <c r="C369" s="7" t="s">
        <v>163</v>
      </c>
      <c r="D369" s="8">
        <v>6</v>
      </c>
      <c r="E369" s="8">
        <v>5</v>
      </c>
      <c r="F369" s="8">
        <v>116</v>
      </c>
      <c r="G369" s="5">
        <v>23.2</v>
      </c>
      <c r="H369" s="5">
        <v>2</v>
      </c>
      <c r="I369" s="6">
        <f t="shared" si="5"/>
        <v>0.4</v>
      </c>
      <c r="J369" s="6">
        <f>D369/(VLOOKUP(B369,'[1]2021 Team'!$B$2:$G$33,2,FALSE))</f>
        <v>9.9337748344370865E-3</v>
      </c>
      <c r="K369" s="9">
        <v>83.3</v>
      </c>
      <c r="L369" s="5">
        <v>0</v>
      </c>
    </row>
    <row r="370" spans="1:12" x14ac:dyDescent="0.25">
      <c r="A370" s="5" t="s">
        <v>2524</v>
      </c>
      <c r="B370" s="5" t="s">
        <v>20</v>
      </c>
      <c r="C370" s="7" t="s">
        <v>163</v>
      </c>
      <c r="D370" s="8">
        <v>11</v>
      </c>
      <c r="E370" s="8">
        <v>5</v>
      </c>
      <c r="F370" s="8">
        <v>52</v>
      </c>
      <c r="G370" s="5">
        <v>10.4</v>
      </c>
      <c r="H370" s="5">
        <v>0</v>
      </c>
      <c r="I370" s="6">
        <f t="shared" si="5"/>
        <v>0</v>
      </c>
      <c r="J370" s="6">
        <f>D370/(VLOOKUP(B370,'[1]2021 Team'!$B$2:$G$33,2,FALSE))</f>
        <v>1.9819819819819819E-2</v>
      </c>
      <c r="K370" s="9">
        <v>45.5</v>
      </c>
      <c r="L370" s="5">
        <v>0</v>
      </c>
    </row>
    <row r="371" spans="1:12" x14ac:dyDescent="0.25">
      <c r="A371" s="5" t="s">
        <v>1012</v>
      </c>
      <c r="B371" s="5" t="s">
        <v>60</v>
      </c>
      <c r="C371" s="7" t="s">
        <v>163</v>
      </c>
      <c r="D371" s="8">
        <v>6</v>
      </c>
      <c r="E371" s="8">
        <v>5</v>
      </c>
      <c r="F371" s="8">
        <v>33</v>
      </c>
      <c r="G371" s="5">
        <v>6.6</v>
      </c>
      <c r="H371" s="5">
        <v>0</v>
      </c>
      <c r="I371" s="6">
        <f t="shared" si="5"/>
        <v>0</v>
      </c>
      <c r="J371" s="6">
        <f>D371/(VLOOKUP(B371,'[1]2021 Team'!$B$2:$G$33,2,FALSE))</f>
        <v>9.0361445783132526E-3</v>
      </c>
      <c r="K371" s="9">
        <v>83.3</v>
      </c>
      <c r="L371" s="5">
        <v>0</v>
      </c>
    </row>
    <row r="372" spans="1:12" x14ac:dyDescent="0.25">
      <c r="A372" s="5" t="s">
        <v>811</v>
      </c>
      <c r="B372" s="5" t="s">
        <v>62</v>
      </c>
      <c r="C372" s="7" t="s">
        <v>153</v>
      </c>
      <c r="D372" s="8">
        <v>6</v>
      </c>
      <c r="E372" s="8">
        <v>5</v>
      </c>
      <c r="F372" s="8">
        <v>52</v>
      </c>
      <c r="G372" s="5">
        <v>10.4</v>
      </c>
      <c r="H372" s="5">
        <v>0</v>
      </c>
      <c r="I372" s="6">
        <f t="shared" si="5"/>
        <v>0</v>
      </c>
      <c r="J372" s="6">
        <f>D372/(VLOOKUP(B372,'[1]2021 Team'!$B$2:$G$33,2,FALSE))</f>
        <v>1.1673151750972763E-2</v>
      </c>
      <c r="K372" s="9">
        <v>83.3</v>
      </c>
      <c r="L372" s="5">
        <v>0</v>
      </c>
    </row>
    <row r="373" spans="1:12" x14ac:dyDescent="0.25">
      <c r="A373" s="5" t="s">
        <v>2539</v>
      </c>
      <c r="B373" s="5" t="s">
        <v>12</v>
      </c>
      <c r="C373" s="7" t="s">
        <v>159</v>
      </c>
      <c r="D373" s="8">
        <v>3</v>
      </c>
      <c r="E373" s="8">
        <v>1</v>
      </c>
      <c r="F373" s="8">
        <v>-1</v>
      </c>
      <c r="G373" s="5">
        <v>-1</v>
      </c>
      <c r="H373" s="5">
        <v>0</v>
      </c>
      <c r="I373" s="6">
        <f t="shared" si="5"/>
        <v>0</v>
      </c>
      <c r="J373" s="6">
        <f>D373/(VLOOKUP(B373,'[1]2021 Team'!$B$2:$G$33,2,FALSE))</f>
        <v>4.9099836333878887E-3</v>
      </c>
      <c r="K373" s="9">
        <v>33.299999999999997</v>
      </c>
      <c r="L373" s="5">
        <v>0</v>
      </c>
    </row>
    <row r="374" spans="1:12" x14ac:dyDescent="0.25">
      <c r="A374" s="5" t="s">
        <v>2539</v>
      </c>
      <c r="B374" s="5" t="s">
        <v>66</v>
      </c>
      <c r="C374" s="7" t="s">
        <v>159</v>
      </c>
      <c r="D374" s="8">
        <v>4</v>
      </c>
      <c r="E374" s="8">
        <v>4</v>
      </c>
      <c r="F374" s="8">
        <v>31</v>
      </c>
      <c r="G374" s="5">
        <v>7.8</v>
      </c>
      <c r="H374" s="5">
        <v>1</v>
      </c>
      <c r="I374" s="6">
        <f t="shared" ref="I374:I434" si="6">H374/E374</f>
        <v>0.25</v>
      </c>
      <c r="J374" s="6">
        <f>D374/(VLOOKUP(B374,'[1]2021 Team'!$B$2:$G$33,2,FALSE))</f>
        <v>5.4719562243502051E-3</v>
      </c>
      <c r="K374" s="9">
        <v>100</v>
      </c>
      <c r="L374" s="5">
        <v>0</v>
      </c>
    </row>
    <row r="375" spans="1:12" x14ac:dyDescent="0.25">
      <c r="A375" s="5" t="s">
        <v>2595</v>
      </c>
      <c r="B375" s="5" t="s">
        <v>10</v>
      </c>
      <c r="C375" s="7" t="s">
        <v>163</v>
      </c>
      <c r="D375" s="8">
        <v>9</v>
      </c>
      <c r="E375" s="8">
        <v>4</v>
      </c>
      <c r="F375" s="8">
        <v>25</v>
      </c>
      <c r="G375" s="5">
        <v>6.3</v>
      </c>
      <c r="H375" s="5">
        <v>0</v>
      </c>
      <c r="I375" s="6">
        <f t="shared" si="6"/>
        <v>0</v>
      </c>
      <c r="J375" s="6">
        <f>D375/(VLOOKUP(B375,'[1]2021 Team'!$B$2:$G$33,2,FALSE))</f>
        <v>1.5706806282722512E-2</v>
      </c>
      <c r="K375" s="9">
        <v>44.4</v>
      </c>
      <c r="L375" s="5">
        <v>0</v>
      </c>
    </row>
    <row r="376" spans="1:12" x14ac:dyDescent="0.25">
      <c r="A376" s="5" t="s">
        <v>2465</v>
      </c>
      <c r="B376" s="5" t="s">
        <v>44</v>
      </c>
      <c r="C376" s="7" t="s">
        <v>153</v>
      </c>
      <c r="D376" s="8">
        <v>7</v>
      </c>
      <c r="E376" s="8">
        <v>4</v>
      </c>
      <c r="F376" s="8">
        <v>37</v>
      </c>
      <c r="G376" s="5">
        <v>9.3000000000000007</v>
      </c>
      <c r="H376" s="5">
        <v>0</v>
      </c>
      <c r="I376" s="6">
        <f t="shared" si="6"/>
        <v>0</v>
      </c>
      <c r="J376" s="6">
        <f>D376/(VLOOKUP(B376,'[1]2021 Team'!$B$2:$G$33,2,FALSE))</f>
        <v>1.1532125205930808E-2</v>
      </c>
      <c r="K376" s="9">
        <v>57.1</v>
      </c>
      <c r="L376" s="5">
        <v>1</v>
      </c>
    </row>
    <row r="377" spans="1:12" x14ac:dyDescent="0.25">
      <c r="A377" s="5" t="s">
        <v>2466</v>
      </c>
      <c r="B377" s="5" t="s">
        <v>54</v>
      </c>
      <c r="C377" s="7" t="s">
        <v>163</v>
      </c>
      <c r="D377" s="8">
        <v>6</v>
      </c>
      <c r="E377" s="8">
        <v>4</v>
      </c>
      <c r="F377" s="8">
        <v>51</v>
      </c>
      <c r="G377" s="5">
        <v>12.8</v>
      </c>
      <c r="H377" s="5">
        <v>0</v>
      </c>
      <c r="I377" s="6">
        <f t="shared" si="6"/>
        <v>0</v>
      </c>
      <c r="J377" s="6">
        <f>D377/(VLOOKUP(B377,'[1]2021 Team'!$B$2:$G$33,2,FALSE))</f>
        <v>1.0118043844856661E-2</v>
      </c>
      <c r="K377" s="9">
        <v>66.7</v>
      </c>
      <c r="L377" s="5">
        <v>0</v>
      </c>
    </row>
    <row r="378" spans="1:12" x14ac:dyDescent="0.25">
      <c r="A378" s="5" t="s">
        <v>2598</v>
      </c>
      <c r="B378" s="5" t="s">
        <v>22</v>
      </c>
      <c r="C378" s="7" t="s">
        <v>163</v>
      </c>
      <c r="D378" s="8">
        <v>4</v>
      </c>
      <c r="E378" s="8">
        <v>4</v>
      </c>
      <c r="F378" s="8">
        <v>64</v>
      </c>
      <c r="G378" s="5">
        <v>16</v>
      </c>
      <c r="H378" s="5">
        <v>0</v>
      </c>
      <c r="I378" s="6">
        <f t="shared" si="6"/>
        <v>0</v>
      </c>
      <c r="J378" s="6">
        <f>D378/(VLOOKUP(B378,'[1]2021 Team'!$B$2:$G$33,2,FALSE))</f>
        <v>7.6923076923076927E-3</v>
      </c>
      <c r="K378" s="9">
        <v>100</v>
      </c>
      <c r="L378" s="5">
        <v>0</v>
      </c>
    </row>
    <row r="379" spans="1:12" x14ac:dyDescent="0.25">
      <c r="A379" s="5" t="s">
        <v>1743</v>
      </c>
      <c r="B379" s="5" t="s">
        <v>28</v>
      </c>
      <c r="C379" s="7" t="s">
        <v>186</v>
      </c>
      <c r="D379" s="8">
        <v>7</v>
      </c>
      <c r="E379" s="8">
        <v>4</v>
      </c>
      <c r="F379" s="8">
        <v>16</v>
      </c>
      <c r="G379" s="5">
        <v>4</v>
      </c>
      <c r="H379" s="5">
        <v>1</v>
      </c>
      <c r="I379" s="6">
        <f t="shared" si="6"/>
        <v>0.25</v>
      </c>
      <c r="J379" s="6">
        <f>D379/(VLOOKUP(B379,'[1]2021 Team'!$B$2:$G$33,2,FALSE))</f>
        <v>1.1804384485666104E-2</v>
      </c>
      <c r="K379" s="9">
        <v>57.1</v>
      </c>
      <c r="L379" s="5">
        <v>0</v>
      </c>
    </row>
    <row r="380" spans="1:12" x14ac:dyDescent="0.25">
      <c r="A380" s="5" t="s">
        <v>2434</v>
      </c>
      <c r="B380" s="5" t="s">
        <v>54</v>
      </c>
      <c r="C380" s="7" t="s">
        <v>163</v>
      </c>
      <c r="D380" s="8">
        <v>11</v>
      </c>
      <c r="E380" s="8">
        <v>4</v>
      </c>
      <c r="F380" s="8">
        <v>33</v>
      </c>
      <c r="G380" s="5">
        <v>8.3000000000000007</v>
      </c>
      <c r="H380" s="5">
        <v>0</v>
      </c>
      <c r="I380" s="6">
        <f t="shared" si="6"/>
        <v>0</v>
      </c>
      <c r="J380" s="6">
        <f>D380/(VLOOKUP(B380,'[1]2021 Team'!$B$2:$G$33,2,FALSE))</f>
        <v>1.8549747048903879E-2</v>
      </c>
      <c r="K380" s="9">
        <v>36.4</v>
      </c>
      <c r="L380" s="5">
        <v>0</v>
      </c>
    </row>
    <row r="381" spans="1:12" x14ac:dyDescent="0.25">
      <c r="A381" s="5" t="s">
        <v>2477</v>
      </c>
      <c r="B381" s="5" t="s">
        <v>30</v>
      </c>
      <c r="C381" s="7" t="s">
        <v>153</v>
      </c>
      <c r="D381" s="8">
        <v>5</v>
      </c>
      <c r="E381" s="8">
        <v>4</v>
      </c>
      <c r="F381" s="8">
        <v>35</v>
      </c>
      <c r="G381" s="5">
        <v>8.8000000000000007</v>
      </c>
      <c r="H381" s="5">
        <v>0</v>
      </c>
      <c r="I381" s="6">
        <f t="shared" si="6"/>
        <v>0</v>
      </c>
      <c r="J381" s="6">
        <f>D381/(VLOOKUP(B381,'[1]2021 Team'!$B$2:$G$33,2,FALSE))</f>
        <v>8.4317032040472171E-3</v>
      </c>
      <c r="K381" s="9">
        <v>80</v>
      </c>
      <c r="L381" s="5">
        <v>0</v>
      </c>
    </row>
    <row r="382" spans="1:12" x14ac:dyDescent="0.25">
      <c r="A382" s="5" t="s">
        <v>870</v>
      </c>
      <c r="B382" s="5" t="s">
        <v>62</v>
      </c>
      <c r="C382" s="7" t="s">
        <v>153</v>
      </c>
      <c r="D382" s="8">
        <v>5</v>
      </c>
      <c r="E382" s="8">
        <v>4</v>
      </c>
      <c r="F382" s="8">
        <v>51</v>
      </c>
      <c r="G382" s="5">
        <v>12.8</v>
      </c>
      <c r="H382" s="5">
        <v>1</v>
      </c>
      <c r="I382" s="6">
        <f t="shared" si="6"/>
        <v>0.25</v>
      </c>
      <c r="J382" s="6">
        <f>D382/(VLOOKUP(B382,'[1]2021 Team'!$B$2:$G$33,2,FALSE))</f>
        <v>9.727626459143969E-3</v>
      </c>
      <c r="K382" s="9">
        <v>80</v>
      </c>
      <c r="L382" s="5">
        <v>0</v>
      </c>
    </row>
    <row r="383" spans="1:12" x14ac:dyDescent="0.25">
      <c r="A383" s="5" t="s">
        <v>2613</v>
      </c>
      <c r="B383" s="5" t="s">
        <v>28</v>
      </c>
      <c r="C383" s="7" t="s">
        <v>153</v>
      </c>
      <c r="D383" s="8">
        <v>5</v>
      </c>
      <c r="E383" s="8">
        <v>4</v>
      </c>
      <c r="F383" s="8">
        <v>43</v>
      </c>
      <c r="G383" s="5">
        <v>10.8</v>
      </c>
      <c r="H383" s="5">
        <v>0</v>
      </c>
      <c r="I383" s="6">
        <f t="shared" si="6"/>
        <v>0</v>
      </c>
      <c r="J383" s="6">
        <f>D383/(VLOOKUP(B383,'[1]2021 Team'!$B$2:$G$33,2,FALSE))</f>
        <v>8.4317032040472171E-3</v>
      </c>
      <c r="K383" s="9">
        <v>80</v>
      </c>
      <c r="L383" s="5">
        <v>0</v>
      </c>
    </row>
    <row r="384" spans="1:12" x14ac:dyDescent="0.25">
      <c r="A384" s="5" t="s">
        <v>2616</v>
      </c>
      <c r="B384" s="5" t="s">
        <v>46</v>
      </c>
      <c r="C384" s="7" t="s">
        <v>163</v>
      </c>
      <c r="D384" s="8">
        <v>8</v>
      </c>
      <c r="E384" s="8">
        <v>4</v>
      </c>
      <c r="F384" s="8">
        <v>26</v>
      </c>
      <c r="G384" s="5">
        <v>6.5</v>
      </c>
      <c r="H384" s="5">
        <v>0</v>
      </c>
      <c r="I384" s="6">
        <f t="shared" si="6"/>
        <v>0</v>
      </c>
      <c r="J384" s="6">
        <f>D384/(VLOOKUP(B384,'[1]2021 Team'!$B$2:$G$33,2,FALSE))</f>
        <v>1.3008130081300813E-2</v>
      </c>
      <c r="K384" s="9">
        <v>50</v>
      </c>
      <c r="L384" s="5">
        <v>0</v>
      </c>
    </row>
    <row r="385" spans="1:12" x14ac:dyDescent="0.25">
      <c r="A385" s="5" t="s">
        <v>2617</v>
      </c>
      <c r="B385" s="5" t="s">
        <v>52</v>
      </c>
      <c r="C385" s="7" t="s">
        <v>153</v>
      </c>
      <c r="D385" s="8">
        <v>4</v>
      </c>
      <c r="E385" s="8">
        <v>4</v>
      </c>
      <c r="F385" s="8">
        <v>39</v>
      </c>
      <c r="G385" s="5">
        <v>9.8000000000000007</v>
      </c>
      <c r="H385" s="5">
        <v>0</v>
      </c>
      <c r="I385" s="6">
        <f t="shared" si="6"/>
        <v>0</v>
      </c>
      <c r="J385" s="6">
        <f>D385/(VLOOKUP(B385,'[1]2021 Team'!$B$2:$G$33,2,FALSE))</f>
        <v>7.9365079365079361E-3</v>
      </c>
      <c r="K385" s="9">
        <v>100</v>
      </c>
      <c r="L385" s="5">
        <v>1</v>
      </c>
    </row>
    <row r="386" spans="1:12" x14ac:dyDescent="0.25">
      <c r="A386" s="5" t="s">
        <v>2622</v>
      </c>
      <c r="B386" s="5" t="s">
        <v>48</v>
      </c>
      <c r="C386" s="7" t="s">
        <v>613</v>
      </c>
      <c r="D386" s="8">
        <v>7</v>
      </c>
      <c r="E386" s="8">
        <v>4</v>
      </c>
      <c r="F386" s="8">
        <v>40</v>
      </c>
      <c r="G386" s="5">
        <v>10</v>
      </c>
      <c r="H386" s="5">
        <v>1</v>
      </c>
      <c r="I386" s="6">
        <f t="shared" si="6"/>
        <v>0.25</v>
      </c>
      <c r="J386" s="6">
        <f>D386/(VLOOKUP(B386,'[1]2021 Team'!$B$2:$G$33,2,FALSE))</f>
        <v>1.1589403973509934E-2</v>
      </c>
      <c r="K386" s="9">
        <v>57.1</v>
      </c>
      <c r="L386" s="5">
        <v>0</v>
      </c>
    </row>
    <row r="387" spans="1:12" x14ac:dyDescent="0.25">
      <c r="A387" s="5" t="s">
        <v>152</v>
      </c>
      <c r="B387" s="5" t="s">
        <v>52</v>
      </c>
      <c r="C387" s="7" t="s">
        <v>2384</v>
      </c>
      <c r="D387" s="8">
        <v>6</v>
      </c>
      <c r="E387" s="8">
        <v>4</v>
      </c>
      <c r="F387" s="8">
        <v>52</v>
      </c>
      <c r="G387" s="5">
        <v>13</v>
      </c>
      <c r="H387" s="5">
        <v>0</v>
      </c>
      <c r="I387" s="6">
        <f t="shared" si="6"/>
        <v>0</v>
      </c>
      <c r="J387" s="6">
        <f>D387/(VLOOKUP(B387,'[1]2021 Team'!$B$2:$G$33,2,FALSE))</f>
        <v>1.1904761904761904E-2</v>
      </c>
      <c r="K387" s="9">
        <v>66.7</v>
      </c>
      <c r="L387" s="5">
        <v>2</v>
      </c>
    </row>
    <row r="388" spans="1:12" x14ac:dyDescent="0.25">
      <c r="A388" s="5" t="s">
        <v>2626</v>
      </c>
      <c r="B388" s="5" t="s">
        <v>52</v>
      </c>
      <c r="C388" s="7" t="s">
        <v>163</v>
      </c>
      <c r="D388" s="8">
        <v>8</v>
      </c>
      <c r="E388" s="8">
        <v>4</v>
      </c>
      <c r="F388" s="8">
        <v>41</v>
      </c>
      <c r="G388" s="5">
        <v>10.3</v>
      </c>
      <c r="H388" s="5">
        <v>1</v>
      </c>
      <c r="I388" s="6">
        <f t="shared" si="6"/>
        <v>0.25</v>
      </c>
      <c r="J388" s="6">
        <f>D388/(VLOOKUP(B388,'[1]2021 Team'!$B$2:$G$33,2,FALSE))</f>
        <v>1.5873015873015872E-2</v>
      </c>
      <c r="K388" s="9">
        <v>50</v>
      </c>
      <c r="L388" s="5">
        <v>0</v>
      </c>
    </row>
    <row r="389" spans="1:12" x14ac:dyDescent="0.25">
      <c r="A389" s="5" t="s">
        <v>2496</v>
      </c>
      <c r="B389" s="5" t="s">
        <v>68</v>
      </c>
      <c r="C389" s="7" t="s">
        <v>163</v>
      </c>
      <c r="D389" s="8">
        <v>7</v>
      </c>
      <c r="E389" s="8">
        <v>4</v>
      </c>
      <c r="F389" s="8">
        <v>33</v>
      </c>
      <c r="G389" s="5">
        <v>8.3000000000000007</v>
      </c>
      <c r="H389" s="5">
        <v>0</v>
      </c>
      <c r="I389" s="6">
        <f t="shared" si="6"/>
        <v>0</v>
      </c>
      <c r="J389" s="6">
        <f>D389/(VLOOKUP(B389,'[1]2021 Team'!$B$2:$G$33,2,FALSE))</f>
        <v>1.3084112149532711E-2</v>
      </c>
      <c r="K389" s="9">
        <v>57.1</v>
      </c>
      <c r="L389" s="5">
        <v>0</v>
      </c>
    </row>
    <row r="390" spans="1:12" x14ac:dyDescent="0.25">
      <c r="A390" s="5" t="s">
        <v>2144</v>
      </c>
      <c r="B390" s="5" t="s">
        <v>28</v>
      </c>
      <c r="C390" s="7" t="s">
        <v>159</v>
      </c>
      <c r="D390" s="8">
        <v>5</v>
      </c>
      <c r="E390" s="8">
        <v>4</v>
      </c>
      <c r="F390" s="8">
        <v>23</v>
      </c>
      <c r="G390" s="5">
        <v>5.8</v>
      </c>
      <c r="H390" s="5">
        <v>0</v>
      </c>
      <c r="I390" s="6">
        <f t="shared" si="6"/>
        <v>0</v>
      </c>
      <c r="J390" s="6">
        <f>D390/(VLOOKUP(B390,'[1]2021 Team'!$B$2:$G$33,2,FALSE))</f>
        <v>8.4317032040472171E-3</v>
      </c>
      <c r="K390" s="9">
        <v>80</v>
      </c>
      <c r="L390" s="5">
        <v>0</v>
      </c>
    </row>
    <row r="391" spans="1:12" x14ac:dyDescent="0.25">
      <c r="A391" s="5" t="s">
        <v>2441</v>
      </c>
      <c r="B391" s="5" t="s">
        <v>46</v>
      </c>
      <c r="C391" s="7" t="s">
        <v>159</v>
      </c>
      <c r="D391" s="8">
        <v>5</v>
      </c>
      <c r="E391" s="8">
        <v>4</v>
      </c>
      <c r="F391" s="8">
        <v>41</v>
      </c>
      <c r="G391" s="5">
        <v>10.3</v>
      </c>
      <c r="H391" s="5">
        <v>0</v>
      </c>
      <c r="I391" s="6">
        <f t="shared" si="6"/>
        <v>0</v>
      </c>
      <c r="J391" s="6">
        <f>D391/(VLOOKUP(B391,'[1]2021 Team'!$B$2:$G$33,2,FALSE))</f>
        <v>8.130081300813009E-3</v>
      </c>
      <c r="K391" s="9">
        <v>80</v>
      </c>
      <c r="L391" s="5">
        <v>0</v>
      </c>
    </row>
    <row r="392" spans="1:12" x14ac:dyDescent="0.25">
      <c r="A392" s="5" t="s">
        <v>1813</v>
      </c>
      <c r="B392" s="5" t="s">
        <v>50</v>
      </c>
      <c r="C392" s="7" t="s">
        <v>613</v>
      </c>
      <c r="D392" s="8">
        <v>5</v>
      </c>
      <c r="E392" s="8">
        <v>4</v>
      </c>
      <c r="F392" s="8">
        <v>43</v>
      </c>
      <c r="G392" s="5">
        <v>10.8</v>
      </c>
      <c r="H392" s="5">
        <v>0</v>
      </c>
      <c r="I392" s="6">
        <f t="shared" si="6"/>
        <v>0</v>
      </c>
      <c r="J392" s="6">
        <f>D392/(VLOOKUP(B392,'[1]2021 Team'!$B$2:$G$33,2,FALSE))</f>
        <v>9.3457943925233638E-3</v>
      </c>
      <c r="K392" s="9">
        <v>80</v>
      </c>
      <c r="L392" s="5">
        <v>0</v>
      </c>
    </row>
    <row r="393" spans="1:12" x14ac:dyDescent="0.25">
      <c r="A393" s="5" t="s">
        <v>1823</v>
      </c>
      <c r="B393" s="5" t="s">
        <v>24</v>
      </c>
      <c r="C393" s="7" t="s">
        <v>153</v>
      </c>
      <c r="D393" s="8">
        <v>6</v>
      </c>
      <c r="E393" s="8">
        <v>4</v>
      </c>
      <c r="F393" s="8">
        <v>27</v>
      </c>
      <c r="G393" s="5">
        <v>6.8</v>
      </c>
      <c r="H393" s="5">
        <v>1</v>
      </c>
      <c r="I393" s="6">
        <f t="shared" si="6"/>
        <v>0.25</v>
      </c>
      <c r="J393" s="6">
        <f>D393/(VLOOKUP(B393,'[1]2021 Team'!$B$2:$G$33,2,FALSE))</f>
        <v>9.2735703245749607E-3</v>
      </c>
      <c r="K393" s="9">
        <v>66.7</v>
      </c>
      <c r="L393" s="5">
        <v>0</v>
      </c>
    </row>
    <row r="394" spans="1:12" x14ac:dyDescent="0.25">
      <c r="A394" s="5" t="s">
        <v>561</v>
      </c>
      <c r="B394" s="5" t="s">
        <v>48</v>
      </c>
      <c r="C394" s="7" t="s">
        <v>159</v>
      </c>
      <c r="D394" s="8">
        <v>5</v>
      </c>
      <c r="E394" s="8">
        <v>4</v>
      </c>
      <c r="F394" s="8">
        <v>9</v>
      </c>
      <c r="G394" s="5">
        <v>2.2999999999999998</v>
      </c>
      <c r="H394" s="5">
        <v>0</v>
      </c>
      <c r="I394" s="6">
        <f t="shared" si="6"/>
        <v>0</v>
      </c>
      <c r="J394" s="6">
        <f>D394/(VLOOKUP(B394,'[1]2021 Team'!$B$2:$G$33,2,FALSE))</f>
        <v>8.2781456953642391E-3</v>
      </c>
      <c r="K394" s="9">
        <v>80</v>
      </c>
      <c r="L394" s="5">
        <v>0</v>
      </c>
    </row>
    <row r="395" spans="1:12" x14ac:dyDescent="0.25">
      <c r="A395" s="5" t="s">
        <v>2544</v>
      </c>
      <c r="B395" s="5" t="s">
        <v>10</v>
      </c>
      <c r="C395" s="7" t="s">
        <v>159</v>
      </c>
      <c r="D395" s="8">
        <v>6</v>
      </c>
      <c r="E395" s="8">
        <v>4</v>
      </c>
      <c r="F395" s="8">
        <v>12</v>
      </c>
      <c r="G395" s="5">
        <v>3</v>
      </c>
      <c r="H395" s="5">
        <v>0</v>
      </c>
      <c r="I395" s="6">
        <f t="shared" si="6"/>
        <v>0</v>
      </c>
      <c r="J395" s="6">
        <f>D395/(VLOOKUP(B395,'[1]2021 Team'!$B$2:$G$33,2,FALSE))</f>
        <v>1.0471204188481676E-2</v>
      </c>
      <c r="K395" s="9">
        <v>66.7</v>
      </c>
      <c r="L395" s="5">
        <v>1</v>
      </c>
    </row>
    <row r="396" spans="1:12" x14ac:dyDescent="0.25">
      <c r="A396" s="5" t="s">
        <v>2540</v>
      </c>
      <c r="B396" s="5" t="s">
        <v>68</v>
      </c>
      <c r="C396" s="7" t="s">
        <v>159</v>
      </c>
      <c r="D396" s="8">
        <v>4</v>
      </c>
      <c r="E396" s="8">
        <v>4</v>
      </c>
      <c r="F396" s="8">
        <v>8</v>
      </c>
      <c r="G396" s="5">
        <v>2</v>
      </c>
      <c r="H396" s="5">
        <v>0</v>
      </c>
      <c r="I396" s="6">
        <f t="shared" si="6"/>
        <v>0</v>
      </c>
      <c r="J396" s="6">
        <f>D396/(VLOOKUP(B396,'[1]2021 Team'!$B$2:$G$33,2,FALSE))</f>
        <v>7.4766355140186919E-3</v>
      </c>
      <c r="K396" s="9">
        <v>100</v>
      </c>
      <c r="L396" s="5">
        <v>0</v>
      </c>
    </row>
    <row r="397" spans="1:12" x14ac:dyDescent="0.25">
      <c r="A397" s="5" t="s">
        <v>2540</v>
      </c>
      <c r="B397" s="5" t="s">
        <v>64</v>
      </c>
      <c r="C397" s="7" t="s">
        <v>159</v>
      </c>
      <c r="D397" s="8">
        <v>0</v>
      </c>
      <c r="E397" s="8">
        <v>0</v>
      </c>
      <c r="F397" s="8">
        <v>0</v>
      </c>
      <c r="G397" s="5"/>
      <c r="H397" s="5">
        <v>0</v>
      </c>
      <c r="I397" s="6" t="e">
        <f t="shared" si="6"/>
        <v>#DIV/0!</v>
      </c>
      <c r="J397" s="6">
        <f>D397/(VLOOKUP(B397,'[1]2021 Team'!$B$2:$G$33,2,FALSE))</f>
        <v>0</v>
      </c>
      <c r="K397" s="9"/>
      <c r="L397" s="5">
        <v>1</v>
      </c>
    </row>
    <row r="398" spans="1:12" x14ac:dyDescent="0.25">
      <c r="A398" s="5" t="s">
        <v>1839</v>
      </c>
      <c r="B398" s="5" t="s">
        <v>30</v>
      </c>
      <c r="C398" s="7" t="s">
        <v>163</v>
      </c>
      <c r="D398" s="8">
        <v>8</v>
      </c>
      <c r="E398" s="8">
        <v>4</v>
      </c>
      <c r="F398" s="8">
        <v>45</v>
      </c>
      <c r="G398" s="5">
        <v>11.3</v>
      </c>
      <c r="H398" s="5">
        <v>0</v>
      </c>
      <c r="I398" s="6">
        <f t="shared" si="6"/>
        <v>0</v>
      </c>
      <c r="J398" s="6">
        <f>D398/(VLOOKUP(B398,'[1]2021 Team'!$B$2:$G$33,2,FALSE))</f>
        <v>1.3490725126475547E-2</v>
      </c>
      <c r="K398" s="9">
        <v>50</v>
      </c>
      <c r="L398" s="5">
        <v>2</v>
      </c>
    </row>
    <row r="399" spans="1:12" x14ac:dyDescent="0.25">
      <c r="A399" s="5" t="s">
        <v>2554</v>
      </c>
      <c r="B399" s="5" t="s">
        <v>70</v>
      </c>
      <c r="C399" s="7" t="s">
        <v>159</v>
      </c>
      <c r="D399" s="8">
        <v>5</v>
      </c>
      <c r="E399" s="8">
        <v>4</v>
      </c>
      <c r="F399" s="8">
        <v>22</v>
      </c>
      <c r="G399" s="5">
        <v>5.5</v>
      </c>
      <c r="H399" s="5">
        <v>0</v>
      </c>
      <c r="I399" s="6">
        <f t="shared" si="6"/>
        <v>0</v>
      </c>
      <c r="J399" s="6">
        <f>D399/(VLOOKUP(B399,'[1]2021 Team'!$B$2:$G$33,2,FALSE))</f>
        <v>9.0909090909090905E-3</v>
      </c>
      <c r="K399" s="9">
        <v>80</v>
      </c>
      <c r="L399" s="5">
        <v>0</v>
      </c>
    </row>
    <row r="400" spans="1:12" x14ac:dyDescent="0.25">
      <c r="A400" s="5" t="s">
        <v>960</v>
      </c>
      <c r="B400" s="5" t="s">
        <v>58</v>
      </c>
      <c r="C400" s="7" t="s">
        <v>153</v>
      </c>
      <c r="D400" s="8">
        <v>5</v>
      </c>
      <c r="E400" s="8">
        <v>4</v>
      </c>
      <c r="F400" s="8">
        <v>22</v>
      </c>
      <c r="G400" s="5">
        <v>5.5</v>
      </c>
      <c r="H400" s="5">
        <v>0</v>
      </c>
      <c r="I400" s="6">
        <f t="shared" si="6"/>
        <v>0</v>
      </c>
      <c r="J400" s="6">
        <f>D400/(VLOOKUP(B400,'[1]2021 Team'!$B$2:$G$33,2,FALSE))</f>
        <v>1.0121457489878543E-2</v>
      </c>
      <c r="K400" s="9">
        <v>80</v>
      </c>
      <c r="L400" s="5">
        <v>0</v>
      </c>
    </row>
    <row r="401" spans="1:12" x14ac:dyDescent="0.25">
      <c r="A401" s="5" t="s">
        <v>2141</v>
      </c>
      <c r="B401" s="5" t="s">
        <v>50</v>
      </c>
      <c r="C401" s="7" t="s">
        <v>159</v>
      </c>
      <c r="D401" s="8">
        <v>4</v>
      </c>
      <c r="E401" s="8">
        <v>4</v>
      </c>
      <c r="F401" s="8">
        <v>8</v>
      </c>
      <c r="G401" s="5">
        <v>2</v>
      </c>
      <c r="H401" s="5">
        <v>0</v>
      </c>
      <c r="I401" s="6">
        <f t="shared" si="6"/>
        <v>0</v>
      </c>
      <c r="J401" s="6">
        <f>D401/(VLOOKUP(B401,'[1]2021 Team'!$B$2:$G$33,2,FALSE))</f>
        <v>7.4766355140186919E-3</v>
      </c>
      <c r="K401" s="9">
        <v>100</v>
      </c>
      <c r="L401" s="5">
        <v>1</v>
      </c>
    </row>
    <row r="402" spans="1:12" x14ac:dyDescent="0.25">
      <c r="A402" s="5" t="s">
        <v>1690</v>
      </c>
      <c r="B402" s="5" t="s">
        <v>66</v>
      </c>
      <c r="C402" s="7" t="s">
        <v>159</v>
      </c>
      <c r="D402" s="8">
        <v>8</v>
      </c>
      <c r="E402" s="8">
        <v>4</v>
      </c>
      <c r="F402" s="8">
        <v>26</v>
      </c>
      <c r="G402" s="5">
        <v>6.5</v>
      </c>
      <c r="H402" s="5">
        <v>0</v>
      </c>
      <c r="I402" s="6">
        <f t="shared" si="6"/>
        <v>0</v>
      </c>
      <c r="J402" s="6">
        <f>D402/(VLOOKUP(B402,'[1]2021 Team'!$B$2:$G$33,2,FALSE))</f>
        <v>1.094391244870041E-2</v>
      </c>
      <c r="K402" s="9">
        <v>50</v>
      </c>
      <c r="L402" s="5">
        <v>0</v>
      </c>
    </row>
    <row r="403" spans="1:12" x14ac:dyDescent="0.25">
      <c r="A403" s="5" t="s">
        <v>2214</v>
      </c>
      <c r="B403" s="5" t="s">
        <v>50</v>
      </c>
      <c r="C403" s="7" t="s">
        <v>163</v>
      </c>
      <c r="D403" s="8">
        <v>8</v>
      </c>
      <c r="E403" s="8">
        <v>4</v>
      </c>
      <c r="F403" s="8">
        <v>42</v>
      </c>
      <c r="G403" s="5">
        <v>10.5</v>
      </c>
      <c r="H403" s="5">
        <v>2</v>
      </c>
      <c r="I403" s="6">
        <f t="shared" si="6"/>
        <v>0.5</v>
      </c>
      <c r="J403" s="6">
        <f>D403/(VLOOKUP(B403,'[1]2021 Team'!$B$2:$G$33,2,FALSE))</f>
        <v>1.4953271028037384E-2</v>
      </c>
      <c r="K403" s="9">
        <v>50</v>
      </c>
      <c r="L403" s="5">
        <v>0</v>
      </c>
    </row>
    <row r="404" spans="1:12" x14ac:dyDescent="0.25">
      <c r="A404" s="5" t="s">
        <v>1766</v>
      </c>
      <c r="B404" s="5" t="s">
        <v>70</v>
      </c>
      <c r="C404" s="7" t="s">
        <v>159</v>
      </c>
      <c r="D404" s="8">
        <v>6</v>
      </c>
      <c r="E404" s="8">
        <v>4</v>
      </c>
      <c r="F404" s="8">
        <v>28</v>
      </c>
      <c r="G404" s="5">
        <v>7</v>
      </c>
      <c r="H404" s="5">
        <v>0</v>
      </c>
      <c r="I404" s="6">
        <f t="shared" si="6"/>
        <v>0</v>
      </c>
      <c r="J404" s="6">
        <f>D404/(VLOOKUP(B404,'[1]2021 Team'!$B$2:$G$33,2,FALSE))</f>
        <v>1.090909090909091E-2</v>
      </c>
      <c r="K404" s="9">
        <v>66.7</v>
      </c>
      <c r="L404" s="5">
        <v>0</v>
      </c>
    </row>
    <row r="405" spans="1:12" x14ac:dyDescent="0.25">
      <c r="A405" s="5" t="s">
        <v>2422</v>
      </c>
      <c r="B405" s="5" t="s">
        <v>32</v>
      </c>
      <c r="C405" s="7" t="s">
        <v>159</v>
      </c>
      <c r="D405" s="8">
        <v>4</v>
      </c>
      <c r="E405" s="8">
        <v>3</v>
      </c>
      <c r="F405" s="8">
        <v>37</v>
      </c>
      <c r="G405" s="5">
        <v>12.3</v>
      </c>
      <c r="H405" s="5">
        <v>1</v>
      </c>
      <c r="I405" s="6">
        <f t="shared" si="6"/>
        <v>0.33333333333333331</v>
      </c>
      <c r="J405" s="6">
        <f>D405/(VLOOKUP(B405,'[1]2021 Team'!$B$2:$G$33,2,FALSE))</f>
        <v>7.326007326007326E-3</v>
      </c>
      <c r="K405" s="9">
        <v>75</v>
      </c>
      <c r="L405" s="5">
        <v>0</v>
      </c>
    </row>
    <row r="406" spans="1:12" x14ac:dyDescent="0.25">
      <c r="A406" s="5" t="s">
        <v>2422</v>
      </c>
      <c r="B406" s="5" t="s">
        <v>46</v>
      </c>
      <c r="C406" s="7" t="s">
        <v>159</v>
      </c>
      <c r="D406" s="8">
        <v>1</v>
      </c>
      <c r="E406" s="8">
        <v>1</v>
      </c>
      <c r="F406" s="8">
        <v>8</v>
      </c>
      <c r="G406" s="5">
        <v>8</v>
      </c>
      <c r="H406" s="5">
        <v>0</v>
      </c>
      <c r="I406" s="6">
        <f t="shared" si="6"/>
        <v>0</v>
      </c>
      <c r="J406" s="6">
        <f>D406/(VLOOKUP(B406,'[1]2021 Team'!$B$2:$G$33,2,FALSE))</f>
        <v>1.6260162601626016E-3</v>
      </c>
      <c r="K406" s="9">
        <v>100</v>
      </c>
      <c r="L406" s="5">
        <v>0</v>
      </c>
    </row>
    <row r="407" spans="1:12" x14ac:dyDescent="0.25">
      <c r="A407" s="5" t="s">
        <v>1846</v>
      </c>
      <c r="B407" s="5" t="s">
        <v>40</v>
      </c>
      <c r="C407" s="7" t="s">
        <v>163</v>
      </c>
      <c r="D407" s="8">
        <v>5</v>
      </c>
      <c r="E407" s="8">
        <v>3</v>
      </c>
      <c r="F407" s="8">
        <v>32</v>
      </c>
      <c r="G407" s="5">
        <v>10.7</v>
      </c>
      <c r="H407" s="5">
        <v>0</v>
      </c>
      <c r="I407" s="6">
        <f t="shared" si="6"/>
        <v>0</v>
      </c>
      <c r="J407" s="6">
        <f>D407/(VLOOKUP(B407,'[1]2021 Team'!$B$2:$G$33,2,FALSE))</f>
        <v>7.9617834394904458E-3</v>
      </c>
      <c r="K407" s="9">
        <v>60</v>
      </c>
      <c r="L407" s="5">
        <v>0</v>
      </c>
    </row>
    <row r="408" spans="1:12" x14ac:dyDescent="0.25">
      <c r="A408" s="5" t="s">
        <v>1846</v>
      </c>
      <c r="B408" s="5" t="s">
        <v>16</v>
      </c>
      <c r="C408" s="7" t="s">
        <v>163</v>
      </c>
      <c r="D408" s="8">
        <v>3</v>
      </c>
      <c r="E408" s="8">
        <v>1</v>
      </c>
      <c r="F408" s="8">
        <v>6</v>
      </c>
      <c r="G408" s="5">
        <v>6</v>
      </c>
      <c r="H408" s="5">
        <v>0</v>
      </c>
      <c r="I408" s="6">
        <f t="shared" si="6"/>
        <v>0</v>
      </c>
      <c r="J408" s="6">
        <f>D408/(VLOOKUP(B408,'[1]2021 Team'!$B$2:$G$33,2,FALSE))</f>
        <v>5.008347245409015E-3</v>
      </c>
      <c r="K408" s="9">
        <v>33.299999999999997</v>
      </c>
      <c r="L408" s="5">
        <v>0</v>
      </c>
    </row>
    <row r="409" spans="1:12" x14ac:dyDescent="0.25">
      <c r="A409" s="5" t="s">
        <v>176</v>
      </c>
      <c r="B409" s="5" t="s">
        <v>44</v>
      </c>
      <c r="C409" s="7" t="s">
        <v>159</v>
      </c>
      <c r="D409" s="8">
        <v>3</v>
      </c>
      <c r="E409" s="8">
        <v>3</v>
      </c>
      <c r="F409" s="8">
        <v>10</v>
      </c>
      <c r="G409" s="5">
        <v>3.3</v>
      </c>
      <c r="H409" s="5">
        <v>0</v>
      </c>
      <c r="I409" s="6">
        <f t="shared" si="6"/>
        <v>0</v>
      </c>
      <c r="J409" s="6">
        <f>D409/(VLOOKUP(B409,'[1]2021 Team'!$B$2:$G$33,2,FALSE))</f>
        <v>4.9423393739703456E-3</v>
      </c>
      <c r="K409" s="9">
        <v>100</v>
      </c>
      <c r="L409" s="5">
        <v>0</v>
      </c>
    </row>
    <row r="410" spans="1:12" x14ac:dyDescent="0.25">
      <c r="A410" s="5" t="s">
        <v>2545</v>
      </c>
      <c r="B410" s="5" t="s">
        <v>36</v>
      </c>
      <c r="C410" s="7" t="s">
        <v>159</v>
      </c>
      <c r="D410" s="8">
        <v>4</v>
      </c>
      <c r="E410" s="8">
        <v>3</v>
      </c>
      <c r="F410" s="8">
        <v>16</v>
      </c>
      <c r="G410" s="5">
        <v>5.3</v>
      </c>
      <c r="H410" s="5">
        <v>0</v>
      </c>
      <c r="I410" s="6">
        <f t="shared" si="6"/>
        <v>0</v>
      </c>
      <c r="J410" s="6">
        <f>D410/(VLOOKUP(B410,'[1]2021 Team'!$B$2:$G$33,2,FALSE))</f>
        <v>6.6225165562913907E-3</v>
      </c>
      <c r="K410" s="9">
        <v>75</v>
      </c>
      <c r="L410" s="5">
        <v>0</v>
      </c>
    </row>
    <row r="411" spans="1:12" x14ac:dyDescent="0.25">
      <c r="A411" s="5" t="s">
        <v>2418</v>
      </c>
      <c r="B411" s="5" t="s">
        <v>46</v>
      </c>
      <c r="C411" s="7" t="s">
        <v>159</v>
      </c>
      <c r="D411" s="8">
        <v>5</v>
      </c>
      <c r="E411" s="8">
        <v>3</v>
      </c>
      <c r="F411" s="8">
        <v>10</v>
      </c>
      <c r="G411" s="5">
        <v>3.3</v>
      </c>
      <c r="H411" s="5">
        <v>0</v>
      </c>
      <c r="I411" s="6">
        <f t="shared" si="6"/>
        <v>0</v>
      </c>
      <c r="J411" s="6">
        <f>D411/(VLOOKUP(B411,'[1]2021 Team'!$B$2:$G$33,2,FALSE))</f>
        <v>8.130081300813009E-3</v>
      </c>
      <c r="K411" s="9">
        <v>60</v>
      </c>
      <c r="L411" s="5">
        <v>0</v>
      </c>
    </row>
    <row r="412" spans="1:12" x14ac:dyDescent="0.25">
      <c r="A412" s="5" t="s">
        <v>1714</v>
      </c>
      <c r="B412" s="5" t="s">
        <v>38</v>
      </c>
      <c r="C412" s="7" t="s">
        <v>159</v>
      </c>
      <c r="D412" s="8">
        <v>3</v>
      </c>
      <c r="E412" s="8">
        <v>3</v>
      </c>
      <c r="F412" s="8">
        <v>31</v>
      </c>
      <c r="G412" s="5">
        <v>10.3</v>
      </c>
      <c r="H412" s="5">
        <v>0</v>
      </c>
      <c r="I412" s="6">
        <f t="shared" si="6"/>
        <v>0</v>
      </c>
      <c r="J412" s="6">
        <f>D412/(VLOOKUP(B412,'[1]2021 Team'!$B$2:$G$33,2,FALSE))</f>
        <v>4.4444444444444444E-3</v>
      </c>
      <c r="K412" s="9">
        <v>100</v>
      </c>
      <c r="L412" s="5">
        <v>0</v>
      </c>
    </row>
    <row r="413" spans="1:12" x14ac:dyDescent="0.25">
      <c r="A413" s="5" t="s">
        <v>636</v>
      </c>
      <c r="B413" s="5" t="s">
        <v>8</v>
      </c>
      <c r="C413" s="7" t="s">
        <v>163</v>
      </c>
      <c r="D413" s="8">
        <v>3</v>
      </c>
      <c r="E413" s="8">
        <v>3</v>
      </c>
      <c r="F413" s="8">
        <v>15</v>
      </c>
      <c r="G413" s="5">
        <v>5</v>
      </c>
      <c r="H413" s="5">
        <v>0</v>
      </c>
      <c r="I413" s="6">
        <f t="shared" si="6"/>
        <v>0</v>
      </c>
      <c r="J413" s="6">
        <f>D413/(VLOOKUP(B413,'[1]2021 Team'!$B$2:$G$33,2,FALSE))</f>
        <v>5.076142131979695E-3</v>
      </c>
      <c r="K413" s="9">
        <v>100</v>
      </c>
      <c r="L413" s="5">
        <v>0</v>
      </c>
    </row>
    <row r="414" spans="1:12" x14ac:dyDescent="0.25">
      <c r="A414" s="5" t="s">
        <v>1795</v>
      </c>
      <c r="B414" s="5" t="s">
        <v>16</v>
      </c>
      <c r="C414" s="7" t="s">
        <v>163</v>
      </c>
      <c r="D414" s="8">
        <v>4</v>
      </c>
      <c r="E414" s="8">
        <v>3</v>
      </c>
      <c r="F414" s="8">
        <v>55</v>
      </c>
      <c r="G414" s="5">
        <v>18.3</v>
      </c>
      <c r="H414" s="5">
        <v>0</v>
      </c>
      <c r="I414" s="6">
        <f t="shared" si="6"/>
        <v>0</v>
      </c>
      <c r="J414" s="6">
        <f>D414/(VLOOKUP(B414,'[1]2021 Team'!$B$2:$G$33,2,FALSE))</f>
        <v>6.6777963272120202E-3</v>
      </c>
      <c r="K414" s="9">
        <v>75</v>
      </c>
      <c r="L414" s="5">
        <v>0</v>
      </c>
    </row>
    <row r="415" spans="1:12" x14ac:dyDescent="0.25">
      <c r="A415" s="5" t="s">
        <v>702</v>
      </c>
      <c r="B415" s="5" t="s">
        <v>14</v>
      </c>
      <c r="C415" s="7" t="s">
        <v>613</v>
      </c>
      <c r="D415" s="8">
        <v>5</v>
      </c>
      <c r="E415" s="8">
        <v>3</v>
      </c>
      <c r="F415" s="8">
        <v>23</v>
      </c>
      <c r="G415" s="5">
        <v>7.7</v>
      </c>
      <c r="H415" s="5">
        <v>0</v>
      </c>
      <c r="I415" s="6">
        <f t="shared" si="6"/>
        <v>0</v>
      </c>
      <c r="J415" s="6">
        <f>D415/(VLOOKUP(B415,'[1]2021 Team'!$B$2:$G$33,2,FALSE))</f>
        <v>7.6335877862595417E-3</v>
      </c>
      <c r="K415" s="9">
        <v>60</v>
      </c>
      <c r="L415" s="5">
        <v>0</v>
      </c>
    </row>
    <row r="416" spans="1:12" x14ac:dyDescent="0.25">
      <c r="A416" s="5" t="s">
        <v>2620</v>
      </c>
      <c r="B416" s="5" t="s">
        <v>8</v>
      </c>
      <c r="C416" s="7" t="s">
        <v>153</v>
      </c>
      <c r="D416" s="8">
        <v>6</v>
      </c>
      <c r="E416" s="8">
        <v>3</v>
      </c>
      <c r="F416" s="8">
        <v>10</v>
      </c>
      <c r="G416" s="5">
        <v>3.3</v>
      </c>
      <c r="H416" s="5">
        <v>0</v>
      </c>
      <c r="I416" s="6">
        <f t="shared" si="6"/>
        <v>0</v>
      </c>
      <c r="J416" s="6">
        <f>D416/(VLOOKUP(B416,'[1]2021 Team'!$B$2:$G$33,2,FALSE))</f>
        <v>1.015228426395939E-2</v>
      </c>
      <c r="K416" s="9">
        <v>50</v>
      </c>
      <c r="L416" s="5">
        <v>0</v>
      </c>
    </row>
    <row r="417" spans="1:12" x14ac:dyDescent="0.25">
      <c r="A417" s="5" t="s">
        <v>2625</v>
      </c>
      <c r="B417" s="5" t="s">
        <v>42</v>
      </c>
      <c r="C417" s="7" t="s">
        <v>647</v>
      </c>
      <c r="D417" s="8">
        <v>3</v>
      </c>
      <c r="E417" s="8">
        <v>3</v>
      </c>
      <c r="F417" s="8">
        <v>30</v>
      </c>
      <c r="G417" s="5">
        <v>10</v>
      </c>
      <c r="H417" s="5">
        <v>0</v>
      </c>
      <c r="I417" s="6">
        <f t="shared" si="6"/>
        <v>0</v>
      </c>
      <c r="J417" s="6">
        <f>D417/(VLOOKUP(B417,'[1]2021 Team'!$B$2:$G$33,2,FALSE))</f>
        <v>4.4510385756676559E-3</v>
      </c>
      <c r="K417" s="9">
        <v>100</v>
      </c>
      <c r="L417" s="5">
        <v>0</v>
      </c>
    </row>
    <row r="418" spans="1:12" x14ac:dyDescent="0.25">
      <c r="A418" s="5" t="s">
        <v>2628</v>
      </c>
      <c r="B418" s="5" t="s">
        <v>68</v>
      </c>
      <c r="C418" s="7" t="s">
        <v>153</v>
      </c>
      <c r="D418" s="8">
        <v>6</v>
      </c>
      <c r="E418" s="8">
        <v>3</v>
      </c>
      <c r="F418" s="8">
        <v>31</v>
      </c>
      <c r="G418" s="5">
        <v>10.3</v>
      </c>
      <c r="H418" s="5">
        <v>0</v>
      </c>
      <c r="I418" s="6">
        <f t="shared" si="6"/>
        <v>0</v>
      </c>
      <c r="J418" s="6">
        <f>D418/(VLOOKUP(B418,'[1]2021 Team'!$B$2:$G$33,2,FALSE))</f>
        <v>1.1214953271028037E-2</v>
      </c>
      <c r="K418" s="9">
        <v>50</v>
      </c>
      <c r="L418" s="5">
        <v>0</v>
      </c>
    </row>
    <row r="419" spans="1:12" x14ac:dyDescent="0.25">
      <c r="A419" s="5" t="s">
        <v>2630</v>
      </c>
      <c r="B419" s="5" t="s">
        <v>58</v>
      </c>
      <c r="C419" s="7" t="s">
        <v>153</v>
      </c>
      <c r="D419" s="8">
        <v>7</v>
      </c>
      <c r="E419" s="8">
        <v>3</v>
      </c>
      <c r="F419" s="8">
        <v>22</v>
      </c>
      <c r="G419" s="5">
        <v>7.3</v>
      </c>
      <c r="H419" s="5">
        <v>1</v>
      </c>
      <c r="I419" s="6">
        <f t="shared" si="6"/>
        <v>0.33333333333333331</v>
      </c>
      <c r="J419" s="6">
        <f>D419/(VLOOKUP(B419,'[1]2021 Team'!$B$2:$G$33,2,FALSE))</f>
        <v>1.417004048582996E-2</v>
      </c>
      <c r="K419" s="9">
        <v>42.9</v>
      </c>
      <c r="L419" s="5">
        <v>0</v>
      </c>
    </row>
    <row r="420" spans="1:12" x14ac:dyDescent="0.25">
      <c r="A420" s="5" t="s">
        <v>2567</v>
      </c>
      <c r="B420" s="5" t="s">
        <v>22</v>
      </c>
      <c r="C420" s="7" t="s">
        <v>159</v>
      </c>
      <c r="D420" s="8">
        <v>4</v>
      </c>
      <c r="E420" s="8">
        <v>3</v>
      </c>
      <c r="F420" s="8">
        <v>9</v>
      </c>
      <c r="G420" s="5">
        <v>3</v>
      </c>
      <c r="H420" s="5">
        <v>0</v>
      </c>
      <c r="I420" s="6">
        <f t="shared" si="6"/>
        <v>0</v>
      </c>
      <c r="J420" s="6">
        <f>D420/(VLOOKUP(B420,'[1]2021 Team'!$B$2:$G$33,2,FALSE))</f>
        <v>7.6923076923076927E-3</v>
      </c>
      <c r="K420" s="9">
        <v>75</v>
      </c>
      <c r="L420" s="5">
        <v>0</v>
      </c>
    </row>
    <row r="421" spans="1:12" x14ac:dyDescent="0.25">
      <c r="A421" s="5" t="s">
        <v>1818</v>
      </c>
      <c r="B421" s="5" t="s">
        <v>16</v>
      </c>
      <c r="C421" s="7" t="s">
        <v>163</v>
      </c>
      <c r="D421" s="8">
        <v>7</v>
      </c>
      <c r="E421" s="8">
        <v>3</v>
      </c>
      <c r="F421" s="8">
        <v>17</v>
      </c>
      <c r="G421" s="5">
        <v>5.7</v>
      </c>
      <c r="H421" s="5">
        <v>0</v>
      </c>
      <c r="I421" s="6">
        <f t="shared" si="6"/>
        <v>0</v>
      </c>
      <c r="J421" s="6">
        <f>D421/(VLOOKUP(B421,'[1]2021 Team'!$B$2:$G$33,2,FALSE))</f>
        <v>1.1686143572621035E-2</v>
      </c>
      <c r="K421" s="9">
        <v>42.9</v>
      </c>
      <c r="L421" s="5">
        <v>0</v>
      </c>
    </row>
    <row r="422" spans="1:12" x14ac:dyDescent="0.25">
      <c r="A422" s="5" t="s">
        <v>2577</v>
      </c>
      <c r="B422" s="5" t="s">
        <v>46</v>
      </c>
      <c r="C422" s="7" t="s">
        <v>159</v>
      </c>
      <c r="D422" s="8">
        <v>3</v>
      </c>
      <c r="E422" s="8">
        <v>3</v>
      </c>
      <c r="F422" s="8">
        <v>17</v>
      </c>
      <c r="G422" s="5">
        <v>5.7</v>
      </c>
      <c r="H422" s="5">
        <v>0</v>
      </c>
      <c r="I422" s="6">
        <f t="shared" si="6"/>
        <v>0</v>
      </c>
      <c r="J422" s="6">
        <f>D422/(VLOOKUP(B422,'[1]2021 Team'!$B$2:$G$33,2,FALSE))</f>
        <v>4.8780487804878049E-3</v>
      </c>
      <c r="K422" s="9">
        <v>100</v>
      </c>
      <c r="L422" s="5">
        <v>0</v>
      </c>
    </row>
    <row r="423" spans="1:12" x14ac:dyDescent="0.25">
      <c r="A423" s="5" t="s">
        <v>1825</v>
      </c>
      <c r="B423" s="5" t="s">
        <v>56</v>
      </c>
      <c r="C423" s="7" t="s">
        <v>163</v>
      </c>
      <c r="D423" s="8">
        <v>6</v>
      </c>
      <c r="E423" s="8">
        <v>3</v>
      </c>
      <c r="F423" s="8">
        <v>36</v>
      </c>
      <c r="G423" s="5">
        <v>12</v>
      </c>
      <c r="H423" s="5">
        <v>0</v>
      </c>
      <c r="I423" s="6">
        <f t="shared" si="6"/>
        <v>0</v>
      </c>
      <c r="J423" s="6">
        <f>D423/(VLOOKUP(B423,'[1]2021 Team'!$B$2:$G$33,2,FALSE))</f>
        <v>9.9502487562189053E-3</v>
      </c>
      <c r="K423" s="9">
        <v>50</v>
      </c>
      <c r="L423" s="5">
        <v>0</v>
      </c>
    </row>
    <row r="424" spans="1:12" x14ac:dyDescent="0.25">
      <c r="A424" s="5" t="s">
        <v>2510</v>
      </c>
      <c r="B424" s="5" t="s">
        <v>42</v>
      </c>
      <c r="C424" s="7" t="s">
        <v>163</v>
      </c>
      <c r="D424" s="8">
        <v>4</v>
      </c>
      <c r="E424" s="8">
        <v>3</v>
      </c>
      <c r="F424" s="8">
        <v>56</v>
      </c>
      <c r="G424" s="5">
        <v>18.7</v>
      </c>
      <c r="H424" s="5">
        <v>0</v>
      </c>
      <c r="I424" s="6">
        <f t="shared" si="6"/>
        <v>0</v>
      </c>
      <c r="J424" s="6">
        <f>D424/(VLOOKUP(B424,'[1]2021 Team'!$B$2:$G$33,2,FALSE))</f>
        <v>5.9347181008902079E-3</v>
      </c>
      <c r="K424" s="9">
        <v>75</v>
      </c>
      <c r="L424" s="5">
        <v>0</v>
      </c>
    </row>
    <row r="425" spans="1:12" x14ac:dyDescent="0.25">
      <c r="A425" s="5" t="s">
        <v>2512</v>
      </c>
      <c r="B425" s="5" t="s">
        <v>54</v>
      </c>
      <c r="C425" s="7" t="s">
        <v>153</v>
      </c>
      <c r="D425" s="8">
        <v>6</v>
      </c>
      <c r="E425" s="8">
        <v>3</v>
      </c>
      <c r="F425" s="8">
        <v>17</v>
      </c>
      <c r="G425" s="5">
        <v>5.7</v>
      </c>
      <c r="H425" s="5">
        <v>1</v>
      </c>
      <c r="I425" s="6">
        <f t="shared" si="6"/>
        <v>0.33333333333333331</v>
      </c>
      <c r="J425" s="6">
        <f>D425/(VLOOKUP(B425,'[1]2021 Team'!$B$2:$G$33,2,FALSE))</f>
        <v>1.0118043844856661E-2</v>
      </c>
      <c r="K425" s="9">
        <v>50</v>
      </c>
      <c r="L425" s="5">
        <v>0</v>
      </c>
    </row>
    <row r="426" spans="1:12" x14ac:dyDescent="0.25">
      <c r="A426" s="5" t="s">
        <v>2560</v>
      </c>
      <c r="B426" s="5" t="s">
        <v>42</v>
      </c>
      <c r="C426" s="7" t="s">
        <v>613</v>
      </c>
      <c r="D426" s="8">
        <v>3</v>
      </c>
      <c r="E426" s="8">
        <v>3</v>
      </c>
      <c r="F426" s="8">
        <v>17</v>
      </c>
      <c r="G426" s="5">
        <v>5.7</v>
      </c>
      <c r="H426" s="5">
        <v>0</v>
      </c>
      <c r="I426" s="6">
        <f t="shared" si="6"/>
        <v>0</v>
      </c>
      <c r="J426" s="6">
        <f>D426/(VLOOKUP(B426,'[1]2021 Team'!$B$2:$G$33,2,FALSE))</f>
        <v>4.4510385756676559E-3</v>
      </c>
      <c r="K426" s="9">
        <v>100</v>
      </c>
      <c r="L426" s="5">
        <v>0</v>
      </c>
    </row>
    <row r="427" spans="1:12" x14ac:dyDescent="0.25">
      <c r="A427" s="5" t="s">
        <v>612</v>
      </c>
      <c r="B427" s="5" t="s">
        <v>52</v>
      </c>
      <c r="C427" s="7" t="s">
        <v>613</v>
      </c>
      <c r="D427" s="8">
        <v>3</v>
      </c>
      <c r="E427" s="8">
        <v>3</v>
      </c>
      <c r="F427" s="8">
        <v>16</v>
      </c>
      <c r="G427" s="5">
        <v>5.3</v>
      </c>
      <c r="H427" s="5">
        <v>0</v>
      </c>
      <c r="I427" s="6">
        <f t="shared" si="6"/>
        <v>0</v>
      </c>
      <c r="J427" s="6">
        <f>D427/(VLOOKUP(B427,'[1]2021 Team'!$B$2:$G$33,2,FALSE))</f>
        <v>5.9523809523809521E-3</v>
      </c>
      <c r="K427" s="9">
        <v>100</v>
      </c>
      <c r="L427" s="5">
        <v>0</v>
      </c>
    </row>
    <row r="428" spans="1:12" x14ac:dyDescent="0.25">
      <c r="A428" s="5" t="s">
        <v>2553</v>
      </c>
      <c r="B428" s="5" t="s">
        <v>32</v>
      </c>
      <c r="C428" s="7" t="s">
        <v>159</v>
      </c>
      <c r="D428" s="8">
        <v>4</v>
      </c>
      <c r="E428" s="8">
        <v>3</v>
      </c>
      <c r="F428" s="8">
        <v>14</v>
      </c>
      <c r="G428" s="5">
        <v>4.7</v>
      </c>
      <c r="H428" s="5">
        <v>0</v>
      </c>
      <c r="I428" s="6">
        <f t="shared" si="6"/>
        <v>0</v>
      </c>
      <c r="J428" s="6">
        <f>D428/(VLOOKUP(B428,'[1]2021 Team'!$B$2:$G$33,2,FALSE))</f>
        <v>7.326007326007326E-3</v>
      </c>
      <c r="K428" s="9">
        <v>75</v>
      </c>
      <c r="L428" s="5">
        <v>0</v>
      </c>
    </row>
    <row r="429" spans="1:12" x14ac:dyDescent="0.25">
      <c r="A429" s="5" t="s">
        <v>1682</v>
      </c>
      <c r="B429" s="5" t="s">
        <v>62</v>
      </c>
      <c r="C429" s="7" t="s">
        <v>159</v>
      </c>
      <c r="D429" s="8">
        <v>4</v>
      </c>
      <c r="E429" s="8">
        <v>3</v>
      </c>
      <c r="F429" s="8">
        <v>26</v>
      </c>
      <c r="G429" s="5">
        <v>8.6999999999999993</v>
      </c>
      <c r="H429" s="5">
        <v>0</v>
      </c>
      <c r="I429" s="6">
        <f t="shared" si="6"/>
        <v>0</v>
      </c>
      <c r="J429" s="6">
        <f>D429/(VLOOKUP(B429,'[1]2021 Team'!$B$2:$G$33,2,FALSE))</f>
        <v>7.7821011673151752E-3</v>
      </c>
      <c r="K429" s="9">
        <v>75</v>
      </c>
      <c r="L429" s="5">
        <v>0</v>
      </c>
    </row>
    <row r="430" spans="1:12" x14ac:dyDescent="0.25">
      <c r="A430" s="5" t="s">
        <v>2652</v>
      </c>
      <c r="B430" s="5" t="s">
        <v>54</v>
      </c>
      <c r="C430" s="7" t="s">
        <v>153</v>
      </c>
      <c r="D430" s="8">
        <v>3</v>
      </c>
      <c r="E430" s="8">
        <v>3</v>
      </c>
      <c r="F430" s="8">
        <v>33</v>
      </c>
      <c r="G430" s="5">
        <v>11</v>
      </c>
      <c r="H430" s="5">
        <v>0</v>
      </c>
      <c r="I430" s="6">
        <f t="shared" si="6"/>
        <v>0</v>
      </c>
      <c r="J430" s="6">
        <f>D430/(VLOOKUP(B430,'[1]2021 Team'!$B$2:$G$33,2,FALSE))</f>
        <v>5.0590219224283303E-3</v>
      </c>
      <c r="K430" s="9">
        <v>100</v>
      </c>
      <c r="L430" s="5">
        <v>0</v>
      </c>
    </row>
    <row r="431" spans="1:12" x14ac:dyDescent="0.25">
      <c r="A431" s="5" t="s">
        <v>2657</v>
      </c>
      <c r="B431" s="5" t="s">
        <v>24</v>
      </c>
      <c r="C431" s="7" t="s">
        <v>153</v>
      </c>
      <c r="D431" s="8">
        <v>3</v>
      </c>
      <c r="E431" s="8">
        <v>3</v>
      </c>
      <c r="F431" s="8">
        <v>31</v>
      </c>
      <c r="G431" s="5">
        <v>10.3</v>
      </c>
      <c r="H431" s="5">
        <v>0</v>
      </c>
      <c r="I431" s="6">
        <f t="shared" si="6"/>
        <v>0</v>
      </c>
      <c r="J431" s="6">
        <f>D431/(VLOOKUP(B431,'[1]2021 Team'!$B$2:$G$33,2,FALSE))</f>
        <v>4.6367851622874804E-3</v>
      </c>
      <c r="K431" s="9">
        <v>100</v>
      </c>
      <c r="L431" s="5">
        <v>0</v>
      </c>
    </row>
    <row r="432" spans="1:12" x14ac:dyDescent="0.25">
      <c r="A432" s="5" t="s">
        <v>2661</v>
      </c>
      <c r="B432" s="5" t="s">
        <v>20</v>
      </c>
      <c r="C432" s="7" t="s">
        <v>163</v>
      </c>
      <c r="D432" s="8">
        <v>4</v>
      </c>
      <c r="E432" s="8">
        <v>3</v>
      </c>
      <c r="F432" s="8">
        <v>39</v>
      </c>
      <c r="G432" s="5">
        <v>13</v>
      </c>
      <c r="H432" s="5">
        <v>1</v>
      </c>
      <c r="I432" s="6">
        <f t="shared" si="6"/>
        <v>0.33333333333333331</v>
      </c>
      <c r="J432" s="6">
        <f>D432/(VLOOKUP(B432,'[1]2021 Team'!$B$2:$G$33,2,FALSE))</f>
        <v>7.2072072072072073E-3</v>
      </c>
      <c r="K432" s="9">
        <v>75</v>
      </c>
      <c r="L432" s="5">
        <v>0</v>
      </c>
    </row>
    <row r="433" spans="1:12" x14ac:dyDescent="0.25">
      <c r="A433" s="5" t="s">
        <v>1735</v>
      </c>
      <c r="B433" s="5" t="s">
        <v>8</v>
      </c>
      <c r="C433" s="7" t="s">
        <v>159</v>
      </c>
      <c r="D433" s="8">
        <v>4</v>
      </c>
      <c r="E433" s="8">
        <v>3</v>
      </c>
      <c r="F433" s="8">
        <v>34</v>
      </c>
      <c r="G433" s="5">
        <v>11.3</v>
      </c>
      <c r="H433" s="5">
        <v>0</v>
      </c>
      <c r="I433" s="6">
        <f t="shared" si="6"/>
        <v>0</v>
      </c>
      <c r="J433" s="6">
        <f>D433/(VLOOKUP(B433,'[1]2021 Team'!$B$2:$G$33,2,FALSE))</f>
        <v>6.7681895093062603E-3</v>
      </c>
      <c r="K433" s="9">
        <v>75</v>
      </c>
      <c r="L433" s="5">
        <v>0</v>
      </c>
    </row>
    <row r="434" spans="1:12" x14ac:dyDescent="0.25">
      <c r="A434" s="5" t="s">
        <v>2430</v>
      </c>
      <c r="B434" s="5" t="s">
        <v>60</v>
      </c>
      <c r="C434" s="7" t="s">
        <v>613</v>
      </c>
      <c r="D434" s="8">
        <v>3</v>
      </c>
      <c r="E434" s="8">
        <v>3</v>
      </c>
      <c r="F434" s="8">
        <v>15</v>
      </c>
      <c r="G434" s="5">
        <v>5</v>
      </c>
      <c r="H434" s="5">
        <v>0</v>
      </c>
      <c r="I434" s="6">
        <f t="shared" si="6"/>
        <v>0</v>
      </c>
      <c r="J434" s="6">
        <f>D434/(VLOOKUP(B434,'[1]2021 Team'!$B$2:$G$33,2,FALSE))</f>
        <v>4.5180722891566263E-3</v>
      </c>
      <c r="K434" s="9">
        <v>100</v>
      </c>
      <c r="L434" s="5">
        <v>0</v>
      </c>
    </row>
    <row r="435" spans="1:12" x14ac:dyDescent="0.25">
      <c r="A435" s="5" t="s">
        <v>1862</v>
      </c>
      <c r="B435" s="5" t="s">
        <v>56</v>
      </c>
      <c r="C435" s="7" t="s">
        <v>153</v>
      </c>
      <c r="D435" s="8">
        <v>5</v>
      </c>
      <c r="E435" s="8">
        <v>3</v>
      </c>
      <c r="F435" s="8">
        <v>35</v>
      </c>
      <c r="G435" s="5">
        <v>11.7</v>
      </c>
      <c r="H435" s="5">
        <v>0</v>
      </c>
      <c r="I435" s="6">
        <f t="shared" ref="I435:I498" si="7">H435/E435</f>
        <v>0</v>
      </c>
      <c r="J435" s="6">
        <f>D435/(VLOOKUP(B435,'[1]2021 Team'!$B$2:$G$33,2,FALSE))</f>
        <v>8.291873963515755E-3</v>
      </c>
      <c r="K435" s="9">
        <v>60</v>
      </c>
      <c r="L435" s="5">
        <v>0</v>
      </c>
    </row>
    <row r="436" spans="1:12" x14ac:dyDescent="0.25">
      <c r="A436" s="5" t="s">
        <v>1863</v>
      </c>
      <c r="B436" s="5" t="s">
        <v>20</v>
      </c>
      <c r="C436" s="7" t="s">
        <v>153</v>
      </c>
      <c r="D436" s="8">
        <v>5</v>
      </c>
      <c r="E436" s="8">
        <v>3</v>
      </c>
      <c r="F436" s="8">
        <v>16</v>
      </c>
      <c r="G436" s="5">
        <v>5.3</v>
      </c>
      <c r="H436" s="5">
        <v>0</v>
      </c>
      <c r="I436" s="6">
        <f t="shared" si="7"/>
        <v>0</v>
      </c>
      <c r="J436" s="6">
        <f>D436/(VLOOKUP(B436,'[1]2021 Team'!$B$2:$G$33,2,FALSE))</f>
        <v>9.0090090090090089E-3</v>
      </c>
      <c r="K436" s="9">
        <v>60</v>
      </c>
      <c r="L436" s="5">
        <v>0</v>
      </c>
    </row>
    <row r="437" spans="1:12" x14ac:dyDescent="0.25">
      <c r="A437" s="5" t="s">
        <v>877</v>
      </c>
      <c r="B437" s="5" t="s">
        <v>28</v>
      </c>
      <c r="C437" s="7" t="s">
        <v>153</v>
      </c>
      <c r="D437" s="8">
        <v>7</v>
      </c>
      <c r="E437" s="8">
        <v>3</v>
      </c>
      <c r="F437" s="8">
        <v>34</v>
      </c>
      <c r="G437" s="5">
        <v>11.3</v>
      </c>
      <c r="H437" s="5">
        <v>0</v>
      </c>
      <c r="I437" s="6">
        <f t="shared" si="7"/>
        <v>0</v>
      </c>
      <c r="J437" s="6">
        <f>D437/(VLOOKUP(B437,'[1]2021 Team'!$B$2:$G$33,2,FALSE))</f>
        <v>1.1804384485666104E-2</v>
      </c>
      <c r="K437" s="9">
        <v>42.9</v>
      </c>
      <c r="L437" s="5">
        <v>0</v>
      </c>
    </row>
    <row r="438" spans="1:12" x14ac:dyDescent="0.25">
      <c r="A438" s="5" t="s">
        <v>2590</v>
      </c>
      <c r="B438" s="5" t="s">
        <v>58</v>
      </c>
      <c r="C438" s="7" t="s">
        <v>163</v>
      </c>
      <c r="D438" s="8">
        <v>5</v>
      </c>
      <c r="E438" s="8">
        <v>2</v>
      </c>
      <c r="F438" s="8">
        <v>36</v>
      </c>
      <c r="G438" s="5">
        <v>18</v>
      </c>
      <c r="H438" s="5">
        <v>0</v>
      </c>
      <c r="I438" s="6">
        <f t="shared" si="7"/>
        <v>0</v>
      </c>
      <c r="J438" s="6">
        <f>D438/(VLOOKUP(B438,'[1]2021 Team'!$B$2:$G$33,2,FALSE))</f>
        <v>1.0121457489878543E-2</v>
      </c>
      <c r="K438" s="9">
        <v>40</v>
      </c>
      <c r="L438" s="5">
        <v>0</v>
      </c>
    </row>
    <row r="439" spans="1:12" x14ac:dyDescent="0.25">
      <c r="A439" s="5" t="s">
        <v>2547</v>
      </c>
      <c r="B439" s="5" t="s">
        <v>60</v>
      </c>
      <c r="C439" s="7" t="s">
        <v>159</v>
      </c>
      <c r="D439" s="8">
        <v>7</v>
      </c>
      <c r="E439" s="8">
        <v>2</v>
      </c>
      <c r="F439" s="8">
        <v>8</v>
      </c>
      <c r="G439" s="5">
        <v>4</v>
      </c>
      <c r="H439" s="5">
        <v>0</v>
      </c>
      <c r="I439" s="6">
        <f t="shared" si="7"/>
        <v>0</v>
      </c>
      <c r="J439" s="6">
        <f>D439/(VLOOKUP(B439,'[1]2021 Team'!$B$2:$G$33,2,FALSE))</f>
        <v>1.0542168674698794E-2</v>
      </c>
      <c r="K439" s="9">
        <v>28.6</v>
      </c>
      <c r="L439" s="5">
        <v>0</v>
      </c>
    </row>
    <row r="440" spans="1:12" x14ac:dyDescent="0.25">
      <c r="A440" s="5" t="s">
        <v>2565</v>
      </c>
      <c r="B440" s="5" t="s">
        <v>68</v>
      </c>
      <c r="C440" s="7" t="s">
        <v>163</v>
      </c>
      <c r="D440" s="8">
        <v>5</v>
      </c>
      <c r="E440" s="8">
        <v>2</v>
      </c>
      <c r="F440" s="8">
        <v>15</v>
      </c>
      <c r="G440" s="5">
        <v>7.5</v>
      </c>
      <c r="H440" s="5">
        <v>1</v>
      </c>
      <c r="I440" s="6">
        <f t="shared" si="7"/>
        <v>0.5</v>
      </c>
      <c r="J440" s="6">
        <f>D440/(VLOOKUP(B440,'[1]2021 Team'!$B$2:$G$33,2,FALSE))</f>
        <v>9.3457943925233638E-3</v>
      </c>
      <c r="K440" s="9">
        <v>40</v>
      </c>
      <c r="L440" s="5">
        <v>0</v>
      </c>
    </row>
    <row r="441" spans="1:12" x14ac:dyDescent="0.25">
      <c r="A441" s="5" t="s">
        <v>1712</v>
      </c>
      <c r="B441" s="5" t="s">
        <v>68</v>
      </c>
      <c r="C441" s="7" t="s">
        <v>159</v>
      </c>
      <c r="D441" s="8">
        <v>2</v>
      </c>
      <c r="E441" s="8">
        <v>2</v>
      </c>
      <c r="F441" s="8">
        <v>4</v>
      </c>
      <c r="G441" s="5">
        <v>2</v>
      </c>
      <c r="H441" s="5">
        <v>0</v>
      </c>
      <c r="I441" s="6">
        <f t="shared" si="7"/>
        <v>0</v>
      </c>
      <c r="J441" s="6">
        <f>D441/(VLOOKUP(B441,'[1]2021 Team'!$B$2:$G$33,2,FALSE))</f>
        <v>3.7383177570093459E-3</v>
      </c>
      <c r="K441" s="9">
        <v>100</v>
      </c>
      <c r="L441" s="5">
        <v>1</v>
      </c>
    </row>
    <row r="442" spans="1:12" x14ac:dyDescent="0.25">
      <c r="A442" s="5" t="s">
        <v>2437</v>
      </c>
      <c r="B442" s="5" t="s">
        <v>16</v>
      </c>
      <c r="C442" s="7" t="s">
        <v>159</v>
      </c>
      <c r="D442" s="8">
        <v>2</v>
      </c>
      <c r="E442" s="8">
        <v>2</v>
      </c>
      <c r="F442" s="8">
        <v>12</v>
      </c>
      <c r="G442" s="5">
        <v>6</v>
      </c>
      <c r="H442" s="5">
        <v>0</v>
      </c>
      <c r="I442" s="6">
        <f t="shared" si="7"/>
        <v>0</v>
      </c>
      <c r="J442" s="6">
        <f>D442/(VLOOKUP(B442,'[1]2021 Team'!$B$2:$G$33,2,FALSE))</f>
        <v>3.3388981636060101E-3</v>
      </c>
      <c r="K442" s="9">
        <v>100</v>
      </c>
      <c r="L442" s="5">
        <v>0</v>
      </c>
    </row>
    <row r="443" spans="1:12" x14ac:dyDescent="0.25">
      <c r="A443" s="5" t="s">
        <v>1717</v>
      </c>
      <c r="B443" s="5" t="s">
        <v>26</v>
      </c>
      <c r="C443" s="7" t="s">
        <v>159</v>
      </c>
      <c r="D443" s="8">
        <v>2</v>
      </c>
      <c r="E443" s="8">
        <v>2</v>
      </c>
      <c r="F443" s="8">
        <v>22</v>
      </c>
      <c r="G443" s="5">
        <v>11</v>
      </c>
      <c r="H443" s="5">
        <v>0</v>
      </c>
      <c r="I443" s="6">
        <f t="shared" si="7"/>
        <v>0</v>
      </c>
      <c r="J443" s="6">
        <f>D443/(VLOOKUP(B443,'[1]2021 Team'!$B$2:$G$33,2,FALSE))</f>
        <v>3.6968576709796672E-3</v>
      </c>
      <c r="K443" s="9">
        <v>100</v>
      </c>
      <c r="L443" s="5">
        <v>0</v>
      </c>
    </row>
    <row r="444" spans="1:12" x14ac:dyDescent="0.25">
      <c r="A444" s="5" t="s">
        <v>2600</v>
      </c>
      <c r="B444" s="5" t="s">
        <v>56</v>
      </c>
      <c r="C444" s="7" t="s">
        <v>163</v>
      </c>
      <c r="D444" s="8">
        <v>2</v>
      </c>
      <c r="E444" s="8">
        <v>2</v>
      </c>
      <c r="F444" s="8">
        <v>29</v>
      </c>
      <c r="G444" s="5">
        <v>14.5</v>
      </c>
      <c r="H444" s="5">
        <v>0</v>
      </c>
      <c r="I444" s="6">
        <f t="shared" si="7"/>
        <v>0</v>
      </c>
      <c r="J444" s="6">
        <f>D444/(VLOOKUP(B444,'[1]2021 Team'!$B$2:$G$33,2,FALSE))</f>
        <v>3.3167495854063019E-3</v>
      </c>
      <c r="K444" s="9">
        <v>100</v>
      </c>
      <c r="L444" s="5">
        <v>0</v>
      </c>
    </row>
    <row r="445" spans="1:12" x14ac:dyDescent="0.25">
      <c r="A445" s="5" t="s">
        <v>2603</v>
      </c>
      <c r="B445" s="5" t="s">
        <v>40</v>
      </c>
      <c r="C445" s="7" t="s">
        <v>153</v>
      </c>
      <c r="D445" s="8">
        <v>2</v>
      </c>
      <c r="E445" s="8">
        <v>2</v>
      </c>
      <c r="F445" s="8">
        <v>13</v>
      </c>
      <c r="G445" s="5">
        <v>6.5</v>
      </c>
      <c r="H445" s="5">
        <v>0</v>
      </c>
      <c r="I445" s="6">
        <f t="shared" si="7"/>
        <v>0</v>
      </c>
      <c r="J445" s="6">
        <f>D445/(VLOOKUP(B445,'[1]2021 Team'!$B$2:$G$33,2,FALSE))</f>
        <v>3.1847133757961785E-3</v>
      </c>
      <c r="K445" s="9">
        <v>100</v>
      </c>
      <c r="L445" s="5">
        <v>0</v>
      </c>
    </row>
    <row r="446" spans="1:12" x14ac:dyDescent="0.25">
      <c r="A446" s="5" t="s">
        <v>2604</v>
      </c>
      <c r="B446" s="5" t="s">
        <v>46</v>
      </c>
      <c r="C446" s="7" t="s">
        <v>153</v>
      </c>
      <c r="D446" s="8">
        <v>2</v>
      </c>
      <c r="E446" s="8">
        <v>2</v>
      </c>
      <c r="F446" s="8">
        <v>16</v>
      </c>
      <c r="G446" s="5">
        <v>8</v>
      </c>
      <c r="H446" s="5">
        <v>0</v>
      </c>
      <c r="I446" s="6">
        <f t="shared" si="7"/>
        <v>0</v>
      </c>
      <c r="J446" s="6">
        <f>D446/(VLOOKUP(B446,'[1]2021 Team'!$B$2:$G$33,2,FALSE))</f>
        <v>3.2520325203252032E-3</v>
      </c>
      <c r="K446" s="9">
        <v>100</v>
      </c>
      <c r="L446" s="5">
        <v>0</v>
      </c>
    </row>
    <row r="447" spans="1:12" x14ac:dyDescent="0.25">
      <c r="A447" s="5" t="s">
        <v>2608</v>
      </c>
      <c r="B447" s="5" t="s">
        <v>30</v>
      </c>
      <c r="C447" s="7" t="s">
        <v>153</v>
      </c>
      <c r="D447" s="8">
        <v>4</v>
      </c>
      <c r="E447" s="8">
        <v>2</v>
      </c>
      <c r="F447" s="8">
        <v>34</v>
      </c>
      <c r="G447" s="5">
        <v>17</v>
      </c>
      <c r="H447" s="5">
        <v>0</v>
      </c>
      <c r="I447" s="6">
        <f t="shared" si="7"/>
        <v>0</v>
      </c>
      <c r="J447" s="6">
        <f>D447/(VLOOKUP(B447,'[1]2021 Team'!$B$2:$G$33,2,FALSE))</f>
        <v>6.7453625632377737E-3</v>
      </c>
      <c r="K447" s="9">
        <v>50</v>
      </c>
      <c r="L447" s="5">
        <v>0</v>
      </c>
    </row>
    <row r="448" spans="1:12" x14ac:dyDescent="0.25">
      <c r="A448" s="5" t="s">
        <v>2183</v>
      </c>
      <c r="B448" s="5" t="s">
        <v>28</v>
      </c>
      <c r="C448" s="7" t="s">
        <v>2184</v>
      </c>
      <c r="D448" s="8">
        <v>2</v>
      </c>
      <c r="E448" s="8">
        <v>2</v>
      </c>
      <c r="F448" s="8">
        <v>4</v>
      </c>
      <c r="G448" s="5">
        <v>2</v>
      </c>
      <c r="H448" s="5">
        <v>1</v>
      </c>
      <c r="I448" s="6">
        <f t="shared" si="7"/>
        <v>0.5</v>
      </c>
      <c r="J448" s="6">
        <f>D448/(VLOOKUP(B448,'[1]2021 Team'!$B$2:$G$33,2,FALSE))</f>
        <v>3.3726812816188868E-3</v>
      </c>
      <c r="K448" s="9">
        <v>100</v>
      </c>
      <c r="L448" s="5">
        <v>0</v>
      </c>
    </row>
    <row r="449" spans="1:12" x14ac:dyDescent="0.25">
      <c r="A449" s="5" t="s">
        <v>1684</v>
      </c>
      <c r="B449" s="5" t="s">
        <v>68</v>
      </c>
      <c r="C449" s="7" t="s">
        <v>159</v>
      </c>
      <c r="D449" s="8">
        <v>2</v>
      </c>
      <c r="E449" s="8">
        <v>2</v>
      </c>
      <c r="F449" s="8">
        <v>11</v>
      </c>
      <c r="G449" s="5">
        <v>5.5</v>
      </c>
      <c r="H449" s="5">
        <v>0</v>
      </c>
      <c r="I449" s="6">
        <f t="shared" si="7"/>
        <v>0</v>
      </c>
      <c r="J449" s="6">
        <f>D449/(VLOOKUP(B449,'[1]2021 Team'!$B$2:$G$33,2,FALSE))</f>
        <v>3.7383177570093459E-3</v>
      </c>
      <c r="K449" s="9">
        <v>100</v>
      </c>
      <c r="L449" s="5">
        <v>0</v>
      </c>
    </row>
    <row r="450" spans="1:12" x14ac:dyDescent="0.25">
      <c r="A450" s="5" t="s">
        <v>1805</v>
      </c>
      <c r="B450" s="5" t="s">
        <v>18</v>
      </c>
      <c r="C450" s="7" t="s">
        <v>163</v>
      </c>
      <c r="D450" s="8">
        <v>3</v>
      </c>
      <c r="E450" s="8">
        <v>2</v>
      </c>
      <c r="F450" s="8">
        <v>21</v>
      </c>
      <c r="G450" s="5">
        <v>10.5</v>
      </c>
      <c r="H450" s="5">
        <v>2</v>
      </c>
      <c r="I450" s="6">
        <f t="shared" si="7"/>
        <v>1</v>
      </c>
      <c r="J450" s="6">
        <f>D450/(VLOOKUP(B450,'[1]2021 Team'!$B$2:$G$33,2,FALSE))</f>
        <v>5.5350553505535052E-3</v>
      </c>
      <c r="K450" s="9">
        <v>66.7</v>
      </c>
      <c r="L450" s="5">
        <v>0</v>
      </c>
    </row>
    <row r="451" spans="1:12" x14ac:dyDescent="0.25">
      <c r="A451" s="5" t="s">
        <v>2452</v>
      </c>
      <c r="B451" s="5" t="s">
        <v>58</v>
      </c>
      <c r="C451" s="7" t="s">
        <v>159</v>
      </c>
      <c r="D451" s="8">
        <v>5</v>
      </c>
      <c r="E451" s="8">
        <v>2</v>
      </c>
      <c r="F451" s="8">
        <v>19</v>
      </c>
      <c r="G451" s="5">
        <v>9.5</v>
      </c>
      <c r="H451" s="5">
        <v>0</v>
      </c>
      <c r="I451" s="6">
        <f t="shared" si="7"/>
        <v>0</v>
      </c>
      <c r="J451" s="6">
        <f>D451/(VLOOKUP(B451,'[1]2021 Team'!$B$2:$G$33,2,FALSE))</f>
        <v>1.0121457489878543E-2</v>
      </c>
      <c r="K451" s="9">
        <v>40</v>
      </c>
      <c r="L451" s="5">
        <v>0</v>
      </c>
    </row>
    <row r="452" spans="1:12" x14ac:dyDescent="0.25">
      <c r="A452" s="5" t="s">
        <v>1807</v>
      </c>
      <c r="B452" s="5" t="s">
        <v>20</v>
      </c>
      <c r="C452" s="7" t="s">
        <v>163</v>
      </c>
      <c r="D452" s="8">
        <v>5</v>
      </c>
      <c r="E452" s="8">
        <v>2</v>
      </c>
      <c r="F452" s="8">
        <v>34</v>
      </c>
      <c r="G452" s="5">
        <v>17</v>
      </c>
      <c r="H452" s="5">
        <v>0</v>
      </c>
      <c r="I452" s="6">
        <f t="shared" si="7"/>
        <v>0</v>
      </c>
      <c r="J452" s="6">
        <f>D452/(VLOOKUP(B452,'[1]2021 Team'!$B$2:$G$33,2,FALSE))</f>
        <v>9.0090090090090089E-3</v>
      </c>
      <c r="K452" s="9">
        <v>40</v>
      </c>
      <c r="L452" s="5">
        <v>0</v>
      </c>
    </row>
    <row r="453" spans="1:12" x14ac:dyDescent="0.25">
      <c r="A453" s="5" t="s">
        <v>2502</v>
      </c>
      <c r="B453" s="5" t="s">
        <v>36</v>
      </c>
      <c r="C453" s="7" t="s">
        <v>163</v>
      </c>
      <c r="D453" s="8">
        <v>5</v>
      </c>
      <c r="E453" s="8">
        <v>2</v>
      </c>
      <c r="F453" s="8">
        <v>16</v>
      </c>
      <c r="G453" s="5">
        <v>8</v>
      </c>
      <c r="H453" s="5">
        <v>0</v>
      </c>
      <c r="I453" s="6">
        <f t="shared" si="7"/>
        <v>0</v>
      </c>
      <c r="J453" s="6">
        <f>D453/(VLOOKUP(B453,'[1]2021 Team'!$B$2:$G$33,2,FALSE))</f>
        <v>8.2781456953642391E-3</v>
      </c>
      <c r="K453" s="9">
        <v>40</v>
      </c>
      <c r="L453" s="5">
        <v>0</v>
      </c>
    </row>
    <row r="454" spans="1:12" x14ac:dyDescent="0.25">
      <c r="A454" s="5" t="s">
        <v>2634</v>
      </c>
      <c r="B454" s="5" t="s">
        <v>38</v>
      </c>
      <c r="C454" s="7" t="s">
        <v>163</v>
      </c>
      <c r="D454" s="8">
        <v>5</v>
      </c>
      <c r="E454" s="8">
        <v>2</v>
      </c>
      <c r="F454" s="8">
        <v>24</v>
      </c>
      <c r="G454" s="5">
        <v>12</v>
      </c>
      <c r="H454" s="5">
        <v>0</v>
      </c>
      <c r="I454" s="6">
        <f t="shared" si="7"/>
        <v>0</v>
      </c>
      <c r="J454" s="6">
        <f>D454/(VLOOKUP(B454,'[1]2021 Team'!$B$2:$G$33,2,FALSE))</f>
        <v>7.4074074074074077E-3</v>
      </c>
      <c r="K454" s="9">
        <v>40</v>
      </c>
      <c r="L454" s="5">
        <v>0</v>
      </c>
    </row>
    <row r="455" spans="1:12" x14ac:dyDescent="0.25">
      <c r="A455" s="5" t="s">
        <v>2504</v>
      </c>
      <c r="B455" s="5" t="s">
        <v>14</v>
      </c>
      <c r="C455" s="7" t="s">
        <v>163</v>
      </c>
      <c r="D455" s="8">
        <v>6</v>
      </c>
      <c r="E455" s="8">
        <v>2</v>
      </c>
      <c r="F455" s="8">
        <v>28</v>
      </c>
      <c r="G455" s="5">
        <v>14</v>
      </c>
      <c r="H455" s="5">
        <v>0</v>
      </c>
      <c r="I455" s="6">
        <f t="shared" si="7"/>
        <v>0</v>
      </c>
      <c r="J455" s="6">
        <f>D455/(VLOOKUP(B455,'[1]2021 Team'!$B$2:$G$33,2,FALSE))</f>
        <v>9.1603053435114507E-3</v>
      </c>
      <c r="K455" s="9">
        <v>33.299999999999997</v>
      </c>
      <c r="L455" s="5">
        <v>0</v>
      </c>
    </row>
    <row r="456" spans="1:12" x14ac:dyDescent="0.25">
      <c r="A456" s="5" t="s">
        <v>2420</v>
      </c>
      <c r="B456" s="5" t="s">
        <v>34</v>
      </c>
      <c r="C456" s="7" t="s">
        <v>159</v>
      </c>
      <c r="D456" s="8">
        <v>5</v>
      </c>
      <c r="E456" s="8">
        <v>2</v>
      </c>
      <c r="F456" s="8">
        <v>8</v>
      </c>
      <c r="G456" s="5">
        <v>4</v>
      </c>
      <c r="H456" s="5">
        <v>0</v>
      </c>
      <c r="I456" s="6">
        <f t="shared" si="7"/>
        <v>0</v>
      </c>
      <c r="J456" s="6">
        <f>D456/(VLOOKUP(B456,'[1]2021 Team'!$B$2:$G$33,2,FALSE))</f>
        <v>9.5969289827255271E-3</v>
      </c>
      <c r="K456" s="9">
        <v>40</v>
      </c>
      <c r="L456" s="5">
        <v>0</v>
      </c>
    </row>
    <row r="457" spans="1:12" x14ac:dyDescent="0.25">
      <c r="A457" s="5" t="s">
        <v>2456</v>
      </c>
      <c r="B457" s="5" t="s">
        <v>68</v>
      </c>
      <c r="C457" s="7" t="s">
        <v>163</v>
      </c>
      <c r="D457" s="8">
        <v>6</v>
      </c>
      <c r="E457" s="8">
        <v>2</v>
      </c>
      <c r="F457" s="8">
        <v>8</v>
      </c>
      <c r="G457" s="5">
        <v>4</v>
      </c>
      <c r="H457" s="5">
        <v>0</v>
      </c>
      <c r="I457" s="6">
        <f t="shared" si="7"/>
        <v>0</v>
      </c>
      <c r="J457" s="6">
        <f>D457/(VLOOKUP(B457,'[1]2021 Team'!$B$2:$G$33,2,FALSE))</f>
        <v>1.1214953271028037E-2</v>
      </c>
      <c r="K457" s="9">
        <v>33.299999999999997</v>
      </c>
      <c r="L457" s="5">
        <v>1</v>
      </c>
    </row>
    <row r="458" spans="1:12" x14ac:dyDescent="0.25">
      <c r="A458" s="5" t="s">
        <v>2639</v>
      </c>
      <c r="B458" s="5" t="s">
        <v>36</v>
      </c>
      <c r="C458" s="7" t="s">
        <v>163</v>
      </c>
      <c r="D458" s="8">
        <v>3</v>
      </c>
      <c r="E458" s="8">
        <v>2</v>
      </c>
      <c r="F458" s="8">
        <v>10</v>
      </c>
      <c r="G458" s="5">
        <v>5</v>
      </c>
      <c r="H458" s="5">
        <v>0</v>
      </c>
      <c r="I458" s="6">
        <f t="shared" si="7"/>
        <v>0</v>
      </c>
      <c r="J458" s="6">
        <f>D458/(VLOOKUP(B458,'[1]2021 Team'!$B$2:$G$33,2,FALSE))</f>
        <v>4.9668874172185433E-3</v>
      </c>
      <c r="K458" s="9">
        <v>66.7</v>
      </c>
      <c r="L458" s="5">
        <v>1</v>
      </c>
    </row>
    <row r="459" spans="1:12" x14ac:dyDescent="0.25">
      <c r="A459" s="5" t="s">
        <v>2511</v>
      </c>
      <c r="B459" s="5" t="s">
        <v>20</v>
      </c>
      <c r="C459" s="7" t="s">
        <v>163</v>
      </c>
      <c r="D459" s="8">
        <v>4</v>
      </c>
      <c r="E459" s="8">
        <v>2</v>
      </c>
      <c r="F459" s="8">
        <v>11</v>
      </c>
      <c r="G459" s="5">
        <v>5.5</v>
      </c>
      <c r="H459" s="5">
        <v>0</v>
      </c>
      <c r="I459" s="6">
        <f t="shared" si="7"/>
        <v>0</v>
      </c>
      <c r="J459" s="6">
        <f>D459/(VLOOKUP(B459,'[1]2021 Team'!$B$2:$G$33,2,FALSE))</f>
        <v>7.2072072072072073E-3</v>
      </c>
      <c r="K459" s="9">
        <v>50</v>
      </c>
      <c r="L459" s="5">
        <v>0</v>
      </c>
    </row>
    <row r="460" spans="1:12" x14ac:dyDescent="0.25">
      <c r="A460" s="5" t="s">
        <v>2641</v>
      </c>
      <c r="B460" s="5" t="s">
        <v>18</v>
      </c>
      <c r="C460" s="7" t="s">
        <v>163</v>
      </c>
      <c r="D460" s="8">
        <v>5</v>
      </c>
      <c r="E460" s="8">
        <v>2</v>
      </c>
      <c r="F460" s="8">
        <v>23</v>
      </c>
      <c r="G460" s="5">
        <v>11.5</v>
      </c>
      <c r="H460" s="5">
        <v>0</v>
      </c>
      <c r="I460" s="6">
        <f t="shared" si="7"/>
        <v>0</v>
      </c>
      <c r="J460" s="6">
        <f>D460/(VLOOKUP(B460,'[1]2021 Team'!$B$2:$G$33,2,FALSE))</f>
        <v>9.2250922509225092E-3</v>
      </c>
      <c r="K460" s="9">
        <v>40</v>
      </c>
      <c r="L460" s="5">
        <v>0</v>
      </c>
    </row>
    <row r="461" spans="1:12" x14ac:dyDescent="0.25">
      <c r="A461" s="5" t="s">
        <v>162</v>
      </c>
      <c r="B461" s="5" t="s">
        <v>50</v>
      </c>
      <c r="C461" s="7" t="s">
        <v>163</v>
      </c>
      <c r="D461" s="8">
        <v>3</v>
      </c>
      <c r="E461" s="8">
        <v>2</v>
      </c>
      <c r="F461" s="8">
        <v>31</v>
      </c>
      <c r="G461" s="5">
        <v>15.5</v>
      </c>
      <c r="H461" s="5">
        <v>0</v>
      </c>
      <c r="I461" s="6">
        <f t="shared" si="7"/>
        <v>0</v>
      </c>
      <c r="J461" s="6">
        <f>D461/(VLOOKUP(B461,'[1]2021 Team'!$B$2:$G$33,2,FALSE))</f>
        <v>5.6074766355140183E-3</v>
      </c>
      <c r="K461" s="9">
        <v>66.7</v>
      </c>
      <c r="L461" s="5">
        <v>3</v>
      </c>
    </row>
    <row r="462" spans="1:12" x14ac:dyDescent="0.25">
      <c r="A462" s="5" t="s">
        <v>2513</v>
      </c>
      <c r="B462" s="5" t="s">
        <v>34</v>
      </c>
      <c r="C462" s="7" t="s">
        <v>163</v>
      </c>
      <c r="D462" s="8">
        <v>4</v>
      </c>
      <c r="E462" s="8">
        <v>2</v>
      </c>
      <c r="F462" s="8">
        <v>21</v>
      </c>
      <c r="G462" s="5">
        <v>10.5</v>
      </c>
      <c r="H462" s="5">
        <v>1</v>
      </c>
      <c r="I462" s="6">
        <f t="shared" si="7"/>
        <v>0.5</v>
      </c>
      <c r="J462" s="6">
        <f>D462/(VLOOKUP(B462,'[1]2021 Team'!$B$2:$G$33,2,FALSE))</f>
        <v>7.677543186180422E-3</v>
      </c>
      <c r="K462" s="9">
        <v>50</v>
      </c>
      <c r="L462" s="5">
        <v>0</v>
      </c>
    </row>
    <row r="463" spans="1:12" x14ac:dyDescent="0.25">
      <c r="A463" s="5" t="s">
        <v>2550</v>
      </c>
      <c r="B463" s="5" t="s">
        <v>32</v>
      </c>
      <c r="C463" s="7" t="s">
        <v>159</v>
      </c>
      <c r="D463" s="8">
        <v>3</v>
      </c>
      <c r="E463" s="8">
        <v>2</v>
      </c>
      <c r="F463" s="8">
        <v>9</v>
      </c>
      <c r="G463" s="5">
        <v>4.5</v>
      </c>
      <c r="H463" s="5">
        <v>0</v>
      </c>
      <c r="I463" s="6">
        <f t="shared" si="7"/>
        <v>0</v>
      </c>
      <c r="J463" s="6">
        <f>D463/(VLOOKUP(B463,'[1]2021 Team'!$B$2:$G$33,2,FALSE))</f>
        <v>5.4945054945054949E-3</v>
      </c>
      <c r="K463" s="9">
        <v>66.7</v>
      </c>
      <c r="L463" s="5">
        <v>0</v>
      </c>
    </row>
    <row r="464" spans="1:12" x14ac:dyDescent="0.25">
      <c r="A464" s="5" t="s">
        <v>1837</v>
      </c>
      <c r="B464" s="5" t="s">
        <v>60</v>
      </c>
      <c r="C464" s="7" t="s">
        <v>153</v>
      </c>
      <c r="D464" s="8">
        <v>3</v>
      </c>
      <c r="E464" s="8">
        <v>2</v>
      </c>
      <c r="F464" s="8">
        <v>8</v>
      </c>
      <c r="G464" s="5">
        <v>4</v>
      </c>
      <c r="H464" s="5">
        <v>0</v>
      </c>
      <c r="I464" s="6">
        <f t="shared" si="7"/>
        <v>0</v>
      </c>
      <c r="J464" s="6">
        <f>D464/(VLOOKUP(B464,'[1]2021 Team'!$B$2:$G$33,2,FALSE))</f>
        <v>4.5180722891566263E-3</v>
      </c>
      <c r="K464" s="9">
        <v>66.7</v>
      </c>
      <c r="L464" s="5">
        <v>0</v>
      </c>
    </row>
    <row r="465" spans="1:12" x14ac:dyDescent="0.25">
      <c r="A465" s="5" t="s">
        <v>2581</v>
      </c>
      <c r="B465" s="5" t="s">
        <v>40</v>
      </c>
      <c r="C465" s="7" t="s">
        <v>159</v>
      </c>
      <c r="D465" s="8">
        <v>2</v>
      </c>
      <c r="E465" s="8">
        <v>2</v>
      </c>
      <c r="F465" s="8">
        <v>6</v>
      </c>
      <c r="G465" s="5">
        <v>3</v>
      </c>
      <c r="H465" s="5">
        <v>0</v>
      </c>
      <c r="I465" s="6">
        <f t="shared" si="7"/>
        <v>0</v>
      </c>
      <c r="J465" s="6">
        <f>D465/(VLOOKUP(B465,'[1]2021 Team'!$B$2:$G$33,2,FALSE))</f>
        <v>3.1847133757961785E-3</v>
      </c>
      <c r="K465" s="9">
        <v>100</v>
      </c>
      <c r="L465" s="5">
        <v>0</v>
      </c>
    </row>
    <row r="466" spans="1:12" x14ac:dyDescent="0.25">
      <c r="A466" s="5" t="s">
        <v>2514</v>
      </c>
      <c r="B466" s="5" t="s">
        <v>58</v>
      </c>
      <c r="C466" s="7" t="s">
        <v>153</v>
      </c>
      <c r="D466" s="8">
        <v>2</v>
      </c>
      <c r="E466" s="8">
        <v>2</v>
      </c>
      <c r="F466" s="8">
        <v>11</v>
      </c>
      <c r="G466" s="5">
        <v>5.5</v>
      </c>
      <c r="H466" s="5">
        <v>0</v>
      </c>
      <c r="I466" s="6">
        <f t="shared" si="7"/>
        <v>0</v>
      </c>
      <c r="J466" s="6">
        <f>D466/(VLOOKUP(B466,'[1]2021 Team'!$B$2:$G$33,2,FALSE))</f>
        <v>4.048582995951417E-3</v>
      </c>
      <c r="K466" s="9">
        <v>100</v>
      </c>
      <c r="L466" s="5">
        <v>0</v>
      </c>
    </row>
    <row r="467" spans="1:12" x14ac:dyDescent="0.25">
      <c r="A467" s="5" t="s">
        <v>2647</v>
      </c>
      <c r="B467" s="5" t="s">
        <v>16</v>
      </c>
      <c r="C467" s="7" t="s">
        <v>163</v>
      </c>
      <c r="D467" s="8">
        <v>2</v>
      </c>
      <c r="E467" s="8">
        <v>2</v>
      </c>
      <c r="F467" s="8">
        <v>11</v>
      </c>
      <c r="G467" s="5">
        <v>5.5</v>
      </c>
      <c r="H467" s="5">
        <v>0</v>
      </c>
      <c r="I467" s="6">
        <f t="shared" si="7"/>
        <v>0</v>
      </c>
      <c r="J467" s="6">
        <f>D467/(VLOOKUP(B467,'[1]2021 Team'!$B$2:$G$33,2,FALSE))</f>
        <v>3.3388981636060101E-3</v>
      </c>
      <c r="K467" s="9">
        <v>100</v>
      </c>
      <c r="L467" s="5">
        <v>0</v>
      </c>
    </row>
    <row r="468" spans="1:12" x14ac:dyDescent="0.25">
      <c r="A468" s="5" t="s">
        <v>809</v>
      </c>
      <c r="B468" s="5" t="s">
        <v>54</v>
      </c>
      <c r="C468" s="7" t="s">
        <v>163</v>
      </c>
      <c r="D468" s="8">
        <v>6</v>
      </c>
      <c r="E468" s="8">
        <v>2</v>
      </c>
      <c r="F468" s="8">
        <v>17</v>
      </c>
      <c r="G468" s="5">
        <v>8.5</v>
      </c>
      <c r="H468" s="5">
        <v>0</v>
      </c>
      <c r="I468" s="6">
        <f t="shared" si="7"/>
        <v>0</v>
      </c>
      <c r="J468" s="6">
        <f>D468/(VLOOKUP(B468,'[1]2021 Team'!$B$2:$G$33,2,FALSE))</f>
        <v>1.0118043844856661E-2</v>
      </c>
      <c r="K468" s="9">
        <v>33.299999999999997</v>
      </c>
      <c r="L468" s="5">
        <v>0</v>
      </c>
    </row>
    <row r="469" spans="1:12" x14ac:dyDescent="0.25">
      <c r="A469" s="5" t="s">
        <v>2417</v>
      </c>
      <c r="B469" s="5" t="s">
        <v>60</v>
      </c>
      <c r="C469" s="7" t="s">
        <v>159</v>
      </c>
      <c r="D469" s="8">
        <v>4</v>
      </c>
      <c r="E469" s="8">
        <v>2</v>
      </c>
      <c r="F469" s="8">
        <v>13</v>
      </c>
      <c r="G469" s="5">
        <v>6.5</v>
      </c>
      <c r="H469" s="5">
        <v>0</v>
      </c>
      <c r="I469" s="6">
        <f t="shared" si="7"/>
        <v>0</v>
      </c>
      <c r="J469" s="6">
        <f>D469/(VLOOKUP(B469,'[1]2021 Team'!$B$2:$G$33,2,FALSE))</f>
        <v>6.024096385542169E-3</v>
      </c>
      <c r="K469" s="9">
        <v>50</v>
      </c>
      <c r="L469" s="5">
        <v>0</v>
      </c>
    </row>
    <row r="470" spans="1:12" x14ac:dyDescent="0.25">
      <c r="A470" s="5" t="s">
        <v>2563</v>
      </c>
      <c r="B470" s="5" t="s">
        <v>22</v>
      </c>
      <c r="C470" s="7" t="s">
        <v>159</v>
      </c>
      <c r="D470" s="8">
        <v>2</v>
      </c>
      <c r="E470" s="8">
        <v>2</v>
      </c>
      <c r="F470" s="8">
        <v>7</v>
      </c>
      <c r="G470" s="5">
        <v>3.5</v>
      </c>
      <c r="H470" s="5">
        <v>1</v>
      </c>
      <c r="I470" s="6">
        <f t="shared" si="7"/>
        <v>0.5</v>
      </c>
      <c r="J470" s="6">
        <f>D470/(VLOOKUP(B470,'[1]2021 Team'!$B$2:$G$33,2,FALSE))</f>
        <v>3.8461538461538464E-3</v>
      </c>
      <c r="K470" s="9">
        <v>100</v>
      </c>
      <c r="L470" s="5">
        <v>0</v>
      </c>
    </row>
    <row r="471" spans="1:12" x14ac:dyDescent="0.25">
      <c r="A471" s="5" t="s">
        <v>2660</v>
      </c>
      <c r="B471" s="5" t="s">
        <v>48</v>
      </c>
      <c r="C471" s="7" t="s">
        <v>153</v>
      </c>
      <c r="D471" s="8">
        <v>2</v>
      </c>
      <c r="E471" s="8">
        <v>2</v>
      </c>
      <c r="F471" s="8">
        <v>12</v>
      </c>
      <c r="G471" s="5">
        <v>6</v>
      </c>
      <c r="H471" s="5">
        <v>0</v>
      </c>
      <c r="I471" s="6">
        <f t="shared" si="7"/>
        <v>0</v>
      </c>
      <c r="J471" s="6">
        <f>D471/(VLOOKUP(B471,'[1]2021 Team'!$B$2:$G$33,2,FALSE))</f>
        <v>3.3112582781456954E-3</v>
      </c>
      <c r="K471" s="9">
        <v>100</v>
      </c>
      <c r="L471" s="5">
        <v>0</v>
      </c>
    </row>
    <row r="472" spans="1:12" x14ac:dyDescent="0.25">
      <c r="A472" s="5" t="s">
        <v>1848</v>
      </c>
      <c r="B472" s="5" t="s">
        <v>34</v>
      </c>
      <c r="C472" s="7" t="s">
        <v>163</v>
      </c>
      <c r="D472" s="8">
        <v>3</v>
      </c>
      <c r="E472" s="8">
        <v>2</v>
      </c>
      <c r="F472" s="8">
        <v>26</v>
      </c>
      <c r="G472" s="5">
        <v>13</v>
      </c>
      <c r="H472" s="5">
        <v>0</v>
      </c>
      <c r="I472" s="6">
        <f t="shared" si="7"/>
        <v>0</v>
      </c>
      <c r="J472" s="6">
        <f>D472/(VLOOKUP(B472,'[1]2021 Team'!$B$2:$G$33,2,FALSE))</f>
        <v>5.7581573896353169E-3</v>
      </c>
      <c r="K472" s="9">
        <v>66.7</v>
      </c>
      <c r="L472" s="5">
        <v>0</v>
      </c>
    </row>
    <row r="473" spans="1:12" x14ac:dyDescent="0.25">
      <c r="A473" s="5" t="s">
        <v>1852</v>
      </c>
      <c r="B473" s="5" t="s">
        <v>30</v>
      </c>
      <c r="C473" s="7" t="s">
        <v>163</v>
      </c>
      <c r="D473" s="8">
        <v>3</v>
      </c>
      <c r="E473" s="8">
        <v>2</v>
      </c>
      <c r="F473" s="8">
        <v>14</v>
      </c>
      <c r="G473" s="5">
        <v>7</v>
      </c>
      <c r="H473" s="5">
        <v>0</v>
      </c>
      <c r="I473" s="6">
        <f t="shared" si="7"/>
        <v>0</v>
      </c>
      <c r="J473" s="6">
        <f>D473/(VLOOKUP(B473,'[1]2021 Team'!$B$2:$G$33,2,FALSE))</f>
        <v>5.0590219224283303E-3</v>
      </c>
      <c r="K473" s="9">
        <v>66.7</v>
      </c>
      <c r="L473" s="5">
        <v>1</v>
      </c>
    </row>
    <row r="474" spans="1:12" x14ac:dyDescent="0.25">
      <c r="A474" s="5" t="s">
        <v>1683</v>
      </c>
      <c r="B474" s="5" t="s">
        <v>30</v>
      </c>
      <c r="C474" s="7" t="s">
        <v>159</v>
      </c>
      <c r="D474" s="8">
        <v>2</v>
      </c>
      <c r="E474" s="8">
        <v>2</v>
      </c>
      <c r="F474" s="8">
        <v>3</v>
      </c>
      <c r="G474" s="5">
        <v>1.5</v>
      </c>
      <c r="H474" s="5">
        <v>0</v>
      </c>
      <c r="I474" s="6">
        <f t="shared" si="7"/>
        <v>0</v>
      </c>
      <c r="J474" s="6">
        <f>D474/(VLOOKUP(B474,'[1]2021 Team'!$B$2:$G$33,2,FALSE))</f>
        <v>3.3726812816188868E-3</v>
      </c>
      <c r="K474" s="9">
        <v>100</v>
      </c>
      <c r="L474" s="5">
        <v>0</v>
      </c>
    </row>
    <row r="475" spans="1:12" x14ac:dyDescent="0.25">
      <c r="A475" s="5" t="s">
        <v>1762</v>
      </c>
      <c r="B475" s="5" t="s">
        <v>20</v>
      </c>
      <c r="C475" s="7" t="s">
        <v>163</v>
      </c>
      <c r="D475" s="8">
        <v>3</v>
      </c>
      <c r="E475" s="8">
        <v>2</v>
      </c>
      <c r="F475" s="8">
        <v>41</v>
      </c>
      <c r="G475" s="5">
        <v>20.5</v>
      </c>
      <c r="H475" s="5">
        <v>0</v>
      </c>
      <c r="I475" s="6">
        <f t="shared" si="7"/>
        <v>0</v>
      </c>
      <c r="J475" s="6">
        <f>D475/(VLOOKUP(B475,'[1]2021 Team'!$B$2:$G$33,2,FALSE))</f>
        <v>5.4054054054054057E-3</v>
      </c>
      <c r="K475" s="9">
        <v>66.7</v>
      </c>
      <c r="L475" s="5">
        <v>0</v>
      </c>
    </row>
    <row r="476" spans="1:12" x14ac:dyDescent="0.25">
      <c r="A476" s="5" t="s">
        <v>818</v>
      </c>
      <c r="B476" s="5" t="s">
        <v>12</v>
      </c>
      <c r="C476" s="7" t="s">
        <v>163</v>
      </c>
      <c r="D476" s="8">
        <v>6</v>
      </c>
      <c r="E476" s="8">
        <v>2</v>
      </c>
      <c r="F476" s="8">
        <v>23</v>
      </c>
      <c r="G476" s="5">
        <v>11.5</v>
      </c>
      <c r="H476" s="5">
        <v>0</v>
      </c>
      <c r="I476" s="6">
        <f t="shared" si="7"/>
        <v>0</v>
      </c>
      <c r="J476" s="6">
        <f>D476/(VLOOKUP(B476,'[1]2021 Team'!$B$2:$G$33,2,FALSE))</f>
        <v>9.8199672667757774E-3</v>
      </c>
      <c r="K476" s="9">
        <v>33.299999999999997</v>
      </c>
      <c r="L476" s="5">
        <v>0</v>
      </c>
    </row>
    <row r="477" spans="1:12" x14ac:dyDescent="0.25">
      <c r="A477" s="5" t="s">
        <v>2542</v>
      </c>
      <c r="B477" s="5" t="s">
        <v>56</v>
      </c>
      <c r="C477" s="7" t="s">
        <v>159</v>
      </c>
      <c r="D477" s="8">
        <v>3</v>
      </c>
      <c r="E477" s="8">
        <v>2</v>
      </c>
      <c r="F477" s="8">
        <v>9</v>
      </c>
      <c r="G477" s="5">
        <v>4.5</v>
      </c>
      <c r="H477" s="5">
        <v>0</v>
      </c>
      <c r="I477" s="6">
        <f t="shared" si="7"/>
        <v>0</v>
      </c>
      <c r="J477" s="6">
        <f>D477/(VLOOKUP(B477,'[1]2021 Team'!$B$2:$G$33,2,FALSE))</f>
        <v>4.9751243781094526E-3</v>
      </c>
      <c r="K477" s="9">
        <v>66.7</v>
      </c>
      <c r="L477" s="5">
        <v>0</v>
      </c>
    </row>
    <row r="478" spans="1:12" x14ac:dyDescent="0.25">
      <c r="A478" s="5" t="s">
        <v>2428</v>
      </c>
      <c r="B478" s="5" t="s">
        <v>52</v>
      </c>
      <c r="C478" s="7" t="s">
        <v>159</v>
      </c>
      <c r="D478" s="8">
        <v>2</v>
      </c>
      <c r="E478" s="8">
        <v>2</v>
      </c>
      <c r="F478" s="8">
        <v>12</v>
      </c>
      <c r="G478" s="5">
        <v>6</v>
      </c>
      <c r="H478" s="5">
        <v>0</v>
      </c>
      <c r="I478" s="6">
        <f t="shared" si="7"/>
        <v>0</v>
      </c>
      <c r="J478" s="6">
        <f>D478/(VLOOKUP(B478,'[1]2021 Team'!$B$2:$G$33,2,FALSE))</f>
        <v>3.968253968253968E-3</v>
      </c>
      <c r="K478" s="9">
        <v>100</v>
      </c>
      <c r="L478" s="5">
        <v>0</v>
      </c>
    </row>
    <row r="479" spans="1:12" x14ac:dyDescent="0.25">
      <c r="A479" s="5" t="s">
        <v>2670</v>
      </c>
      <c r="B479" s="5" t="s">
        <v>28</v>
      </c>
      <c r="C479" s="7" t="s">
        <v>163</v>
      </c>
      <c r="D479" s="8">
        <v>3</v>
      </c>
      <c r="E479" s="8">
        <v>2</v>
      </c>
      <c r="F479" s="8">
        <v>14</v>
      </c>
      <c r="G479" s="5">
        <v>7</v>
      </c>
      <c r="H479" s="5">
        <v>0</v>
      </c>
      <c r="I479" s="6">
        <f t="shared" si="7"/>
        <v>0</v>
      </c>
      <c r="J479" s="6">
        <f>D479/(VLOOKUP(B479,'[1]2021 Team'!$B$2:$G$33,2,FALSE))</f>
        <v>5.0590219224283303E-3</v>
      </c>
      <c r="K479" s="9">
        <v>66.7</v>
      </c>
      <c r="L479" s="5">
        <v>0</v>
      </c>
    </row>
    <row r="480" spans="1:12" x14ac:dyDescent="0.25">
      <c r="A480" s="5" t="s">
        <v>2672</v>
      </c>
      <c r="B480" s="5" t="s">
        <v>52</v>
      </c>
      <c r="C480" s="7" t="s">
        <v>153</v>
      </c>
      <c r="D480" s="8">
        <v>2</v>
      </c>
      <c r="E480" s="8">
        <v>2</v>
      </c>
      <c r="F480" s="8">
        <v>8</v>
      </c>
      <c r="G480" s="5">
        <v>4</v>
      </c>
      <c r="H480" s="5">
        <v>0</v>
      </c>
      <c r="I480" s="6">
        <f t="shared" si="7"/>
        <v>0</v>
      </c>
      <c r="J480" s="6">
        <f>D480/(VLOOKUP(B480,'[1]2021 Team'!$B$2:$G$33,2,FALSE))</f>
        <v>3.968253968253968E-3</v>
      </c>
      <c r="K480" s="9">
        <v>100</v>
      </c>
      <c r="L480" s="5">
        <v>0</v>
      </c>
    </row>
    <row r="481" spans="1:12" x14ac:dyDescent="0.25">
      <c r="A481" s="5" t="s">
        <v>1866</v>
      </c>
      <c r="B481" s="5" t="s">
        <v>56</v>
      </c>
      <c r="C481" s="7" t="s">
        <v>153</v>
      </c>
      <c r="D481" s="8">
        <v>3</v>
      </c>
      <c r="E481" s="8">
        <v>2</v>
      </c>
      <c r="F481" s="8">
        <v>36</v>
      </c>
      <c r="G481" s="5">
        <v>18</v>
      </c>
      <c r="H481" s="5">
        <v>0</v>
      </c>
      <c r="I481" s="6">
        <f t="shared" si="7"/>
        <v>0</v>
      </c>
      <c r="J481" s="6">
        <f>D481/(VLOOKUP(B481,'[1]2021 Team'!$B$2:$G$33,2,FALSE))</f>
        <v>4.9751243781094526E-3</v>
      </c>
      <c r="K481" s="9">
        <v>66.7</v>
      </c>
      <c r="L481" s="5">
        <v>0</v>
      </c>
    </row>
    <row r="482" spans="1:12" x14ac:dyDescent="0.25">
      <c r="A482" s="5" t="s">
        <v>1773</v>
      </c>
      <c r="B482" s="5" t="s">
        <v>52</v>
      </c>
      <c r="C482" s="7" t="s">
        <v>613</v>
      </c>
      <c r="D482" s="8">
        <v>1</v>
      </c>
      <c r="E482" s="8">
        <v>1</v>
      </c>
      <c r="F482" s="8">
        <v>1</v>
      </c>
      <c r="G482" s="5">
        <v>1</v>
      </c>
      <c r="H482" s="5">
        <v>1</v>
      </c>
      <c r="I482" s="6">
        <f t="shared" si="7"/>
        <v>1</v>
      </c>
      <c r="J482" s="6">
        <f>D482/(VLOOKUP(B482,'[1]2021 Team'!$B$2:$G$33,2,FALSE))</f>
        <v>1.984126984126984E-3</v>
      </c>
      <c r="K482" s="9">
        <v>100</v>
      </c>
      <c r="L482" s="5">
        <v>0</v>
      </c>
    </row>
    <row r="483" spans="1:12" x14ac:dyDescent="0.25">
      <c r="A483" s="5" t="s">
        <v>1736</v>
      </c>
      <c r="B483" s="5" t="s">
        <v>56</v>
      </c>
      <c r="C483" s="7" t="s">
        <v>159</v>
      </c>
      <c r="D483" s="8">
        <v>1</v>
      </c>
      <c r="E483" s="8">
        <v>1</v>
      </c>
      <c r="F483" s="8">
        <v>20</v>
      </c>
      <c r="G483" s="5">
        <v>20</v>
      </c>
      <c r="H483" s="5">
        <v>0</v>
      </c>
      <c r="I483" s="6">
        <f t="shared" si="7"/>
        <v>0</v>
      </c>
      <c r="J483" s="6">
        <f>D483/(VLOOKUP(B483,'[1]2021 Team'!$B$2:$G$33,2,FALSE))</f>
        <v>1.658374792703151E-3</v>
      </c>
      <c r="K483" s="9">
        <v>100</v>
      </c>
      <c r="L483" s="5">
        <v>0</v>
      </c>
    </row>
    <row r="484" spans="1:12" x14ac:dyDescent="0.25">
      <c r="A484" s="5" t="s">
        <v>2446</v>
      </c>
      <c r="B484" s="5" t="s">
        <v>64</v>
      </c>
      <c r="C484" s="7" t="s">
        <v>186</v>
      </c>
      <c r="D484" s="8">
        <v>1</v>
      </c>
      <c r="E484" s="8">
        <v>1</v>
      </c>
      <c r="F484" s="8">
        <v>4</v>
      </c>
      <c r="G484" s="5">
        <v>4</v>
      </c>
      <c r="H484" s="5">
        <v>0</v>
      </c>
      <c r="I484" s="6">
        <f t="shared" si="7"/>
        <v>0</v>
      </c>
      <c r="J484" s="6">
        <f>D484/(VLOOKUP(B484,'[1]2021 Team'!$B$2:$G$33,2,FALSE))</f>
        <v>2.0202020202020202E-3</v>
      </c>
      <c r="K484" s="9">
        <v>100</v>
      </c>
      <c r="L484" s="5">
        <v>0</v>
      </c>
    </row>
    <row r="485" spans="1:12" x14ac:dyDescent="0.25">
      <c r="A485" s="5" t="s">
        <v>2594</v>
      </c>
      <c r="B485" s="5" t="s">
        <v>56</v>
      </c>
      <c r="C485" s="7" t="s">
        <v>163</v>
      </c>
      <c r="D485" s="8">
        <v>2</v>
      </c>
      <c r="E485" s="8">
        <v>1</v>
      </c>
      <c r="F485" s="8">
        <v>10</v>
      </c>
      <c r="G485" s="5">
        <v>10</v>
      </c>
      <c r="H485" s="5">
        <v>0</v>
      </c>
      <c r="I485" s="6">
        <f t="shared" si="7"/>
        <v>0</v>
      </c>
      <c r="J485" s="6">
        <f>D485/(VLOOKUP(B485,'[1]2021 Team'!$B$2:$G$33,2,FALSE))</f>
        <v>3.3167495854063019E-3</v>
      </c>
      <c r="K485" s="9">
        <v>50</v>
      </c>
      <c r="L485" s="5">
        <v>0</v>
      </c>
    </row>
    <row r="486" spans="1:12" x14ac:dyDescent="0.25">
      <c r="A486" s="5" t="s">
        <v>1777</v>
      </c>
      <c r="B486" s="5" t="s">
        <v>12</v>
      </c>
      <c r="C486" s="7" t="s">
        <v>163</v>
      </c>
      <c r="D486" s="8">
        <v>1</v>
      </c>
      <c r="E486" s="8">
        <v>1</v>
      </c>
      <c r="F486" s="8">
        <v>6</v>
      </c>
      <c r="G486" s="5">
        <v>6</v>
      </c>
      <c r="H486" s="5">
        <v>0</v>
      </c>
      <c r="I486" s="6">
        <f t="shared" si="7"/>
        <v>0</v>
      </c>
      <c r="J486" s="6">
        <f>D486/(VLOOKUP(B486,'[1]2021 Team'!$B$2:$G$33,2,FALSE))</f>
        <v>1.6366612111292963E-3</v>
      </c>
      <c r="K486" s="9">
        <v>100</v>
      </c>
      <c r="L486" s="5">
        <v>0</v>
      </c>
    </row>
    <row r="487" spans="1:12" x14ac:dyDescent="0.25">
      <c r="A487" s="5" t="s">
        <v>2596</v>
      </c>
      <c r="B487" s="5" t="s">
        <v>12</v>
      </c>
      <c r="C487" s="7" t="s">
        <v>153</v>
      </c>
      <c r="D487" s="8">
        <v>2</v>
      </c>
      <c r="E487" s="8">
        <v>1</v>
      </c>
      <c r="F487" s="8">
        <v>2</v>
      </c>
      <c r="G487" s="5">
        <v>2</v>
      </c>
      <c r="H487" s="5">
        <v>0</v>
      </c>
      <c r="I487" s="6">
        <f t="shared" si="7"/>
        <v>0</v>
      </c>
      <c r="J487" s="6">
        <f>D487/(VLOOKUP(B487,'[1]2021 Team'!$B$2:$G$33,2,FALSE))</f>
        <v>3.2733224222585926E-3</v>
      </c>
      <c r="K487" s="9">
        <v>50</v>
      </c>
      <c r="L487" s="5">
        <v>0</v>
      </c>
    </row>
    <row r="488" spans="1:12" x14ac:dyDescent="0.25">
      <c r="A488" s="5" t="s">
        <v>2597</v>
      </c>
      <c r="B488" s="5" t="s">
        <v>48</v>
      </c>
      <c r="C488" s="7" t="s">
        <v>857</v>
      </c>
      <c r="D488" s="8">
        <v>1</v>
      </c>
      <c r="E488" s="8">
        <v>1</v>
      </c>
      <c r="F488" s="8">
        <v>21</v>
      </c>
      <c r="G488" s="5">
        <v>21</v>
      </c>
      <c r="H488" s="5">
        <v>0</v>
      </c>
      <c r="I488" s="6">
        <f t="shared" si="7"/>
        <v>0</v>
      </c>
      <c r="J488" s="6">
        <f>D488/(VLOOKUP(B488,'[1]2021 Team'!$B$2:$G$33,2,FALSE))</f>
        <v>1.6556291390728477E-3</v>
      </c>
      <c r="K488" s="9">
        <v>100</v>
      </c>
      <c r="L488" s="5">
        <v>0</v>
      </c>
    </row>
    <row r="489" spans="1:12" x14ac:dyDescent="0.25">
      <c r="A489" s="5" t="s">
        <v>1708</v>
      </c>
      <c r="B489" s="5" t="s">
        <v>54</v>
      </c>
      <c r="C489" s="7" t="s">
        <v>159</v>
      </c>
      <c r="D489" s="8">
        <v>1</v>
      </c>
      <c r="E489" s="8">
        <v>1</v>
      </c>
      <c r="F489" s="8">
        <v>6</v>
      </c>
      <c r="G489" s="5">
        <v>6</v>
      </c>
      <c r="H489" s="5">
        <v>0</v>
      </c>
      <c r="I489" s="6">
        <f t="shared" si="7"/>
        <v>0</v>
      </c>
      <c r="J489" s="6">
        <f>D489/(VLOOKUP(B489,'[1]2021 Team'!$B$2:$G$33,2,FALSE))</f>
        <v>1.6863406408094434E-3</v>
      </c>
      <c r="K489" s="9">
        <v>100</v>
      </c>
      <c r="L489" s="5">
        <v>0</v>
      </c>
    </row>
    <row r="490" spans="1:12" x14ac:dyDescent="0.25">
      <c r="A490" s="5" t="s">
        <v>2474</v>
      </c>
      <c r="B490" s="5" t="s">
        <v>34</v>
      </c>
      <c r="C490" s="7" t="s">
        <v>163</v>
      </c>
      <c r="D490" s="8">
        <v>1</v>
      </c>
      <c r="E490" s="8">
        <v>1</v>
      </c>
      <c r="F490" s="8">
        <v>5</v>
      </c>
      <c r="G490" s="5">
        <v>5</v>
      </c>
      <c r="H490" s="5">
        <v>0</v>
      </c>
      <c r="I490" s="6">
        <f t="shared" si="7"/>
        <v>0</v>
      </c>
      <c r="J490" s="6">
        <f>D490/(VLOOKUP(B490,'[1]2021 Team'!$B$2:$G$33,2,FALSE))</f>
        <v>1.9193857965451055E-3</v>
      </c>
      <c r="K490" s="9">
        <v>100</v>
      </c>
      <c r="L490" s="5">
        <v>0</v>
      </c>
    </row>
    <row r="491" spans="1:12" x14ac:dyDescent="0.25">
      <c r="A491" s="5" t="s">
        <v>2609</v>
      </c>
      <c r="B491" s="5" t="s">
        <v>8</v>
      </c>
      <c r="C491" s="7" t="s">
        <v>153</v>
      </c>
      <c r="D491" s="8">
        <v>4</v>
      </c>
      <c r="E491" s="8">
        <v>1</v>
      </c>
      <c r="F491" s="8">
        <v>0</v>
      </c>
      <c r="G491" s="5">
        <v>0</v>
      </c>
      <c r="H491" s="5">
        <v>0</v>
      </c>
      <c r="I491" s="6">
        <f t="shared" si="7"/>
        <v>0</v>
      </c>
      <c r="J491" s="6">
        <f>D491/(VLOOKUP(B491,'[1]2021 Team'!$B$2:$G$33,2,FALSE))</f>
        <v>6.7681895093062603E-3</v>
      </c>
      <c r="K491" s="9">
        <v>25</v>
      </c>
      <c r="L491" s="5">
        <v>0</v>
      </c>
    </row>
    <row r="492" spans="1:12" x14ac:dyDescent="0.25">
      <c r="A492" s="5" t="s">
        <v>2475</v>
      </c>
      <c r="B492" s="5" t="s">
        <v>10</v>
      </c>
      <c r="C492" s="7" t="s">
        <v>163</v>
      </c>
      <c r="D492" s="8">
        <v>4</v>
      </c>
      <c r="E492" s="8">
        <v>1</v>
      </c>
      <c r="F492" s="8">
        <v>14</v>
      </c>
      <c r="G492" s="5">
        <v>14</v>
      </c>
      <c r="H492" s="5">
        <v>0</v>
      </c>
      <c r="I492" s="6">
        <f t="shared" si="7"/>
        <v>0</v>
      </c>
      <c r="J492" s="6">
        <f>D492/(VLOOKUP(B492,'[1]2021 Team'!$B$2:$G$33,2,FALSE))</f>
        <v>6.9808027923211171E-3</v>
      </c>
      <c r="K492" s="9">
        <v>25</v>
      </c>
      <c r="L492" s="5">
        <v>0</v>
      </c>
    </row>
    <row r="493" spans="1:12" x14ac:dyDescent="0.25">
      <c r="A493" s="5" t="s">
        <v>2610</v>
      </c>
      <c r="B493" s="5" t="s">
        <v>32</v>
      </c>
      <c r="C493" s="7" t="s">
        <v>163</v>
      </c>
      <c r="D493" s="8">
        <v>3</v>
      </c>
      <c r="E493" s="8">
        <v>1</v>
      </c>
      <c r="F493" s="8">
        <v>17</v>
      </c>
      <c r="G493" s="5">
        <v>17</v>
      </c>
      <c r="H493" s="5">
        <v>0</v>
      </c>
      <c r="I493" s="6">
        <f t="shared" si="7"/>
        <v>0</v>
      </c>
      <c r="J493" s="6">
        <f>D493/(VLOOKUP(B493,'[1]2021 Team'!$B$2:$G$33,2,FALSE))</f>
        <v>5.4945054945054949E-3</v>
      </c>
      <c r="K493" s="9">
        <v>33.299999999999997</v>
      </c>
      <c r="L493" s="5">
        <v>0</v>
      </c>
    </row>
    <row r="494" spans="1:12" x14ac:dyDescent="0.25">
      <c r="A494" s="5" t="s">
        <v>2541</v>
      </c>
      <c r="B494" s="5" t="s">
        <v>10</v>
      </c>
      <c r="C494" s="7" t="s">
        <v>159</v>
      </c>
      <c r="D494" s="8">
        <v>3</v>
      </c>
      <c r="E494" s="8">
        <v>1</v>
      </c>
      <c r="F494" s="8">
        <v>21</v>
      </c>
      <c r="G494" s="5">
        <v>21</v>
      </c>
      <c r="H494" s="5">
        <v>0</v>
      </c>
      <c r="I494" s="6">
        <f t="shared" si="7"/>
        <v>0</v>
      </c>
      <c r="J494" s="6">
        <f>D494/(VLOOKUP(B494,'[1]2021 Team'!$B$2:$G$33,2,FALSE))</f>
        <v>5.235602094240838E-3</v>
      </c>
      <c r="K494" s="9">
        <v>33.299999999999997</v>
      </c>
      <c r="L494" s="5">
        <v>0</v>
      </c>
    </row>
    <row r="495" spans="1:12" x14ac:dyDescent="0.25">
      <c r="A495" s="5" t="s">
        <v>2619</v>
      </c>
      <c r="B495" s="5" t="s">
        <v>10</v>
      </c>
      <c r="C495" s="7" t="s">
        <v>163</v>
      </c>
      <c r="D495" s="8">
        <v>1</v>
      </c>
      <c r="E495" s="8">
        <v>1</v>
      </c>
      <c r="F495" s="8">
        <v>10</v>
      </c>
      <c r="G495" s="5">
        <v>10</v>
      </c>
      <c r="H495" s="5">
        <v>0</v>
      </c>
      <c r="I495" s="6">
        <f t="shared" si="7"/>
        <v>0</v>
      </c>
      <c r="J495" s="6">
        <f>D495/(VLOOKUP(B495,'[1]2021 Team'!$B$2:$G$33,2,FALSE))</f>
        <v>1.7452006980802793E-3</v>
      </c>
      <c r="K495" s="9">
        <v>100</v>
      </c>
      <c r="L495" s="5">
        <v>0</v>
      </c>
    </row>
    <row r="496" spans="1:12" x14ac:dyDescent="0.25">
      <c r="A496" s="5" t="s">
        <v>1560</v>
      </c>
      <c r="B496" s="5" t="s">
        <v>70</v>
      </c>
      <c r="C496" s="7" t="s">
        <v>82</v>
      </c>
      <c r="D496" s="8">
        <v>1</v>
      </c>
      <c r="E496" s="8">
        <v>1</v>
      </c>
      <c r="F496" s="8">
        <v>-2</v>
      </c>
      <c r="G496" s="5">
        <v>-2</v>
      </c>
      <c r="H496" s="5">
        <v>0</v>
      </c>
      <c r="I496" s="6">
        <f t="shared" si="7"/>
        <v>0</v>
      </c>
      <c r="J496" s="6">
        <f>D496/(VLOOKUP(B496,'[1]2021 Team'!$B$2:$G$33,2,FALSE))</f>
        <v>1.8181818181818182E-3</v>
      </c>
      <c r="K496" s="9">
        <v>100</v>
      </c>
      <c r="L496" s="5">
        <v>7</v>
      </c>
    </row>
    <row r="497" spans="1:12" x14ac:dyDescent="0.25">
      <c r="A497" s="5" t="s">
        <v>2621</v>
      </c>
      <c r="B497" s="5" t="s">
        <v>40</v>
      </c>
      <c r="C497" s="7" t="s">
        <v>153</v>
      </c>
      <c r="D497" s="8">
        <v>2</v>
      </c>
      <c r="E497" s="8">
        <v>1</v>
      </c>
      <c r="F497" s="8">
        <v>-1</v>
      </c>
      <c r="G497" s="5">
        <v>-1</v>
      </c>
      <c r="H497" s="5">
        <v>0</v>
      </c>
      <c r="I497" s="6">
        <f t="shared" si="7"/>
        <v>0</v>
      </c>
      <c r="J497" s="6">
        <f>D497/(VLOOKUP(B497,'[1]2021 Team'!$B$2:$G$33,2,FALSE))</f>
        <v>3.1847133757961785E-3</v>
      </c>
      <c r="K497" s="9">
        <v>50</v>
      </c>
      <c r="L497" s="5">
        <v>0</v>
      </c>
    </row>
    <row r="498" spans="1:12" x14ac:dyDescent="0.25">
      <c r="A498" s="5" t="s">
        <v>2451</v>
      </c>
      <c r="B498" s="5" t="s">
        <v>30</v>
      </c>
      <c r="C498" s="7" t="s">
        <v>159</v>
      </c>
      <c r="D498" s="8">
        <v>2</v>
      </c>
      <c r="E498" s="8">
        <v>1</v>
      </c>
      <c r="F498" s="8">
        <v>5</v>
      </c>
      <c r="G498" s="5">
        <v>5</v>
      </c>
      <c r="H498" s="5">
        <v>0</v>
      </c>
      <c r="I498" s="6">
        <f t="shared" si="7"/>
        <v>0</v>
      </c>
      <c r="J498" s="6">
        <f>D498/(VLOOKUP(B498,'[1]2021 Team'!$B$2:$G$33,2,FALSE))</f>
        <v>3.3726812816188868E-3</v>
      </c>
      <c r="K498" s="9">
        <v>50</v>
      </c>
      <c r="L498" s="5">
        <v>0</v>
      </c>
    </row>
    <row r="499" spans="1:12" x14ac:dyDescent="0.25">
      <c r="A499" s="5" t="s">
        <v>1749</v>
      </c>
      <c r="B499" s="5" t="s">
        <v>68</v>
      </c>
      <c r="C499" s="7" t="s">
        <v>2165</v>
      </c>
      <c r="D499" s="8">
        <v>1</v>
      </c>
      <c r="E499" s="8">
        <v>1</v>
      </c>
      <c r="F499" s="8">
        <v>6</v>
      </c>
      <c r="G499" s="5">
        <v>6</v>
      </c>
      <c r="H499" s="5">
        <v>0</v>
      </c>
      <c r="I499" s="6">
        <f t="shared" ref="I499:I559" si="8">H499/E499</f>
        <v>0</v>
      </c>
      <c r="J499" s="6">
        <f>D499/(VLOOKUP(B499,'[1]2021 Team'!$B$2:$G$33,2,FALSE))</f>
        <v>1.869158878504673E-3</v>
      </c>
      <c r="K499" s="9">
        <v>100</v>
      </c>
      <c r="L499" s="5">
        <v>0</v>
      </c>
    </row>
    <row r="500" spans="1:12" x14ac:dyDescent="0.25">
      <c r="A500" s="5" t="s">
        <v>1804</v>
      </c>
      <c r="B500" s="5" t="s">
        <v>44</v>
      </c>
      <c r="C500" s="7" t="s">
        <v>153</v>
      </c>
      <c r="D500" s="8">
        <v>1</v>
      </c>
      <c r="E500" s="8">
        <v>1</v>
      </c>
      <c r="F500" s="8">
        <v>9</v>
      </c>
      <c r="G500" s="5">
        <v>9</v>
      </c>
      <c r="H500" s="5">
        <v>0</v>
      </c>
      <c r="I500" s="6">
        <f t="shared" si="8"/>
        <v>0</v>
      </c>
      <c r="J500" s="6">
        <f>D500/(VLOOKUP(B500,'[1]2021 Team'!$B$2:$G$33,2,FALSE))</f>
        <v>1.6474464579901153E-3</v>
      </c>
      <c r="K500" s="9">
        <v>100</v>
      </c>
      <c r="L500" s="5">
        <v>0</v>
      </c>
    </row>
    <row r="501" spans="1:12" x14ac:dyDescent="0.25">
      <c r="A501" s="5" t="s">
        <v>2454</v>
      </c>
      <c r="B501" s="5" t="s">
        <v>8</v>
      </c>
      <c r="C501" s="7" t="s">
        <v>163</v>
      </c>
      <c r="D501" s="8">
        <v>1</v>
      </c>
      <c r="E501" s="8">
        <v>1</v>
      </c>
      <c r="F501" s="8">
        <v>13</v>
      </c>
      <c r="G501" s="5">
        <v>13</v>
      </c>
      <c r="H501" s="5">
        <v>0</v>
      </c>
      <c r="I501" s="6">
        <f t="shared" si="8"/>
        <v>0</v>
      </c>
      <c r="J501" s="6">
        <f>D501/(VLOOKUP(B501,'[1]2021 Team'!$B$2:$G$33,2,FALSE))</f>
        <v>1.6920473773265651E-3</v>
      </c>
      <c r="K501" s="9">
        <v>100</v>
      </c>
      <c r="L501" s="5">
        <v>0</v>
      </c>
    </row>
    <row r="502" spans="1:12" x14ac:dyDescent="0.25">
      <c r="A502" s="5" t="s">
        <v>2633</v>
      </c>
      <c r="B502" s="5" t="s">
        <v>58</v>
      </c>
      <c r="C502" s="7" t="s">
        <v>2087</v>
      </c>
      <c r="D502" s="8">
        <v>1</v>
      </c>
      <c r="E502" s="8">
        <v>1</v>
      </c>
      <c r="F502" s="8">
        <v>5</v>
      </c>
      <c r="G502" s="5">
        <v>5</v>
      </c>
      <c r="H502" s="5">
        <v>1</v>
      </c>
      <c r="I502" s="6">
        <f t="shared" si="8"/>
        <v>1</v>
      </c>
      <c r="J502" s="6">
        <f>D502/(VLOOKUP(B502,'[1]2021 Team'!$B$2:$G$33,2,FALSE))</f>
        <v>2.0242914979757085E-3</v>
      </c>
      <c r="K502" s="9">
        <v>100</v>
      </c>
      <c r="L502" s="5">
        <v>0</v>
      </c>
    </row>
    <row r="503" spans="1:12" x14ac:dyDescent="0.25">
      <c r="A503" s="5" t="s">
        <v>102</v>
      </c>
      <c r="B503" s="5" t="s">
        <v>54</v>
      </c>
      <c r="C503" s="7" t="s">
        <v>82</v>
      </c>
      <c r="D503" s="8">
        <v>1</v>
      </c>
      <c r="E503" s="8">
        <v>1</v>
      </c>
      <c r="F503" s="8">
        <v>16</v>
      </c>
      <c r="G503" s="5">
        <v>16</v>
      </c>
      <c r="H503" s="5">
        <v>0</v>
      </c>
      <c r="I503" s="6">
        <f t="shared" si="8"/>
        <v>0</v>
      </c>
      <c r="J503" s="6">
        <f>D503/(VLOOKUP(B503,'[1]2021 Team'!$B$2:$G$33,2,FALSE))</f>
        <v>1.6863406408094434E-3</v>
      </c>
      <c r="K503" s="9">
        <v>100</v>
      </c>
      <c r="L503" s="5">
        <v>7</v>
      </c>
    </row>
    <row r="504" spans="1:12" x14ac:dyDescent="0.25">
      <c r="A504" s="5" t="s">
        <v>2635</v>
      </c>
      <c r="B504" s="5" t="s">
        <v>46</v>
      </c>
      <c r="C504" s="7" t="s">
        <v>163</v>
      </c>
      <c r="D504" s="8">
        <v>2</v>
      </c>
      <c r="E504" s="8">
        <v>1</v>
      </c>
      <c r="F504" s="8">
        <v>7</v>
      </c>
      <c r="G504" s="5">
        <v>7</v>
      </c>
      <c r="H504" s="5">
        <v>0</v>
      </c>
      <c r="I504" s="6">
        <f t="shared" si="8"/>
        <v>0</v>
      </c>
      <c r="J504" s="6">
        <f>D504/(VLOOKUP(B504,'[1]2021 Team'!$B$2:$G$33,2,FALSE))</f>
        <v>3.2520325203252032E-3</v>
      </c>
      <c r="K504" s="9">
        <v>50</v>
      </c>
      <c r="L504" s="5">
        <v>0</v>
      </c>
    </row>
    <row r="505" spans="1:12" x14ac:dyDescent="0.25">
      <c r="A505" s="5" t="s">
        <v>156</v>
      </c>
      <c r="B505" s="5" t="s">
        <v>26</v>
      </c>
      <c r="C505" s="7" t="s">
        <v>82</v>
      </c>
      <c r="D505" s="8">
        <v>1</v>
      </c>
      <c r="E505" s="8">
        <v>1</v>
      </c>
      <c r="F505" s="8">
        <v>1</v>
      </c>
      <c r="G505" s="5">
        <v>1</v>
      </c>
      <c r="H505" s="5">
        <v>0</v>
      </c>
      <c r="I505" s="6">
        <f t="shared" si="8"/>
        <v>0</v>
      </c>
      <c r="J505" s="6">
        <f>D505/(VLOOKUP(B505,'[1]2021 Team'!$B$2:$G$33,2,FALSE))</f>
        <v>1.8484288354898336E-3</v>
      </c>
      <c r="K505" s="9">
        <v>100</v>
      </c>
      <c r="L505" s="5">
        <v>2</v>
      </c>
    </row>
    <row r="506" spans="1:12" x14ac:dyDescent="0.25">
      <c r="A506" s="5" t="s">
        <v>901</v>
      </c>
      <c r="B506" s="5" t="s">
        <v>46</v>
      </c>
      <c r="C506" s="7" t="s">
        <v>153</v>
      </c>
      <c r="D506" s="8">
        <v>3</v>
      </c>
      <c r="E506" s="8">
        <v>1</v>
      </c>
      <c r="F506" s="8">
        <v>8</v>
      </c>
      <c r="G506" s="5">
        <v>8</v>
      </c>
      <c r="H506" s="5">
        <v>0</v>
      </c>
      <c r="I506" s="6">
        <f t="shared" si="8"/>
        <v>0</v>
      </c>
      <c r="J506" s="6">
        <f>D506/(VLOOKUP(B506,'[1]2021 Team'!$B$2:$G$33,2,FALSE))</f>
        <v>4.8780487804878049E-3</v>
      </c>
      <c r="K506" s="9">
        <v>33.299999999999997</v>
      </c>
      <c r="L506" s="5">
        <v>0</v>
      </c>
    </row>
    <row r="507" spans="1:12" x14ac:dyDescent="0.25">
      <c r="A507" s="5" t="s">
        <v>2636</v>
      </c>
      <c r="B507" s="5" t="s">
        <v>56</v>
      </c>
      <c r="C507" s="7" t="s">
        <v>805</v>
      </c>
      <c r="D507" s="8">
        <v>1</v>
      </c>
      <c r="E507" s="8">
        <v>1</v>
      </c>
      <c r="F507" s="8">
        <v>1</v>
      </c>
      <c r="G507" s="5">
        <v>1</v>
      </c>
      <c r="H507" s="5">
        <v>1</v>
      </c>
      <c r="I507" s="6">
        <f t="shared" si="8"/>
        <v>1</v>
      </c>
      <c r="J507" s="6">
        <f>D507/(VLOOKUP(B507,'[1]2021 Team'!$B$2:$G$33,2,FALSE))</f>
        <v>1.658374792703151E-3</v>
      </c>
      <c r="K507" s="9">
        <v>100</v>
      </c>
      <c r="L507" s="5">
        <v>0</v>
      </c>
    </row>
    <row r="508" spans="1:12" x14ac:dyDescent="0.25">
      <c r="A508" s="5" t="s">
        <v>1822</v>
      </c>
      <c r="B508" s="5" t="s">
        <v>60</v>
      </c>
      <c r="C508" s="7" t="s">
        <v>159</v>
      </c>
      <c r="D508" s="8">
        <v>1</v>
      </c>
      <c r="E508" s="8">
        <v>1</v>
      </c>
      <c r="F508" s="8">
        <v>11</v>
      </c>
      <c r="G508" s="5">
        <v>11</v>
      </c>
      <c r="H508" s="5">
        <v>0</v>
      </c>
      <c r="I508" s="6">
        <f t="shared" si="8"/>
        <v>0</v>
      </c>
      <c r="J508" s="6">
        <f>D508/(VLOOKUP(B508,'[1]2021 Team'!$B$2:$G$33,2,FALSE))</f>
        <v>1.5060240963855422E-3</v>
      </c>
      <c r="K508" s="9">
        <v>100</v>
      </c>
      <c r="L508" s="5">
        <v>0</v>
      </c>
    </row>
    <row r="509" spans="1:12" x14ac:dyDescent="0.25">
      <c r="A509" s="5" t="s">
        <v>2638</v>
      </c>
      <c r="B509" s="5" t="s">
        <v>46</v>
      </c>
      <c r="C509" s="7" t="s">
        <v>163</v>
      </c>
      <c r="D509" s="8">
        <v>3</v>
      </c>
      <c r="E509" s="8">
        <v>1</v>
      </c>
      <c r="F509" s="8">
        <v>13</v>
      </c>
      <c r="G509" s="5">
        <v>13</v>
      </c>
      <c r="H509" s="5">
        <v>0</v>
      </c>
      <c r="I509" s="6">
        <f t="shared" si="8"/>
        <v>0</v>
      </c>
      <c r="J509" s="6">
        <f>D509/(VLOOKUP(B509,'[1]2021 Team'!$B$2:$G$33,2,FALSE))</f>
        <v>4.8780487804878049E-3</v>
      </c>
      <c r="K509" s="9">
        <v>33.299999999999997</v>
      </c>
      <c r="L509" s="5">
        <v>0</v>
      </c>
    </row>
    <row r="510" spans="1:12" x14ac:dyDescent="0.25">
      <c r="A510" s="5" t="s">
        <v>903</v>
      </c>
      <c r="B510" s="5" t="s">
        <v>44</v>
      </c>
      <c r="C510" s="7" t="s">
        <v>153</v>
      </c>
      <c r="D510" s="8">
        <v>1</v>
      </c>
      <c r="E510" s="8">
        <v>1</v>
      </c>
      <c r="F510" s="8">
        <v>9</v>
      </c>
      <c r="G510" s="5">
        <v>9</v>
      </c>
      <c r="H510" s="5">
        <v>0</v>
      </c>
      <c r="I510" s="6">
        <f t="shared" si="8"/>
        <v>0</v>
      </c>
      <c r="J510" s="6">
        <f>D510/(VLOOKUP(B510,'[1]2021 Team'!$B$2:$G$33,2,FALSE))</f>
        <v>1.6474464579901153E-3</v>
      </c>
      <c r="K510" s="9">
        <v>100</v>
      </c>
      <c r="L510" s="5">
        <v>0</v>
      </c>
    </row>
    <row r="511" spans="1:12" x14ac:dyDescent="0.25">
      <c r="A511" s="5" t="s">
        <v>2579</v>
      </c>
      <c r="B511" s="5" t="s">
        <v>18</v>
      </c>
      <c r="C511" s="7" t="s">
        <v>159</v>
      </c>
      <c r="D511" s="8">
        <v>1</v>
      </c>
      <c r="E511" s="8">
        <v>1</v>
      </c>
      <c r="F511" s="8">
        <v>4</v>
      </c>
      <c r="G511" s="5">
        <v>4</v>
      </c>
      <c r="H511" s="5">
        <v>0</v>
      </c>
      <c r="I511" s="6">
        <f t="shared" si="8"/>
        <v>0</v>
      </c>
      <c r="J511" s="6">
        <f>D511/(VLOOKUP(B511,'[1]2021 Team'!$B$2:$G$33,2,FALSE))</f>
        <v>1.8450184501845018E-3</v>
      </c>
      <c r="K511" s="9">
        <v>100</v>
      </c>
      <c r="L511" s="5">
        <v>0</v>
      </c>
    </row>
    <row r="512" spans="1:12" x14ac:dyDescent="0.25">
      <c r="A512" s="5" t="s">
        <v>1733</v>
      </c>
      <c r="B512" s="5" t="s">
        <v>52</v>
      </c>
      <c r="C512" s="7" t="s">
        <v>159</v>
      </c>
      <c r="D512" s="8">
        <v>1</v>
      </c>
      <c r="E512" s="8">
        <v>1</v>
      </c>
      <c r="F512" s="8">
        <v>7</v>
      </c>
      <c r="G512" s="5">
        <v>7</v>
      </c>
      <c r="H512" s="5">
        <v>0</v>
      </c>
      <c r="I512" s="6">
        <f t="shared" si="8"/>
        <v>0</v>
      </c>
      <c r="J512" s="6">
        <f>D512/(VLOOKUP(B512,'[1]2021 Team'!$B$2:$G$33,2,FALSE))</f>
        <v>1.984126984126984E-3</v>
      </c>
      <c r="K512" s="9">
        <v>100</v>
      </c>
      <c r="L512" s="5">
        <v>0</v>
      </c>
    </row>
    <row r="513" spans="1:12" x14ac:dyDescent="0.25">
      <c r="A513" s="5" t="s">
        <v>2643</v>
      </c>
      <c r="B513" s="5" t="s">
        <v>34</v>
      </c>
      <c r="C513" s="7" t="s">
        <v>934</v>
      </c>
      <c r="D513" s="8">
        <v>1</v>
      </c>
      <c r="E513" s="8">
        <v>1</v>
      </c>
      <c r="F513" s="8">
        <v>2</v>
      </c>
      <c r="G513" s="5">
        <v>2</v>
      </c>
      <c r="H513" s="5">
        <v>1</v>
      </c>
      <c r="I513" s="6">
        <f t="shared" si="8"/>
        <v>1</v>
      </c>
      <c r="J513" s="6">
        <f>D513/(VLOOKUP(B513,'[1]2021 Team'!$B$2:$G$33,2,FALSE))</f>
        <v>1.9193857965451055E-3</v>
      </c>
      <c r="K513" s="9">
        <v>100</v>
      </c>
      <c r="L513" s="5">
        <v>0</v>
      </c>
    </row>
    <row r="514" spans="1:12" x14ac:dyDescent="0.25">
      <c r="A514" s="5" t="s">
        <v>2644</v>
      </c>
      <c r="B514" s="5" t="s">
        <v>28</v>
      </c>
      <c r="C514" s="7" t="s">
        <v>980</v>
      </c>
      <c r="D514" s="8">
        <v>1</v>
      </c>
      <c r="E514" s="8">
        <v>1</v>
      </c>
      <c r="F514" s="8">
        <v>17</v>
      </c>
      <c r="G514" s="5">
        <v>17</v>
      </c>
      <c r="H514" s="5">
        <v>0</v>
      </c>
      <c r="I514" s="6">
        <f t="shared" si="8"/>
        <v>0</v>
      </c>
      <c r="J514" s="6">
        <f>D514/(VLOOKUP(B514,'[1]2021 Team'!$B$2:$G$33,2,FALSE))</f>
        <v>1.6863406408094434E-3</v>
      </c>
      <c r="K514" s="9">
        <v>100</v>
      </c>
      <c r="L514" s="5">
        <v>0</v>
      </c>
    </row>
    <row r="515" spans="1:12" x14ac:dyDescent="0.25">
      <c r="A515" s="5" t="s">
        <v>2645</v>
      </c>
      <c r="B515" s="5" t="s">
        <v>38</v>
      </c>
      <c r="C515" s="7" t="s">
        <v>805</v>
      </c>
      <c r="D515" s="8">
        <v>1</v>
      </c>
      <c r="E515" s="8">
        <v>1</v>
      </c>
      <c r="F515" s="8">
        <v>-2</v>
      </c>
      <c r="G515" s="5">
        <v>-2</v>
      </c>
      <c r="H515" s="5">
        <v>0</v>
      </c>
      <c r="I515" s="6">
        <f t="shared" si="8"/>
        <v>0</v>
      </c>
      <c r="J515" s="6">
        <f>D515/(VLOOKUP(B515,'[1]2021 Team'!$B$2:$G$33,2,FALSE))</f>
        <v>1.4814814814814814E-3</v>
      </c>
      <c r="K515" s="9">
        <v>100</v>
      </c>
      <c r="L515" s="5">
        <v>0</v>
      </c>
    </row>
    <row r="516" spans="1:12" x14ac:dyDescent="0.25">
      <c r="A516" s="5" t="s">
        <v>2561</v>
      </c>
      <c r="B516" s="5" t="s">
        <v>32</v>
      </c>
      <c r="C516" s="7" t="s">
        <v>163</v>
      </c>
      <c r="D516" s="8">
        <v>2</v>
      </c>
      <c r="E516" s="8">
        <v>1</v>
      </c>
      <c r="F516" s="8">
        <v>35</v>
      </c>
      <c r="G516" s="5">
        <v>35</v>
      </c>
      <c r="H516" s="5">
        <v>0</v>
      </c>
      <c r="I516" s="6">
        <f t="shared" si="8"/>
        <v>0</v>
      </c>
      <c r="J516" s="6">
        <f>D516/(VLOOKUP(B516,'[1]2021 Team'!$B$2:$G$33,2,FALSE))</f>
        <v>3.663003663003663E-3</v>
      </c>
      <c r="K516" s="9">
        <v>50</v>
      </c>
      <c r="L516" s="5">
        <v>2</v>
      </c>
    </row>
    <row r="517" spans="1:12" x14ac:dyDescent="0.25">
      <c r="A517" s="5" t="s">
        <v>2561</v>
      </c>
      <c r="B517" s="5" t="s">
        <v>42</v>
      </c>
      <c r="C517" s="7" t="s">
        <v>163</v>
      </c>
      <c r="D517" s="8">
        <v>0</v>
      </c>
      <c r="E517" s="8">
        <v>0</v>
      </c>
      <c r="F517" s="8">
        <v>0</v>
      </c>
      <c r="G517" s="5"/>
      <c r="H517" s="5">
        <v>0</v>
      </c>
      <c r="I517" s="6" t="e">
        <f t="shared" si="8"/>
        <v>#DIV/0!</v>
      </c>
      <c r="J517" s="6">
        <f>D517/(VLOOKUP(B517,'[1]2021 Team'!$B$2:$G$33,2,FALSE))</f>
        <v>0</v>
      </c>
      <c r="K517" s="9"/>
      <c r="L517" s="5">
        <v>1</v>
      </c>
    </row>
    <row r="518" spans="1:12" x14ac:dyDescent="0.25">
      <c r="A518" s="5" t="s">
        <v>92</v>
      </c>
      <c r="B518" s="5" t="s">
        <v>30</v>
      </c>
      <c r="C518" s="7" t="s">
        <v>82</v>
      </c>
      <c r="D518" s="8">
        <v>1</v>
      </c>
      <c r="E518" s="8">
        <v>1</v>
      </c>
      <c r="F518" s="8">
        <v>-4</v>
      </c>
      <c r="G518" s="5">
        <v>-4</v>
      </c>
      <c r="H518" s="5">
        <v>0</v>
      </c>
      <c r="I518" s="6">
        <f t="shared" si="8"/>
        <v>0</v>
      </c>
      <c r="J518" s="6">
        <f>D518/(VLOOKUP(B518,'[1]2021 Team'!$B$2:$G$33,2,FALSE))</f>
        <v>1.6863406408094434E-3</v>
      </c>
      <c r="K518" s="9">
        <v>100</v>
      </c>
      <c r="L518" s="5">
        <v>3</v>
      </c>
    </row>
    <row r="519" spans="1:12" x14ac:dyDescent="0.25">
      <c r="A519" s="5" t="s">
        <v>2423</v>
      </c>
      <c r="B519" s="5" t="s">
        <v>42</v>
      </c>
      <c r="C519" s="7" t="s">
        <v>159</v>
      </c>
      <c r="D519" s="8">
        <v>2</v>
      </c>
      <c r="E519" s="8">
        <v>1</v>
      </c>
      <c r="F519" s="8">
        <v>-1</v>
      </c>
      <c r="G519" s="5">
        <v>-1</v>
      </c>
      <c r="H519" s="5">
        <v>0</v>
      </c>
      <c r="I519" s="6">
        <f t="shared" si="8"/>
        <v>0</v>
      </c>
      <c r="J519" s="6">
        <f>D519/(VLOOKUP(B519,'[1]2021 Team'!$B$2:$G$33,2,FALSE))</f>
        <v>2.967359050445104E-3</v>
      </c>
      <c r="K519" s="9">
        <v>50</v>
      </c>
      <c r="L519" s="5">
        <v>0</v>
      </c>
    </row>
    <row r="520" spans="1:12" x14ac:dyDescent="0.25">
      <c r="A520" s="5" t="s">
        <v>2656</v>
      </c>
      <c r="B520" s="5" t="s">
        <v>26</v>
      </c>
      <c r="C520" s="7" t="s">
        <v>163</v>
      </c>
      <c r="D520" s="8">
        <v>4</v>
      </c>
      <c r="E520" s="8">
        <v>1</v>
      </c>
      <c r="F520" s="8">
        <v>-3</v>
      </c>
      <c r="G520" s="5">
        <v>-3</v>
      </c>
      <c r="H520" s="5">
        <v>0</v>
      </c>
      <c r="I520" s="6">
        <f t="shared" si="8"/>
        <v>0</v>
      </c>
      <c r="J520" s="6">
        <f>D520/(VLOOKUP(B520,'[1]2021 Team'!$B$2:$G$33,2,FALSE))</f>
        <v>7.3937153419593345E-3</v>
      </c>
      <c r="K520" s="9">
        <v>25</v>
      </c>
      <c r="L520" s="5">
        <v>2</v>
      </c>
    </row>
    <row r="521" spans="1:12" x14ac:dyDescent="0.25">
      <c r="A521" s="5" t="s">
        <v>2658</v>
      </c>
      <c r="B521" s="5" t="s">
        <v>24</v>
      </c>
      <c r="C521" s="7" t="s">
        <v>2659</v>
      </c>
      <c r="D521" s="8">
        <v>1</v>
      </c>
      <c r="E521" s="8">
        <v>1</v>
      </c>
      <c r="F521" s="8">
        <v>1</v>
      </c>
      <c r="G521" s="5">
        <v>1</v>
      </c>
      <c r="H521" s="5">
        <v>1</v>
      </c>
      <c r="I521" s="6">
        <f t="shared" si="8"/>
        <v>1</v>
      </c>
      <c r="J521" s="6">
        <f>D521/(VLOOKUP(B521,'[1]2021 Team'!$B$2:$G$33,2,FALSE))</f>
        <v>1.5455950540958269E-3</v>
      </c>
      <c r="K521" s="9">
        <v>100</v>
      </c>
      <c r="L521" s="5">
        <v>0</v>
      </c>
    </row>
    <row r="522" spans="1:12" x14ac:dyDescent="0.25">
      <c r="A522" s="5" t="s">
        <v>2662</v>
      </c>
      <c r="B522" s="5" t="s">
        <v>54</v>
      </c>
      <c r="C522" s="7" t="s">
        <v>2184</v>
      </c>
      <c r="D522" s="8">
        <v>1</v>
      </c>
      <c r="E522" s="8">
        <v>1</v>
      </c>
      <c r="F522" s="8">
        <v>2</v>
      </c>
      <c r="G522" s="5">
        <v>2</v>
      </c>
      <c r="H522" s="5">
        <v>1</v>
      </c>
      <c r="I522" s="6">
        <f t="shared" si="8"/>
        <v>1</v>
      </c>
      <c r="J522" s="6">
        <f>D522/(VLOOKUP(B522,'[1]2021 Team'!$B$2:$G$33,2,FALSE))</f>
        <v>1.6863406408094434E-3</v>
      </c>
      <c r="K522" s="9">
        <v>100</v>
      </c>
      <c r="L522" s="5">
        <v>0</v>
      </c>
    </row>
    <row r="523" spans="1:12" x14ac:dyDescent="0.25">
      <c r="A523" s="5" t="s">
        <v>2212</v>
      </c>
      <c r="B523" s="5" t="s">
        <v>12</v>
      </c>
      <c r="C523" s="7" t="s">
        <v>153</v>
      </c>
      <c r="D523" s="8">
        <v>1</v>
      </c>
      <c r="E523" s="8">
        <v>1</v>
      </c>
      <c r="F523" s="8">
        <v>7</v>
      </c>
      <c r="G523" s="5">
        <v>7</v>
      </c>
      <c r="H523" s="5">
        <v>0</v>
      </c>
      <c r="I523" s="6">
        <f t="shared" si="8"/>
        <v>0</v>
      </c>
      <c r="J523" s="6">
        <f>D523/(VLOOKUP(B523,'[1]2021 Team'!$B$2:$G$33,2,FALSE))</f>
        <v>1.6366612111292963E-3</v>
      </c>
      <c r="K523" s="9">
        <v>100</v>
      </c>
      <c r="L523" s="5">
        <v>0</v>
      </c>
    </row>
    <row r="524" spans="1:12" x14ac:dyDescent="0.25">
      <c r="A524" s="5" t="s">
        <v>2530</v>
      </c>
      <c r="B524" s="5" t="s">
        <v>52</v>
      </c>
      <c r="C524" s="7" t="s">
        <v>163</v>
      </c>
      <c r="D524" s="8">
        <v>5</v>
      </c>
      <c r="E524" s="8">
        <v>1</v>
      </c>
      <c r="F524" s="8">
        <v>38</v>
      </c>
      <c r="G524" s="5">
        <v>38</v>
      </c>
      <c r="H524" s="5">
        <v>0</v>
      </c>
      <c r="I524" s="6">
        <f t="shared" si="8"/>
        <v>0</v>
      </c>
      <c r="J524" s="6">
        <f>D524/(VLOOKUP(B524,'[1]2021 Team'!$B$2:$G$33,2,FALSE))</f>
        <v>9.9206349206349201E-3</v>
      </c>
      <c r="K524" s="9">
        <v>20</v>
      </c>
      <c r="L524" s="5">
        <v>0</v>
      </c>
    </row>
    <row r="525" spans="1:12" x14ac:dyDescent="0.25">
      <c r="A525" s="5" t="s">
        <v>2666</v>
      </c>
      <c r="B525" s="5" t="s">
        <v>46</v>
      </c>
      <c r="C525" s="7" t="s">
        <v>2667</v>
      </c>
      <c r="D525" s="8">
        <v>1</v>
      </c>
      <c r="E525" s="8">
        <v>1</v>
      </c>
      <c r="F525" s="8">
        <v>1</v>
      </c>
      <c r="G525" s="5">
        <v>1</v>
      </c>
      <c r="H525" s="5">
        <v>1</v>
      </c>
      <c r="I525" s="6">
        <f t="shared" si="8"/>
        <v>1</v>
      </c>
      <c r="J525" s="6">
        <f>D525/(VLOOKUP(B525,'[1]2021 Team'!$B$2:$G$33,2,FALSE))</f>
        <v>1.6260162601626016E-3</v>
      </c>
      <c r="K525" s="9">
        <v>100</v>
      </c>
      <c r="L525" s="5">
        <v>1</v>
      </c>
    </row>
    <row r="526" spans="1:12" x14ac:dyDescent="0.25">
      <c r="A526" s="5" t="s">
        <v>2668</v>
      </c>
      <c r="B526" s="5" t="s">
        <v>26</v>
      </c>
      <c r="C526" s="7" t="s">
        <v>163</v>
      </c>
      <c r="D526" s="8">
        <v>1</v>
      </c>
      <c r="E526" s="8">
        <v>1</v>
      </c>
      <c r="F526" s="8">
        <v>34</v>
      </c>
      <c r="G526" s="5">
        <v>34</v>
      </c>
      <c r="H526" s="5">
        <v>0</v>
      </c>
      <c r="I526" s="6">
        <f t="shared" si="8"/>
        <v>0</v>
      </c>
      <c r="J526" s="6">
        <f>D526/(VLOOKUP(B526,'[1]2021 Team'!$B$2:$G$33,2,FALSE))</f>
        <v>1.8484288354898336E-3</v>
      </c>
      <c r="K526" s="9">
        <v>100</v>
      </c>
      <c r="L526" s="5">
        <v>0</v>
      </c>
    </row>
    <row r="527" spans="1:12" x14ac:dyDescent="0.25">
      <c r="A527" s="5" t="s">
        <v>629</v>
      </c>
      <c r="B527" s="5" t="s">
        <v>20</v>
      </c>
      <c r="C527" s="7" t="s">
        <v>159</v>
      </c>
      <c r="D527" s="8">
        <v>2</v>
      </c>
      <c r="E527" s="8">
        <v>1</v>
      </c>
      <c r="F527" s="8">
        <v>4</v>
      </c>
      <c r="G527" s="5">
        <v>4</v>
      </c>
      <c r="H527" s="5">
        <v>0</v>
      </c>
      <c r="I527" s="6">
        <f t="shared" si="8"/>
        <v>0</v>
      </c>
      <c r="J527" s="6">
        <f>D527/(VLOOKUP(B527,'[1]2021 Team'!$B$2:$G$33,2,FALSE))</f>
        <v>3.6036036036036037E-3</v>
      </c>
      <c r="K527" s="9">
        <v>50</v>
      </c>
      <c r="L527" s="5">
        <v>0</v>
      </c>
    </row>
    <row r="528" spans="1:12" x14ac:dyDescent="0.25">
      <c r="A528" s="5" t="s">
        <v>2671</v>
      </c>
      <c r="B528" s="5" t="s">
        <v>52</v>
      </c>
      <c r="C528" s="7" t="s">
        <v>163</v>
      </c>
      <c r="D528" s="8">
        <v>1</v>
      </c>
      <c r="E528" s="8">
        <v>1</v>
      </c>
      <c r="F528" s="8">
        <v>5</v>
      </c>
      <c r="G528" s="5">
        <v>5</v>
      </c>
      <c r="H528" s="5">
        <v>0</v>
      </c>
      <c r="I528" s="6">
        <f t="shared" si="8"/>
        <v>0</v>
      </c>
      <c r="J528" s="6">
        <f>D528/(VLOOKUP(B528,'[1]2021 Team'!$B$2:$G$33,2,FALSE))</f>
        <v>1.984126984126984E-3</v>
      </c>
      <c r="K528" s="9">
        <v>100</v>
      </c>
      <c r="L528" s="5">
        <v>0</v>
      </c>
    </row>
    <row r="529" spans="1:12" x14ac:dyDescent="0.25">
      <c r="A529" s="5" t="s">
        <v>2673</v>
      </c>
      <c r="B529" s="5" t="s">
        <v>66</v>
      </c>
      <c r="C529" s="7" t="s">
        <v>153</v>
      </c>
      <c r="D529" s="8">
        <v>1</v>
      </c>
      <c r="E529" s="8">
        <v>1</v>
      </c>
      <c r="F529" s="8">
        <v>0</v>
      </c>
      <c r="G529" s="5">
        <v>0</v>
      </c>
      <c r="H529" s="5">
        <v>0</v>
      </c>
      <c r="I529" s="6">
        <f t="shared" si="8"/>
        <v>0</v>
      </c>
      <c r="J529" s="6">
        <f>D529/(VLOOKUP(B529,'[1]2021 Team'!$B$2:$G$33,2,FALSE))</f>
        <v>1.3679890560875513E-3</v>
      </c>
      <c r="K529" s="9">
        <v>100</v>
      </c>
      <c r="L529" s="5">
        <v>0</v>
      </c>
    </row>
    <row r="530" spans="1:12" x14ac:dyDescent="0.25">
      <c r="A530" s="5" t="s">
        <v>2588</v>
      </c>
      <c r="B530" s="5" t="s">
        <v>18</v>
      </c>
      <c r="C530" s="7" t="s">
        <v>163</v>
      </c>
      <c r="D530" s="8">
        <v>1</v>
      </c>
      <c r="E530" s="8">
        <v>0</v>
      </c>
      <c r="F530" s="8">
        <v>0</v>
      </c>
      <c r="G530" s="5"/>
      <c r="H530" s="5">
        <v>0</v>
      </c>
      <c r="I530" s="6" t="e">
        <f t="shared" si="8"/>
        <v>#DIV/0!</v>
      </c>
      <c r="J530" s="6">
        <f>D530/(VLOOKUP(B530,'[1]2021 Team'!$B$2:$G$33,2,FALSE))</f>
        <v>1.8450184501845018E-3</v>
      </c>
      <c r="K530" s="9">
        <v>0</v>
      </c>
      <c r="L530" s="5">
        <v>0</v>
      </c>
    </row>
    <row r="531" spans="1:12" x14ac:dyDescent="0.25">
      <c r="A531" s="5" t="s">
        <v>143</v>
      </c>
      <c r="B531" s="5" t="s">
        <v>20</v>
      </c>
      <c r="C531" s="7" t="s">
        <v>82</v>
      </c>
      <c r="D531" s="8">
        <v>0</v>
      </c>
      <c r="E531" s="8">
        <v>0</v>
      </c>
      <c r="F531" s="8">
        <v>0</v>
      </c>
      <c r="G531" s="5"/>
      <c r="H531" s="5">
        <v>0</v>
      </c>
      <c r="I531" s="6" t="e">
        <f t="shared" si="8"/>
        <v>#DIV/0!</v>
      </c>
      <c r="J531" s="6">
        <f>D531/(VLOOKUP(B531,'[1]2021 Team'!$B$2:$G$33,2,FALSE))</f>
        <v>0</v>
      </c>
      <c r="K531" s="9"/>
      <c r="L531" s="5">
        <v>1</v>
      </c>
    </row>
    <row r="532" spans="1:12" x14ac:dyDescent="0.25">
      <c r="A532" s="5" t="s">
        <v>97</v>
      </c>
      <c r="B532" s="5" t="s">
        <v>14</v>
      </c>
      <c r="C532" s="7" t="s">
        <v>82</v>
      </c>
      <c r="D532" s="8">
        <v>0</v>
      </c>
      <c r="E532" s="8">
        <v>0</v>
      </c>
      <c r="F532" s="8">
        <v>0</v>
      </c>
      <c r="G532" s="5"/>
      <c r="H532" s="5">
        <v>0</v>
      </c>
      <c r="I532" s="6" t="e">
        <f t="shared" si="8"/>
        <v>#DIV/0!</v>
      </c>
      <c r="J532" s="6">
        <f>D532/(VLOOKUP(B532,'[1]2021 Team'!$B$2:$G$33,2,FALSE))</f>
        <v>0</v>
      </c>
      <c r="K532" s="9"/>
      <c r="L532" s="5">
        <v>8</v>
      </c>
    </row>
    <row r="533" spans="1:12" x14ac:dyDescent="0.25">
      <c r="A533" s="5" t="s">
        <v>160</v>
      </c>
      <c r="B533" s="5" t="s">
        <v>70</v>
      </c>
      <c r="C533" s="7" t="s">
        <v>82</v>
      </c>
      <c r="D533" s="8">
        <v>0</v>
      </c>
      <c r="E533" s="8">
        <v>0</v>
      </c>
      <c r="F533" s="8">
        <v>0</v>
      </c>
      <c r="G533" s="5"/>
      <c r="H533" s="5">
        <v>0</v>
      </c>
      <c r="I533" s="6" t="e">
        <f t="shared" si="8"/>
        <v>#DIV/0!</v>
      </c>
      <c r="J533" s="6">
        <f>D533/(VLOOKUP(B533,'[1]2021 Team'!$B$2:$G$33,2,FALSE))</f>
        <v>0</v>
      </c>
      <c r="K533" s="9"/>
      <c r="L533" s="5">
        <v>1</v>
      </c>
    </row>
    <row r="534" spans="1:12" x14ac:dyDescent="0.25">
      <c r="A534" s="5" t="s">
        <v>2589</v>
      </c>
      <c r="B534" s="5" t="s">
        <v>28</v>
      </c>
      <c r="C534" s="7" t="s">
        <v>163</v>
      </c>
      <c r="D534" s="8">
        <v>2</v>
      </c>
      <c r="E534" s="8">
        <v>0</v>
      </c>
      <c r="F534" s="8">
        <v>0</v>
      </c>
      <c r="G534" s="5"/>
      <c r="H534" s="5">
        <v>0</v>
      </c>
      <c r="I534" s="6" t="e">
        <f t="shared" si="8"/>
        <v>#DIV/0!</v>
      </c>
      <c r="J534" s="6">
        <f>D534/(VLOOKUP(B534,'[1]2021 Team'!$B$2:$G$33,2,FALSE))</f>
        <v>3.3726812816188868E-3</v>
      </c>
      <c r="K534" s="9">
        <v>0</v>
      </c>
      <c r="L534" s="5">
        <v>0</v>
      </c>
    </row>
    <row r="535" spans="1:12" x14ac:dyDescent="0.25">
      <c r="A535" s="5" t="s">
        <v>931</v>
      </c>
      <c r="B535" s="5" t="s">
        <v>54</v>
      </c>
      <c r="C535" s="7" t="s">
        <v>163</v>
      </c>
      <c r="D535" s="8">
        <v>0</v>
      </c>
      <c r="E535" s="8">
        <v>0</v>
      </c>
      <c r="F535" s="8">
        <v>0</v>
      </c>
      <c r="G535" s="5"/>
      <c r="H535" s="5">
        <v>0</v>
      </c>
      <c r="I535" s="6" t="e">
        <f t="shared" si="8"/>
        <v>#DIV/0!</v>
      </c>
      <c r="J535" s="6">
        <f>D535/(VLOOKUP(B535,'[1]2021 Team'!$B$2:$G$33,2,FALSE))</f>
        <v>0</v>
      </c>
      <c r="K535" s="9"/>
      <c r="L535" s="5">
        <v>0</v>
      </c>
    </row>
    <row r="536" spans="1:12" x14ac:dyDescent="0.25">
      <c r="A536" s="5" t="s">
        <v>2556</v>
      </c>
      <c r="B536" s="5" t="s">
        <v>66</v>
      </c>
      <c r="C536" s="7" t="s">
        <v>159</v>
      </c>
      <c r="D536" s="8">
        <v>0</v>
      </c>
      <c r="E536" s="8">
        <v>0</v>
      </c>
      <c r="F536" s="8">
        <v>0</v>
      </c>
      <c r="G536" s="5"/>
      <c r="H536" s="5">
        <v>0</v>
      </c>
      <c r="I536" s="6" t="e">
        <f t="shared" si="8"/>
        <v>#DIV/0!</v>
      </c>
      <c r="J536" s="6">
        <f>D536/(VLOOKUP(B536,'[1]2021 Team'!$B$2:$G$33,2,FALSE))</f>
        <v>0</v>
      </c>
      <c r="K536" s="9"/>
      <c r="L536" s="5">
        <v>0</v>
      </c>
    </row>
    <row r="537" spans="1:12" x14ac:dyDescent="0.25">
      <c r="A537" s="5" t="s">
        <v>1565</v>
      </c>
      <c r="B537" s="5" t="s">
        <v>36</v>
      </c>
      <c r="C537" s="7" t="s">
        <v>82</v>
      </c>
      <c r="D537" s="8">
        <v>0</v>
      </c>
      <c r="E537" s="8">
        <v>0</v>
      </c>
      <c r="F537" s="8">
        <v>0</v>
      </c>
      <c r="G537" s="5"/>
      <c r="H537" s="5">
        <v>0</v>
      </c>
      <c r="I537" s="6" t="e">
        <f t="shared" si="8"/>
        <v>#DIV/0!</v>
      </c>
      <c r="J537" s="6">
        <f>D537/(VLOOKUP(B537,'[1]2021 Team'!$B$2:$G$33,2,FALSE))</f>
        <v>0</v>
      </c>
      <c r="K537" s="9"/>
      <c r="L537" s="5">
        <v>0</v>
      </c>
    </row>
    <row r="538" spans="1:12" x14ac:dyDescent="0.25">
      <c r="A538" s="5" t="s">
        <v>2592</v>
      </c>
      <c r="B538" s="5" t="s">
        <v>62</v>
      </c>
      <c r="C538" s="7" t="s">
        <v>163</v>
      </c>
      <c r="D538" s="8">
        <v>5</v>
      </c>
      <c r="E538" s="8">
        <v>0</v>
      </c>
      <c r="F538" s="8">
        <v>0</v>
      </c>
      <c r="G538" s="5"/>
      <c r="H538" s="5">
        <v>0</v>
      </c>
      <c r="I538" s="6" t="e">
        <f t="shared" si="8"/>
        <v>#DIV/0!</v>
      </c>
      <c r="J538" s="6">
        <f>D538/(VLOOKUP(B538,'[1]2021 Team'!$B$2:$G$33,2,FALSE))</f>
        <v>9.727626459143969E-3</v>
      </c>
      <c r="K538" s="9">
        <v>0</v>
      </c>
      <c r="L538" s="5">
        <v>1</v>
      </c>
    </row>
    <row r="539" spans="1:12" x14ac:dyDescent="0.25">
      <c r="A539" s="5" t="s">
        <v>2566</v>
      </c>
      <c r="B539" s="5" t="s">
        <v>30</v>
      </c>
      <c r="C539" s="7" t="s">
        <v>82</v>
      </c>
      <c r="D539" s="8">
        <v>0</v>
      </c>
      <c r="E539" s="8">
        <v>0</v>
      </c>
      <c r="F539" s="8">
        <v>0</v>
      </c>
      <c r="G539" s="5"/>
      <c r="H539" s="5">
        <v>0</v>
      </c>
      <c r="I539" s="6" t="e">
        <f t="shared" si="8"/>
        <v>#DIV/0!</v>
      </c>
      <c r="J539" s="6">
        <f>D539/(VLOOKUP(B539,'[1]2021 Team'!$B$2:$G$33,2,FALSE))</f>
        <v>0</v>
      </c>
      <c r="K539" s="9"/>
      <c r="L539" s="5">
        <v>0</v>
      </c>
    </row>
    <row r="540" spans="1:12" x14ac:dyDescent="0.25">
      <c r="A540" s="5" t="s">
        <v>2369</v>
      </c>
      <c r="B540" s="5" t="s">
        <v>28</v>
      </c>
      <c r="C540" s="7" t="s">
        <v>82</v>
      </c>
      <c r="D540" s="8">
        <v>0</v>
      </c>
      <c r="E540" s="8">
        <v>0</v>
      </c>
      <c r="F540" s="8">
        <v>0</v>
      </c>
      <c r="G540" s="5"/>
      <c r="H540" s="5">
        <v>0</v>
      </c>
      <c r="I540" s="6" t="e">
        <f t="shared" si="8"/>
        <v>#DIV/0!</v>
      </c>
      <c r="J540" s="6">
        <f>D540/(VLOOKUP(B540,'[1]2021 Team'!$B$2:$G$33,2,FALSE))</f>
        <v>0</v>
      </c>
      <c r="K540" s="9"/>
      <c r="L540" s="5">
        <v>1</v>
      </c>
    </row>
    <row r="541" spans="1:12" x14ac:dyDescent="0.25">
      <c r="A541" s="5" t="s">
        <v>2390</v>
      </c>
      <c r="B541" s="5" t="s">
        <v>52</v>
      </c>
      <c r="C541" s="7" t="s">
        <v>82</v>
      </c>
      <c r="D541" s="8">
        <v>0</v>
      </c>
      <c r="E541" s="8">
        <v>0</v>
      </c>
      <c r="F541" s="8">
        <v>0</v>
      </c>
      <c r="G541" s="5"/>
      <c r="H541" s="5">
        <v>0</v>
      </c>
      <c r="I541" s="6" t="e">
        <f t="shared" si="8"/>
        <v>#DIV/0!</v>
      </c>
      <c r="J541" s="6">
        <f>D541/(VLOOKUP(B541,'[1]2021 Team'!$B$2:$G$33,2,FALSE))</f>
        <v>0</v>
      </c>
      <c r="K541" s="9"/>
      <c r="L541" s="5">
        <v>0</v>
      </c>
    </row>
    <row r="542" spans="1:12" x14ac:dyDescent="0.25">
      <c r="A542" s="5" t="s">
        <v>1564</v>
      </c>
      <c r="B542" s="5" t="s">
        <v>28</v>
      </c>
      <c r="C542" s="7" t="s">
        <v>82</v>
      </c>
      <c r="D542" s="8">
        <v>0</v>
      </c>
      <c r="E542" s="8">
        <v>0</v>
      </c>
      <c r="F542" s="8">
        <v>0</v>
      </c>
      <c r="G542" s="5"/>
      <c r="H542" s="5">
        <v>0</v>
      </c>
      <c r="I542" s="6" t="e">
        <f t="shared" si="8"/>
        <v>#DIV/0!</v>
      </c>
      <c r="J542" s="6">
        <f>D542/(VLOOKUP(B542,'[1]2021 Team'!$B$2:$G$33,2,FALSE))</f>
        <v>0</v>
      </c>
      <c r="K542" s="9"/>
      <c r="L542" s="5">
        <v>1</v>
      </c>
    </row>
    <row r="543" spans="1:12" x14ac:dyDescent="0.25">
      <c r="A543" s="5" t="s">
        <v>2599</v>
      </c>
      <c r="B543" s="5" t="s">
        <v>42</v>
      </c>
      <c r="C543" s="7" t="s">
        <v>613</v>
      </c>
      <c r="D543" s="8">
        <v>1</v>
      </c>
      <c r="E543" s="8">
        <v>0</v>
      </c>
      <c r="F543" s="8">
        <v>0</v>
      </c>
      <c r="G543" s="5"/>
      <c r="H543" s="5">
        <v>0</v>
      </c>
      <c r="I543" s="6" t="e">
        <f t="shared" si="8"/>
        <v>#DIV/0!</v>
      </c>
      <c r="J543" s="6">
        <f>D543/(VLOOKUP(B543,'[1]2021 Team'!$B$2:$G$33,2,FALSE))</f>
        <v>1.483679525222552E-3</v>
      </c>
      <c r="K543" s="9">
        <v>0</v>
      </c>
      <c r="L543" s="5">
        <v>0</v>
      </c>
    </row>
    <row r="544" spans="1:12" x14ac:dyDescent="0.25">
      <c r="A544" s="5" t="s">
        <v>2364</v>
      </c>
      <c r="B544" s="5" t="s">
        <v>66</v>
      </c>
      <c r="C544" s="7" t="s">
        <v>82</v>
      </c>
      <c r="D544" s="8">
        <v>0</v>
      </c>
      <c r="E544" s="8">
        <v>0</v>
      </c>
      <c r="F544" s="8">
        <v>0</v>
      </c>
      <c r="G544" s="5"/>
      <c r="H544" s="5">
        <v>0</v>
      </c>
      <c r="I544" s="6" t="e">
        <f t="shared" si="8"/>
        <v>#DIV/0!</v>
      </c>
      <c r="J544" s="6">
        <f>D544/(VLOOKUP(B544,'[1]2021 Team'!$B$2:$G$33,2,FALSE))</f>
        <v>0</v>
      </c>
      <c r="K544" s="9"/>
      <c r="L544" s="5">
        <v>4</v>
      </c>
    </row>
    <row r="545" spans="1:12" x14ac:dyDescent="0.25">
      <c r="A545" s="5" t="s">
        <v>147</v>
      </c>
      <c r="B545" s="5" t="s">
        <v>26</v>
      </c>
      <c r="C545" s="7" t="s">
        <v>82</v>
      </c>
      <c r="D545" s="8">
        <v>0</v>
      </c>
      <c r="E545" s="8">
        <v>0</v>
      </c>
      <c r="F545" s="8">
        <v>0</v>
      </c>
      <c r="G545" s="5"/>
      <c r="H545" s="5">
        <v>0</v>
      </c>
      <c r="I545" s="6" t="e">
        <f t="shared" si="8"/>
        <v>#DIV/0!</v>
      </c>
      <c r="J545" s="6">
        <f>D545/(VLOOKUP(B545,'[1]2021 Team'!$B$2:$G$33,2,FALSE))</f>
        <v>0</v>
      </c>
      <c r="K545" s="9"/>
      <c r="L545" s="5">
        <v>1</v>
      </c>
    </row>
    <row r="546" spans="1:12" x14ac:dyDescent="0.25">
      <c r="A546" s="5" t="s">
        <v>94</v>
      </c>
      <c r="B546" s="5" t="s">
        <v>46</v>
      </c>
      <c r="C546" s="7" t="s">
        <v>82</v>
      </c>
      <c r="D546" s="8">
        <v>0</v>
      </c>
      <c r="E546" s="8">
        <v>0</v>
      </c>
      <c r="F546" s="8">
        <v>0</v>
      </c>
      <c r="G546" s="5"/>
      <c r="H546" s="5">
        <v>0</v>
      </c>
      <c r="I546" s="6" t="e">
        <f t="shared" si="8"/>
        <v>#DIV/0!</v>
      </c>
      <c r="J546" s="6">
        <f>D546/(VLOOKUP(B546,'[1]2021 Team'!$B$2:$G$33,2,FALSE))</f>
        <v>0</v>
      </c>
      <c r="K546" s="9"/>
      <c r="L546" s="5">
        <v>6</v>
      </c>
    </row>
    <row r="547" spans="1:12" x14ac:dyDescent="0.25">
      <c r="A547" s="5" t="s">
        <v>2468</v>
      </c>
      <c r="B547" s="5" t="s">
        <v>26</v>
      </c>
      <c r="C547" s="7" t="s">
        <v>163</v>
      </c>
      <c r="D547" s="8">
        <v>1</v>
      </c>
      <c r="E547" s="8">
        <v>0</v>
      </c>
      <c r="F547" s="8">
        <v>0</v>
      </c>
      <c r="G547" s="5"/>
      <c r="H547" s="5">
        <v>0</v>
      </c>
      <c r="I547" s="6" t="e">
        <f t="shared" si="8"/>
        <v>#DIV/0!</v>
      </c>
      <c r="J547" s="6">
        <f>D547/(VLOOKUP(B547,'[1]2021 Team'!$B$2:$G$33,2,FALSE))</f>
        <v>1.8484288354898336E-3</v>
      </c>
      <c r="K547" s="9">
        <v>0</v>
      </c>
      <c r="L547" s="5">
        <v>0</v>
      </c>
    </row>
    <row r="548" spans="1:12" x14ac:dyDescent="0.25">
      <c r="A548" s="5" t="s">
        <v>2468</v>
      </c>
      <c r="B548" s="5" t="s">
        <v>36</v>
      </c>
      <c r="C548" s="7" t="s">
        <v>163</v>
      </c>
      <c r="D548" s="8">
        <v>2</v>
      </c>
      <c r="E548" s="8">
        <v>0</v>
      </c>
      <c r="F548" s="8">
        <v>0</v>
      </c>
      <c r="G548" s="5"/>
      <c r="H548" s="5">
        <v>0</v>
      </c>
      <c r="I548" s="6" t="e">
        <f t="shared" si="8"/>
        <v>#DIV/0!</v>
      </c>
      <c r="J548" s="6">
        <f>D548/(VLOOKUP(B548,'[1]2021 Team'!$B$2:$G$33,2,FALSE))</f>
        <v>3.3112582781456954E-3</v>
      </c>
      <c r="K548" s="9">
        <v>0</v>
      </c>
      <c r="L548" s="5">
        <v>0</v>
      </c>
    </row>
    <row r="549" spans="1:12" x14ac:dyDescent="0.25">
      <c r="A549" s="5" t="s">
        <v>111</v>
      </c>
      <c r="B549" s="5" t="s">
        <v>20</v>
      </c>
      <c r="C549" s="7" t="s">
        <v>82</v>
      </c>
      <c r="D549" s="8">
        <v>0</v>
      </c>
      <c r="E549" s="8">
        <v>0</v>
      </c>
      <c r="F549" s="8">
        <v>0</v>
      </c>
      <c r="G549" s="5"/>
      <c r="H549" s="5">
        <v>0</v>
      </c>
      <c r="I549" s="6" t="e">
        <f t="shared" si="8"/>
        <v>#DIV/0!</v>
      </c>
      <c r="J549" s="6">
        <f>D549/(VLOOKUP(B549,'[1]2021 Team'!$B$2:$G$33,2,FALSE))</f>
        <v>0</v>
      </c>
      <c r="K549" s="9"/>
      <c r="L549" s="5">
        <v>5</v>
      </c>
    </row>
    <row r="550" spans="1:12" x14ac:dyDescent="0.25">
      <c r="A550" s="5" t="s">
        <v>2601</v>
      </c>
      <c r="B550" s="5" t="s">
        <v>42</v>
      </c>
      <c r="C550" s="7" t="s">
        <v>2602</v>
      </c>
      <c r="D550" s="8">
        <v>1</v>
      </c>
      <c r="E550" s="8">
        <v>0</v>
      </c>
      <c r="F550" s="8">
        <v>0</v>
      </c>
      <c r="G550" s="5"/>
      <c r="H550" s="5">
        <v>0</v>
      </c>
      <c r="I550" s="6" t="e">
        <f t="shared" si="8"/>
        <v>#DIV/0!</v>
      </c>
      <c r="J550" s="6">
        <f>D550/(VLOOKUP(B550,'[1]2021 Team'!$B$2:$G$33,2,FALSE))</f>
        <v>1.483679525222552E-3</v>
      </c>
      <c r="K550" s="9">
        <v>0</v>
      </c>
      <c r="L550" s="5">
        <v>0</v>
      </c>
    </row>
    <row r="551" spans="1:12" x14ac:dyDescent="0.25">
      <c r="A551" s="5" t="s">
        <v>2564</v>
      </c>
      <c r="B551" s="5" t="s">
        <v>12</v>
      </c>
      <c r="C551" s="7" t="s">
        <v>159</v>
      </c>
      <c r="D551" s="8">
        <v>0</v>
      </c>
      <c r="E551" s="8">
        <v>0</v>
      </c>
      <c r="F551" s="8">
        <v>0</v>
      </c>
      <c r="G551" s="5"/>
      <c r="H551" s="5">
        <v>0</v>
      </c>
      <c r="I551" s="6" t="e">
        <f t="shared" si="8"/>
        <v>#DIV/0!</v>
      </c>
      <c r="J551" s="6">
        <f>D551/(VLOOKUP(B551,'[1]2021 Team'!$B$2:$G$33,2,FALSE))</f>
        <v>0</v>
      </c>
      <c r="K551" s="9"/>
      <c r="L551" s="5">
        <v>0</v>
      </c>
    </row>
    <row r="552" spans="1:12" x14ac:dyDescent="0.25">
      <c r="A552" s="5" t="s">
        <v>2564</v>
      </c>
      <c r="B552" s="5" t="s">
        <v>62</v>
      </c>
      <c r="C552" s="7" t="s">
        <v>159</v>
      </c>
      <c r="D552" s="8">
        <v>0</v>
      </c>
      <c r="E552" s="8">
        <v>0</v>
      </c>
      <c r="F552" s="8">
        <v>0</v>
      </c>
      <c r="G552" s="5"/>
      <c r="H552" s="5">
        <v>0</v>
      </c>
      <c r="I552" s="6" t="e">
        <f t="shared" si="8"/>
        <v>#DIV/0!</v>
      </c>
      <c r="J552" s="6">
        <f>D552/(VLOOKUP(B552,'[1]2021 Team'!$B$2:$G$33,2,FALSE))</f>
        <v>0</v>
      </c>
      <c r="K552" s="9"/>
      <c r="L552" s="5">
        <v>1</v>
      </c>
    </row>
    <row r="553" spans="1:12" x14ac:dyDescent="0.25">
      <c r="A553" s="5" t="s">
        <v>1552</v>
      </c>
      <c r="B553" s="5" t="s">
        <v>40</v>
      </c>
      <c r="C553" s="7" t="s">
        <v>82</v>
      </c>
      <c r="D553" s="8">
        <v>0</v>
      </c>
      <c r="E553" s="8">
        <v>0</v>
      </c>
      <c r="F553" s="8">
        <v>0</v>
      </c>
      <c r="G553" s="5"/>
      <c r="H553" s="5">
        <v>0</v>
      </c>
      <c r="I553" s="6" t="e">
        <f t="shared" si="8"/>
        <v>#DIV/0!</v>
      </c>
      <c r="J553" s="6">
        <f>D553/(VLOOKUP(B553,'[1]2021 Team'!$B$2:$G$33,2,FALSE))</f>
        <v>0</v>
      </c>
      <c r="K553" s="9"/>
      <c r="L553" s="5">
        <v>13</v>
      </c>
    </row>
    <row r="554" spans="1:12" x14ac:dyDescent="0.25">
      <c r="A554" s="5" t="s">
        <v>2447</v>
      </c>
      <c r="B554" s="5" t="s">
        <v>16</v>
      </c>
      <c r="C554" s="7" t="s">
        <v>2572</v>
      </c>
      <c r="D554" s="8">
        <v>0</v>
      </c>
      <c r="E554" s="8">
        <v>0</v>
      </c>
      <c r="F554" s="8">
        <v>0</v>
      </c>
      <c r="G554" s="5"/>
      <c r="H554" s="5">
        <v>0</v>
      </c>
      <c r="I554" s="6" t="e">
        <f t="shared" si="8"/>
        <v>#DIV/0!</v>
      </c>
      <c r="J554" s="6">
        <f>D554/(VLOOKUP(B554,'[1]2021 Team'!$B$2:$G$33,2,FALSE))</f>
        <v>0</v>
      </c>
      <c r="K554" s="9"/>
      <c r="L554" s="5">
        <v>0</v>
      </c>
    </row>
    <row r="555" spans="1:12" x14ac:dyDescent="0.25">
      <c r="A555" s="5" t="s">
        <v>2472</v>
      </c>
      <c r="B555" s="5" t="s">
        <v>26</v>
      </c>
      <c r="C555" s="7" t="s">
        <v>163</v>
      </c>
      <c r="D555" s="8">
        <v>1</v>
      </c>
      <c r="E555" s="8">
        <v>0</v>
      </c>
      <c r="F555" s="8">
        <v>0</v>
      </c>
      <c r="G555" s="5"/>
      <c r="H555" s="5">
        <v>0</v>
      </c>
      <c r="I555" s="6" t="e">
        <f t="shared" si="8"/>
        <v>#DIV/0!</v>
      </c>
      <c r="J555" s="6">
        <f>D555/(VLOOKUP(B555,'[1]2021 Team'!$B$2:$G$33,2,FALSE))</f>
        <v>1.8484288354898336E-3</v>
      </c>
      <c r="K555" s="9">
        <v>0</v>
      </c>
      <c r="L555" s="5">
        <v>0</v>
      </c>
    </row>
    <row r="556" spans="1:12" x14ac:dyDescent="0.25">
      <c r="A556" s="5" t="s">
        <v>2573</v>
      </c>
      <c r="B556" s="5" t="s">
        <v>36</v>
      </c>
      <c r="C556" s="7" t="s">
        <v>159</v>
      </c>
      <c r="D556" s="8">
        <v>0</v>
      </c>
      <c r="E556" s="8">
        <v>0</v>
      </c>
      <c r="F556" s="8">
        <v>0</v>
      </c>
      <c r="G556" s="5"/>
      <c r="H556" s="5">
        <v>0</v>
      </c>
      <c r="I556" s="6" t="e">
        <f t="shared" si="8"/>
        <v>#DIV/0!</v>
      </c>
      <c r="J556" s="6">
        <f>D556/(VLOOKUP(B556,'[1]2021 Team'!$B$2:$G$33,2,FALSE))</f>
        <v>0</v>
      </c>
      <c r="K556" s="9"/>
      <c r="L556" s="5">
        <v>0</v>
      </c>
    </row>
    <row r="557" spans="1:12" x14ac:dyDescent="0.25">
      <c r="A557" s="5" t="s">
        <v>2606</v>
      </c>
      <c r="B557" s="5" t="s">
        <v>18</v>
      </c>
      <c r="C557" s="7" t="s">
        <v>163</v>
      </c>
      <c r="D557" s="8">
        <v>1</v>
      </c>
      <c r="E557" s="8">
        <v>0</v>
      </c>
      <c r="F557" s="8">
        <v>0</v>
      </c>
      <c r="G557" s="5"/>
      <c r="H557" s="5">
        <v>0</v>
      </c>
      <c r="I557" s="6" t="e">
        <f t="shared" si="8"/>
        <v>#DIV/0!</v>
      </c>
      <c r="J557" s="6">
        <f>D557/(VLOOKUP(B557,'[1]2021 Team'!$B$2:$G$33,2,FALSE))</f>
        <v>1.8450184501845018E-3</v>
      </c>
      <c r="K557" s="9">
        <v>0</v>
      </c>
      <c r="L557" s="5">
        <v>0</v>
      </c>
    </row>
    <row r="558" spans="1:12" x14ac:dyDescent="0.25">
      <c r="A558" s="5" t="s">
        <v>110</v>
      </c>
      <c r="B558" s="5" t="s">
        <v>48</v>
      </c>
      <c r="C558" s="7" t="s">
        <v>82</v>
      </c>
      <c r="D558" s="8">
        <v>0</v>
      </c>
      <c r="E558" s="8">
        <v>0</v>
      </c>
      <c r="F558" s="8">
        <v>0</v>
      </c>
      <c r="G558" s="5"/>
      <c r="H558" s="5">
        <v>0</v>
      </c>
      <c r="I558" s="6" t="e">
        <f t="shared" si="8"/>
        <v>#DIV/0!</v>
      </c>
      <c r="J558" s="6">
        <f>D558/(VLOOKUP(B558,'[1]2021 Team'!$B$2:$G$33,2,FALSE))</f>
        <v>0</v>
      </c>
      <c r="K558" s="9"/>
      <c r="L558" s="5">
        <v>12</v>
      </c>
    </row>
    <row r="559" spans="1:12" x14ac:dyDescent="0.25">
      <c r="A559" s="5" t="s">
        <v>2559</v>
      </c>
      <c r="B559" s="5" t="s">
        <v>26</v>
      </c>
      <c r="C559" s="7" t="s">
        <v>159</v>
      </c>
      <c r="D559" s="8">
        <v>0</v>
      </c>
      <c r="E559" s="8">
        <v>0</v>
      </c>
      <c r="F559" s="8">
        <v>0</v>
      </c>
      <c r="G559" s="5"/>
      <c r="H559" s="5">
        <v>0</v>
      </c>
      <c r="I559" s="6" t="e">
        <f t="shared" si="8"/>
        <v>#DIV/0!</v>
      </c>
      <c r="J559" s="6">
        <f>D559/(VLOOKUP(B559,'[1]2021 Team'!$B$2:$G$33,2,FALSE))</f>
        <v>0</v>
      </c>
      <c r="K559" s="9"/>
      <c r="L559" s="5">
        <v>0</v>
      </c>
    </row>
    <row r="560" spans="1:12" x14ac:dyDescent="0.25">
      <c r="A560" s="5" t="s">
        <v>2607</v>
      </c>
      <c r="B560" s="5" t="s">
        <v>54</v>
      </c>
      <c r="C560" s="7" t="s">
        <v>980</v>
      </c>
      <c r="D560" s="8">
        <v>1</v>
      </c>
      <c r="E560" s="8">
        <v>0</v>
      </c>
      <c r="F560" s="8">
        <v>0</v>
      </c>
      <c r="G560" s="5"/>
      <c r="H560" s="5">
        <v>0</v>
      </c>
      <c r="I560" s="6" t="e">
        <f t="shared" ref="I560:I622" si="9">H560/E560</f>
        <v>#DIV/0!</v>
      </c>
      <c r="J560" s="6">
        <f>D560/(VLOOKUP(B560,'[1]2021 Team'!$B$2:$G$33,2,FALSE))</f>
        <v>1.6863406408094434E-3</v>
      </c>
      <c r="K560" s="9">
        <v>0</v>
      </c>
      <c r="L560" s="5">
        <v>0</v>
      </c>
    </row>
    <row r="561" spans="1:12" x14ac:dyDescent="0.25">
      <c r="A561" s="5" t="s">
        <v>140</v>
      </c>
      <c r="B561" s="5" t="s">
        <v>18</v>
      </c>
      <c r="C561" s="7" t="s">
        <v>82</v>
      </c>
      <c r="D561" s="8">
        <v>0</v>
      </c>
      <c r="E561" s="8">
        <v>0</v>
      </c>
      <c r="F561" s="8">
        <v>0</v>
      </c>
      <c r="G561" s="5"/>
      <c r="H561" s="5">
        <v>0</v>
      </c>
      <c r="I561" s="6" t="e">
        <f t="shared" si="9"/>
        <v>#DIV/0!</v>
      </c>
      <c r="J561" s="6">
        <f>D561/(VLOOKUP(B561,'[1]2021 Team'!$B$2:$G$33,2,FALSE))</f>
        <v>0</v>
      </c>
      <c r="K561" s="9"/>
      <c r="L561" s="5">
        <v>1</v>
      </c>
    </row>
    <row r="562" spans="1:12" x14ac:dyDescent="0.25">
      <c r="A562" s="5" t="s">
        <v>2377</v>
      </c>
      <c r="B562" s="5" t="s">
        <v>42</v>
      </c>
      <c r="C562" s="7" t="s">
        <v>82</v>
      </c>
      <c r="D562" s="8">
        <v>0</v>
      </c>
      <c r="E562" s="8">
        <v>0</v>
      </c>
      <c r="F562" s="8">
        <v>0</v>
      </c>
      <c r="G562" s="5"/>
      <c r="H562" s="5">
        <v>0</v>
      </c>
      <c r="I562" s="6" t="e">
        <f t="shared" si="9"/>
        <v>#DIV/0!</v>
      </c>
      <c r="J562" s="6">
        <f>D562/(VLOOKUP(B562,'[1]2021 Team'!$B$2:$G$33,2,FALSE))</f>
        <v>0</v>
      </c>
      <c r="K562" s="9"/>
      <c r="L562" s="5">
        <v>0</v>
      </c>
    </row>
    <row r="563" spans="1:12" x14ac:dyDescent="0.25">
      <c r="A563" s="5" t="s">
        <v>96</v>
      </c>
      <c r="B563" s="5" t="s">
        <v>16</v>
      </c>
      <c r="C563" s="7" t="s">
        <v>82</v>
      </c>
      <c r="D563" s="8">
        <v>0</v>
      </c>
      <c r="E563" s="8">
        <v>0</v>
      </c>
      <c r="F563" s="8">
        <v>0</v>
      </c>
      <c r="G563" s="5"/>
      <c r="H563" s="5">
        <v>0</v>
      </c>
      <c r="I563" s="6" t="e">
        <f t="shared" si="9"/>
        <v>#DIV/0!</v>
      </c>
      <c r="J563" s="6">
        <f>D563/(VLOOKUP(B563,'[1]2021 Team'!$B$2:$G$33,2,FALSE))</f>
        <v>0</v>
      </c>
      <c r="K563" s="9"/>
      <c r="L563" s="5">
        <v>9</v>
      </c>
    </row>
    <row r="564" spans="1:12" x14ac:dyDescent="0.25">
      <c r="A564" s="5" t="s">
        <v>2611</v>
      </c>
      <c r="B564" s="5" t="s">
        <v>14</v>
      </c>
      <c r="C564" s="7" t="s">
        <v>2184</v>
      </c>
      <c r="D564" s="8">
        <v>1</v>
      </c>
      <c r="E564" s="8">
        <v>0</v>
      </c>
      <c r="F564" s="8">
        <v>0</v>
      </c>
      <c r="G564" s="5"/>
      <c r="H564" s="5">
        <v>0</v>
      </c>
      <c r="I564" s="6" t="e">
        <f t="shared" si="9"/>
        <v>#DIV/0!</v>
      </c>
      <c r="J564" s="6">
        <f>D564/(VLOOKUP(B564,'[1]2021 Team'!$B$2:$G$33,2,FALSE))</f>
        <v>1.5267175572519084E-3</v>
      </c>
      <c r="K564" s="9">
        <v>0</v>
      </c>
      <c r="L564" s="5">
        <v>0</v>
      </c>
    </row>
    <row r="565" spans="1:12" x14ac:dyDescent="0.25">
      <c r="A565" s="5" t="s">
        <v>2367</v>
      </c>
      <c r="B565" s="5" t="s">
        <v>34</v>
      </c>
      <c r="C565" s="7" t="s">
        <v>82</v>
      </c>
      <c r="D565" s="8">
        <v>0</v>
      </c>
      <c r="E565" s="8">
        <v>0</v>
      </c>
      <c r="F565" s="8">
        <v>0</v>
      </c>
      <c r="G565" s="5"/>
      <c r="H565" s="5">
        <v>0</v>
      </c>
      <c r="I565" s="6" t="e">
        <f t="shared" si="9"/>
        <v>#DIV/0!</v>
      </c>
      <c r="J565" s="6">
        <f>D565/(VLOOKUP(B565,'[1]2021 Team'!$B$2:$G$33,2,FALSE))</f>
        <v>0</v>
      </c>
      <c r="K565" s="9"/>
      <c r="L565" s="5">
        <v>0</v>
      </c>
    </row>
    <row r="566" spans="1:12" x14ac:dyDescent="0.25">
      <c r="A566" s="5" t="s">
        <v>2479</v>
      </c>
      <c r="B566" s="5" t="s">
        <v>48</v>
      </c>
      <c r="C566" s="7" t="s">
        <v>153</v>
      </c>
      <c r="D566" s="8">
        <v>1</v>
      </c>
      <c r="E566" s="8">
        <v>0</v>
      </c>
      <c r="F566" s="8">
        <v>0</v>
      </c>
      <c r="G566" s="5"/>
      <c r="H566" s="5">
        <v>0</v>
      </c>
      <c r="I566" s="6" t="e">
        <f t="shared" si="9"/>
        <v>#DIV/0!</v>
      </c>
      <c r="J566" s="6">
        <f>D566/(VLOOKUP(B566,'[1]2021 Team'!$B$2:$G$33,2,FALSE))</f>
        <v>1.6556291390728477E-3</v>
      </c>
      <c r="K566" s="9">
        <v>0</v>
      </c>
      <c r="L566" s="5">
        <v>0</v>
      </c>
    </row>
    <row r="567" spans="1:12" x14ac:dyDescent="0.25">
      <c r="A567" s="5" t="s">
        <v>2448</v>
      </c>
      <c r="B567" s="5" t="s">
        <v>46</v>
      </c>
      <c r="C567" s="7" t="s">
        <v>980</v>
      </c>
      <c r="D567" s="8">
        <v>0</v>
      </c>
      <c r="E567" s="8">
        <v>0</v>
      </c>
      <c r="F567" s="8">
        <v>0</v>
      </c>
      <c r="G567" s="5"/>
      <c r="H567" s="5">
        <v>0</v>
      </c>
      <c r="I567" s="6" t="e">
        <f t="shared" si="9"/>
        <v>#DIV/0!</v>
      </c>
      <c r="J567" s="6">
        <f>D567/(VLOOKUP(B567,'[1]2021 Team'!$B$2:$G$33,2,FALSE))</f>
        <v>0</v>
      </c>
      <c r="K567" s="9"/>
      <c r="L567" s="5">
        <v>1</v>
      </c>
    </row>
    <row r="568" spans="1:12" x14ac:dyDescent="0.25">
      <c r="A568" s="5" t="s">
        <v>2575</v>
      </c>
      <c r="B568" s="5" t="s">
        <v>42</v>
      </c>
      <c r="C568" s="7" t="s">
        <v>163</v>
      </c>
      <c r="D568" s="8">
        <v>0</v>
      </c>
      <c r="E568" s="8">
        <v>0</v>
      </c>
      <c r="F568" s="8">
        <v>0</v>
      </c>
      <c r="G568" s="5"/>
      <c r="H568" s="5">
        <v>0</v>
      </c>
      <c r="I568" s="6" t="e">
        <f t="shared" si="9"/>
        <v>#DIV/0!</v>
      </c>
      <c r="J568" s="6">
        <f>D568/(VLOOKUP(B568,'[1]2021 Team'!$B$2:$G$33,2,FALSE))</f>
        <v>0</v>
      </c>
      <c r="K568" s="9"/>
      <c r="L568" s="5">
        <v>0</v>
      </c>
    </row>
    <row r="569" spans="1:12" x14ac:dyDescent="0.25">
      <c r="A569" s="5" t="s">
        <v>117</v>
      </c>
      <c r="B569" s="5" t="s">
        <v>18</v>
      </c>
      <c r="C569" s="7" t="s">
        <v>82</v>
      </c>
      <c r="D569" s="8">
        <v>0</v>
      </c>
      <c r="E569" s="8">
        <v>0</v>
      </c>
      <c r="F569" s="8">
        <v>0</v>
      </c>
      <c r="G569" s="5"/>
      <c r="H569" s="5">
        <v>0</v>
      </c>
      <c r="I569" s="6" t="e">
        <f t="shared" si="9"/>
        <v>#DIV/0!</v>
      </c>
      <c r="J569" s="6">
        <f>D569/(VLOOKUP(B569,'[1]2021 Team'!$B$2:$G$33,2,FALSE))</f>
        <v>0</v>
      </c>
      <c r="K569" s="9"/>
      <c r="L569" s="5">
        <v>12</v>
      </c>
    </row>
    <row r="570" spans="1:12" x14ac:dyDescent="0.25">
      <c r="A570" s="5" t="s">
        <v>2393</v>
      </c>
      <c r="B570" s="5" t="s">
        <v>70</v>
      </c>
      <c r="C570" s="7" t="s">
        <v>82</v>
      </c>
      <c r="D570" s="8">
        <v>0</v>
      </c>
      <c r="E570" s="8">
        <v>0</v>
      </c>
      <c r="F570" s="8">
        <v>0</v>
      </c>
      <c r="G570" s="5"/>
      <c r="H570" s="5">
        <v>0</v>
      </c>
      <c r="I570" s="6" t="e">
        <f t="shared" si="9"/>
        <v>#DIV/0!</v>
      </c>
      <c r="J570" s="6">
        <f>D570/(VLOOKUP(B570,'[1]2021 Team'!$B$2:$G$33,2,FALSE))</f>
        <v>0</v>
      </c>
      <c r="K570" s="9"/>
      <c r="L570" s="5">
        <v>1</v>
      </c>
    </row>
    <row r="571" spans="1:12" x14ac:dyDescent="0.25">
      <c r="A571" s="5" t="s">
        <v>113</v>
      </c>
      <c r="B571" s="5" t="s">
        <v>56</v>
      </c>
      <c r="C571" s="7" t="s">
        <v>82</v>
      </c>
      <c r="D571" s="8">
        <v>0</v>
      </c>
      <c r="E571" s="8">
        <v>0</v>
      </c>
      <c r="F571" s="8">
        <v>0</v>
      </c>
      <c r="G571" s="5"/>
      <c r="H571" s="5">
        <v>0</v>
      </c>
      <c r="I571" s="6" t="e">
        <f t="shared" si="9"/>
        <v>#DIV/0!</v>
      </c>
      <c r="J571" s="6">
        <f>D571/(VLOOKUP(B571,'[1]2021 Team'!$B$2:$G$33,2,FALSE))</f>
        <v>0</v>
      </c>
      <c r="K571" s="9"/>
      <c r="L571" s="5">
        <v>1</v>
      </c>
    </row>
    <row r="572" spans="1:12" x14ac:dyDescent="0.25">
      <c r="A572" s="5" t="s">
        <v>2372</v>
      </c>
      <c r="B572" s="5" t="s">
        <v>18</v>
      </c>
      <c r="C572" s="7" t="s">
        <v>82</v>
      </c>
      <c r="D572" s="8">
        <v>0</v>
      </c>
      <c r="E572" s="8">
        <v>0</v>
      </c>
      <c r="F572" s="8">
        <v>0</v>
      </c>
      <c r="G572" s="5"/>
      <c r="H572" s="5">
        <v>0</v>
      </c>
      <c r="I572" s="6" t="e">
        <f t="shared" si="9"/>
        <v>#DIV/0!</v>
      </c>
      <c r="J572" s="6">
        <f>D572/(VLOOKUP(B572,'[1]2021 Team'!$B$2:$G$33,2,FALSE))</f>
        <v>0</v>
      </c>
      <c r="K572" s="9"/>
      <c r="L572" s="5">
        <v>1</v>
      </c>
    </row>
    <row r="573" spans="1:12" x14ac:dyDescent="0.25">
      <c r="A573" s="5" t="s">
        <v>705</v>
      </c>
      <c r="B573" s="5" t="s">
        <v>10</v>
      </c>
      <c r="C573" s="7" t="s">
        <v>82</v>
      </c>
      <c r="D573" s="8">
        <v>0</v>
      </c>
      <c r="E573" s="8">
        <v>0</v>
      </c>
      <c r="F573" s="8">
        <v>0</v>
      </c>
      <c r="G573" s="5"/>
      <c r="H573" s="5">
        <v>0</v>
      </c>
      <c r="I573" s="6" t="e">
        <f t="shared" si="9"/>
        <v>#DIV/0!</v>
      </c>
      <c r="J573" s="6">
        <f>D573/(VLOOKUP(B573,'[1]2021 Team'!$B$2:$G$33,2,FALSE))</f>
        <v>0</v>
      </c>
      <c r="K573" s="9"/>
      <c r="L573" s="5">
        <v>0</v>
      </c>
    </row>
    <row r="574" spans="1:12" x14ac:dyDescent="0.25">
      <c r="A574" s="5" t="s">
        <v>2387</v>
      </c>
      <c r="B574" s="5" t="s">
        <v>54</v>
      </c>
      <c r="C574" s="7" t="s">
        <v>82</v>
      </c>
      <c r="D574" s="8">
        <v>0</v>
      </c>
      <c r="E574" s="8">
        <v>0</v>
      </c>
      <c r="F574" s="8">
        <v>0</v>
      </c>
      <c r="G574" s="5"/>
      <c r="H574" s="5">
        <v>0</v>
      </c>
      <c r="I574" s="6" t="e">
        <f t="shared" si="9"/>
        <v>#DIV/0!</v>
      </c>
      <c r="J574" s="6">
        <f>D574/(VLOOKUP(B574,'[1]2021 Team'!$B$2:$G$33,2,FALSE))</f>
        <v>0</v>
      </c>
      <c r="K574" s="9"/>
      <c r="L574" s="5">
        <v>2</v>
      </c>
    </row>
    <row r="575" spans="1:12" x14ac:dyDescent="0.25">
      <c r="A575" s="5" t="s">
        <v>1739</v>
      </c>
      <c r="B575" s="5" t="s">
        <v>44</v>
      </c>
      <c r="C575" s="7" t="s">
        <v>159</v>
      </c>
      <c r="D575" s="8">
        <v>0</v>
      </c>
      <c r="E575" s="8">
        <v>0</v>
      </c>
      <c r="F575" s="8">
        <v>0</v>
      </c>
      <c r="G575" s="5"/>
      <c r="H575" s="5">
        <v>0</v>
      </c>
      <c r="I575" s="6" t="e">
        <f t="shared" si="9"/>
        <v>#DIV/0!</v>
      </c>
      <c r="J575" s="6">
        <f>D575/(VLOOKUP(B575,'[1]2021 Team'!$B$2:$G$33,2,FALSE))</f>
        <v>0</v>
      </c>
      <c r="K575" s="9"/>
      <c r="L575" s="5">
        <v>0</v>
      </c>
    </row>
    <row r="576" spans="1:12" x14ac:dyDescent="0.25">
      <c r="A576" s="5" t="s">
        <v>1568</v>
      </c>
      <c r="B576" s="5" t="s">
        <v>66</v>
      </c>
      <c r="C576" s="7" t="s">
        <v>82</v>
      </c>
      <c r="D576" s="8">
        <v>0</v>
      </c>
      <c r="E576" s="8">
        <v>0</v>
      </c>
      <c r="F576" s="8">
        <v>0</v>
      </c>
      <c r="G576" s="5"/>
      <c r="H576" s="5">
        <v>0</v>
      </c>
      <c r="I576" s="6" t="e">
        <f t="shared" si="9"/>
        <v>#DIV/0!</v>
      </c>
      <c r="J576" s="6">
        <f>D576/(VLOOKUP(B576,'[1]2021 Team'!$B$2:$G$33,2,FALSE))</f>
        <v>0</v>
      </c>
      <c r="K576" s="9"/>
      <c r="L576" s="5">
        <v>0</v>
      </c>
    </row>
    <row r="577" spans="1:12" x14ac:dyDescent="0.25">
      <c r="A577" s="5" t="s">
        <v>617</v>
      </c>
      <c r="B577" s="5" t="s">
        <v>62</v>
      </c>
      <c r="C577" s="7" t="s">
        <v>82</v>
      </c>
      <c r="D577" s="8">
        <v>0</v>
      </c>
      <c r="E577" s="8">
        <v>0</v>
      </c>
      <c r="F577" s="8">
        <v>0</v>
      </c>
      <c r="G577" s="5"/>
      <c r="H577" s="5">
        <v>0</v>
      </c>
      <c r="I577" s="6" t="e">
        <f t="shared" si="9"/>
        <v>#DIV/0!</v>
      </c>
      <c r="J577" s="6">
        <f>D577/(VLOOKUP(B577,'[1]2021 Team'!$B$2:$G$33,2,FALSE))</f>
        <v>0</v>
      </c>
      <c r="K577" s="9"/>
      <c r="L577" s="5">
        <v>8</v>
      </c>
    </row>
    <row r="578" spans="1:12" x14ac:dyDescent="0.25">
      <c r="A578" s="5" t="s">
        <v>756</v>
      </c>
      <c r="B578" s="5" t="s">
        <v>22</v>
      </c>
      <c r="C578" s="7" t="s">
        <v>165</v>
      </c>
      <c r="D578" s="8">
        <v>0</v>
      </c>
      <c r="E578" s="8">
        <v>0</v>
      </c>
      <c r="F578" s="8">
        <v>0</v>
      </c>
      <c r="G578" s="5"/>
      <c r="H578" s="5">
        <v>0</v>
      </c>
      <c r="I578" s="6" t="e">
        <f t="shared" si="9"/>
        <v>#DIV/0!</v>
      </c>
      <c r="J578" s="6">
        <f>D578/(VLOOKUP(B578,'[1]2021 Team'!$B$2:$G$33,2,FALSE))</f>
        <v>0</v>
      </c>
      <c r="K578" s="9"/>
      <c r="L578" s="5">
        <v>1</v>
      </c>
    </row>
    <row r="579" spans="1:12" x14ac:dyDescent="0.25">
      <c r="A579" s="5" t="s">
        <v>2385</v>
      </c>
      <c r="B579" s="5" t="s">
        <v>54</v>
      </c>
      <c r="C579" s="7" t="s">
        <v>82</v>
      </c>
      <c r="D579" s="8">
        <v>0</v>
      </c>
      <c r="E579" s="8">
        <v>0</v>
      </c>
      <c r="F579" s="8">
        <v>0</v>
      </c>
      <c r="G579" s="5"/>
      <c r="H579" s="5">
        <v>0</v>
      </c>
      <c r="I579" s="6" t="e">
        <f t="shared" si="9"/>
        <v>#DIV/0!</v>
      </c>
      <c r="J579" s="6">
        <f>D579/(VLOOKUP(B579,'[1]2021 Team'!$B$2:$G$33,2,FALSE))</f>
        <v>0</v>
      </c>
      <c r="K579" s="9"/>
      <c r="L579" s="5">
        <v>6</v>
      </c>
    </row>
    <row r="580" spans="1:12" x14ac:dyDescent="0.25">
      <c r="A580" s="5" t="s">
        <v>85</v>
      </c>
      <c r="B580" s="5" t="s">
        <v>28</v>
      </c>
      <c r="C580" s="7" t="s">
        <v>82</v>
      </c>
      <c r="D580" s="8">
        <v>0</v>
      </c>
      <c r="E580" s="8">
        <v>0</v>
      </c>
      <c r="F580" s="8">
        <v>0</v>
      </c>
      <c r="G580" s="5"/>
      <c r="H580" s="5">
        <v>0</v>
      </c>
      <c r="I580" s="6" t="e">
        <f t="shared" si="9"/>
        <v>#DIV/0!</v>
      </c>
      <c r="J580" s="6">
        <f>D580/(VLOOKUP(B580,'[1]2021 Team'!$B$2:$G$33,2,FALSE))</f>
        <v>0</v>
      </c>
      <c r="K580" s="9"/>
      <c r="L580" s="5">
        <v>9</v>
      </c>
    </row>
    <row r="581" spans="1:12" x14ac:dyDescent="0.25">
      <c r="A581" s="5" t="s">
        <v>2557</v>
      </c>
      <c r="B581" s="5" t="s">
        <v>24</v>
      </c>
      <c r="C581" s="7" t="s">
        <v>159</v>
      </c>
      <c r="D581" s="8">
        <v>0</v>
      </c>
      <c r="E581" s="8">
        <v>0</v>
      </c>
      <c r="F581" s="8">
        <v>0</v>
      </c>
      <c r="G581" s="5"/>
      <c r="H581" s="5">
        <v>0</v>
      </c>
      <c r="I581" s="6" t="e">
        <f t="shared" si="9"/>
        <v>#DIV/0!</v>
      </c>
      <c r="J581" s="6">
        <f>D581/(VLOOKUP(B581,'[1]2021 Team'!$B$2:$G$33,2,FALSE))</f>
        <v>0</v>
      </c>
      <c r="K581" s="9"/>
      <c r="L581" s="5">
        <v>0</v>
      </c>
    </row>
    <row r="582" spans="1:12" x14ac:dyDescent="0.25">
      <c r="A582" s="5" t="s">
        <v>1580</v>
      </c>
      <c r="B582" s="5" t="s">
        <v>44</v>
      </c>
      <c r="C582" s="7" t="s">
        <v>165</v>
      </c>
      <c r="D582" s="8">
        <v>0</v>
      </c>
      <c r="E582" s="8">
        <v>0</v>
      </c>
      <c r="F582" s="8">
        <v>0</v>
      </c>
      <c r="G582" s="5"/>
      <c r="H582" s="5">
        <v>0</v>
      </c>
      <c r="I582" s="6" t="e">
        <f t="shared" si="9"/>
        <v>#DIV/0!</v>
      </c>
      <c r="J582" s="6">
        <f>D582/(VLOOKUP(B582,'[1]2021 Team'!$B$2:$G$33,2,FALSE))</f>
        <v>0</v>
      </c>
      <c r="K582" s="9"/>
      <c r="L582" s="5">
        <v>1</v>
      </c>
    </row>
    <row r="583" spans="1:12" x14ac:dyDescent="0.25">
      <c r="A583" s="5" t="s">
        <v>2381</v>
      </c>
      <c r="B583" s="5" t="s">
        <v>38</v>
      </c>
      <c r="C583" s="7" t="s">
        <v>82</v>
      </c>
      <c r="D583" s="8">
        <v>0</v>
      </c>
      <c r="E583" s="8">
        <v>0</v>
      </c>
      <c r="F583" s="8">
        <v>0</v>
      </c>
      <c r="G583" s="5"/>
      <c r="H583" s="5">
        <v>0</v>
      </c>
      <c r="I583" s="6" t="e">
        <f t="shared" si="9"/>
        <v>#DIV/0!</v>
      </c>
      <c r="J583" s="6">
        <f>D583/(VLOOKUP(B583,'[1]2021 Team'!$B$2:$G$33,2,FALSE))</f>
        <v>0</v>
      </c>
      <c r="K583" s="9"/>
      <c r="L583" s="5">
        <v>2</v>
      </c>
    </row>
    <row r="584" spans="1:12" x14ac:dyDescent="0.25">
      <c r="A584" s="5" t="s">
        <v>90</v>
      </c>
      <c r="B584" s="5" t="s">
        <v>42</v>
      </c>
      <c r="C584" s="7" t="s">
        <v>82</v>
      </c>
      <c r="D584" s="8">
        <v>0</v>
      </c>
      <c r="E584" s="8">
        <v>0</v>
      </c>
      <c r="F584" s="8">
        <v>0</v>
      </c>
      <c r="G584" s="5"/>
      <c r="H584" s="5">
        <v>0</v>
      </c>
      <c r="I584" s="6" t="e">
        <f t="shared" si="9"/>
        <v>#DIV/0!</v>
      </c>
      <c r="J584" s="6">
        <f>D584/(VLOOKUP(B584,'[1]2021 Team'!$B$2:$G$33,2,FALSE))</f>
        <v>0</v>
      </c>
      <c r="K584" s="9"/>
      <c r="L584" s="5">
        <v>1</v>
      </c>
    </row>
    <row r="585" spans="1:12" x14ac:dyDescent="0.25">
      <c r="A585" s="5" t="s">
        <v>2552</v>
      </c>
      <c r="B585" s="5" t="s">
        <v>44</v>
      </c>
      <c r="C585" s="7" t="s">
        <v>159</v>
      </c>
      <c r="D585" s="8">
        <v>0</v>
      </c>
      <c r="E585" s="8">
        <v>0</v>
      </c>
      <c r="F585" s="8">
        <v>0</v>
      </c>
      <c r="G585" s="5"/>
      <c r="H585" s="5">
        <v>0</v>
      </c>
      <c r="I585" s="6" t="e">
        <f t="shared" si="9"/>
        <v>#DIV/0!</v>
      </c>
      <c r="J585" s="6">
        <f>D585/(VLOOKUP(B585,'[1]2021 Team'!$B$2:$G$33,2,FALSE))</f>
        <v>0</v>
      </c>
      <c r="K585" s="9"/>
      <c r="L585" s="5">
        <v>0</v>
      </c>
    </row>
    <row r="586" spans="1:12" x14ac:dyDescent="0.25">
      <c r="A586" s="5" t="s">
        <v>1567</v>
      </c>
      <c r="B586" s="5" t="s">
        <v>50</v>
      </c>
      <c r="C586" s="7" t="s">
        <v>82</v>
      </c>
      <c r="D586" s="8">
        <v>0</v>
      </c>
      <c r="E586" s="8">
        <v>0</v>
      </c>
      <c r="F586" s="8">
        <v>0</v>
      </c>
      <c r="G586" s="5"/>
      <c r="H586" s="5">
        <v>0</v>
      </c>
      <c r="I586" s="6" t="e">
        <f t="shared" si="9"/>
        <v>#DIV/0!</v>
      </c>
      <c r="J586" s="6">
        <f>D586/(VLOOKUP(B586,'[1]2021 Team'!$B$2:$G$33,2,FALSE))</f>
        <v>0</v>
      </c>
      <c r="K586" s="9"/>
      <c r="L586" s="5">
        <v>0</v>
      </c>
    </row>
    <row r="587" spans="1:12" x14ac:dyDescent="0.25">
      <c r="A587" s="5" t="s">
        <v>2546</v>
      </c>
      <c r="B587" s="5" t="s">
        <v>58</v>
      </c>
      <c r="C587" s="7" t="s">
        <v>159</v>
      </c>
      <c r="D587" s="8">
        <v>1</v>
      </c>
      <c r="E587" s="8">
        <v>0</v>
      </c>
      <c r="F587" s="8">
        <v>0</v>
      </c>
      <c r="G587" s="5"/>
      <c r="H587" s="5">
        <v>0</v>
      </c>
      <c r="I587" s="6" t="e">
        <f t="shared" si="9"/>
        <v>#DIV/0!</v>
      </c>
      <c r="J587" s="6">
        <f>D587/(VLOOKUP(B587,'[1]2021 Team'!$B$2:$G$33,2,FALSE))</f>
        <v>2.0242914979757085E-3</v>
      </c>
      <c r="K587" s="9">
        <v>0</v>
      </c>
      <c r="L587" s="5">
        <v>0</v>
      </c>
    </row>
    <row r="588" spans="1:12" x14ac:dyDescent="0.25">
      <c r="A588" s="5" t="s">
        <v>130</v>
      </c>
      <c r="B588" s="5" t="s">
        <v>12</v>
      </c>
      <c r="C588" s="7" t="s">
        <v>82</v>
      </c>
      <c r="D588" s="8">
        <v>0</v>
      </c>
      <c r="E588" s="8">
        <v>0</v>
      </c>
      <c r="F588" s="8">
        <v>0</v>
      </c>
      <c r="G588" s="5"/>
      <c r="H588" s="5">
        <v>0</v>
      </c>
      <c r="I588" s="6" t="e">
        <f t="shared" si="9"/>
        <v>#DIV/0!</v>
      </c>
      <c r="J588" s="6">
        <f>D588/(VLOOKUP(B588,'[1]2021 Team'!$B$2:$G$33,2,FALSE))</f>
        <v>0</v>
      </c>
      <c r="K588" s="9"/>
      <c r="L588" s="5">
        <v>4</v>
      </c>
    </row>
    <row r="589" spans="1:12" x14ac:dyDescent="0.25">
      <c r="A589" s="5" t="s">
        <v>98</v>
      </c>
      <c r="B589" s="5" t="s">
        <v>58</v>
      </c>
      <c r="C589" s="7" t="s">
        <v>82</v>
      </c>
      <c r="D589" s="8">
        <v>1</v>
      </c>
      <c r="E589" s="8">
        <v>0</v>
      </c>
      <c r="F589" s="8">
        <v>0</v>
      </c>
      <c r="G589" s="5"/>
      <c r="H589" s="5">
        <v>0</v>
      </c>
      <c r="I589" s="6" t="e">
        <f t="shared" si="9"/>
        <v>#DIV/0!</v>
      </c>
      <c r="J589" s="6">
        <f>D589/(VLOOKUP(B589,'[1]2021 Team'!$B$2:$G$33,2,FALSE))</f>
        <v>2.0242914979757085E-3</v>
      </c>
      <c r="K589" s="9">
        <v>0</v>
      </c>
      <c r="L589" s="5">
        <v>9</v>
      </c>
    </row>
    <row r="590" spans="1:12" x14ac:dyDescent="0.25">
      <c r="A590" s="5" t="s">
        <v>1702</v>
      </c>
      <c r="B590" s="5" t="s">
        <v>34</v>
      </c>
      <c r="C590" s="7" t="s">
        <v>159</v>
      </c>
      <c r="D590" s="8">
        <v>0</v>
      </c>
      <c r="E590" s="8">
        <v>0</v>
      </c>
      <c r="F590" s="8">
        <v>0</v>
      </c>
      <c r="G590" s="5"/>
      <c r="H590" s="5">
        <v>0</v>
      </c>
      <c r="I590" s="6" t="e">
        <f t="shared" si="9"/>
        <v>#DIV/0!</v>
      </c>
      <c r="J590" s="6">
        <f>D590/(VLOOKUP(B590,'[1]2021 Team'!$B$2:$G$33,2,FALSE))</f>
        <v>0</v>
      </c>
      <c r="K590" s="9"/>
      <c r="L590" s="5">
        <v>0</v>
      </c>
    </row>
    <row r="591" spans="1:12" x14ac:dyDescent="0.25">
      <c r="A591" s="5" t="s">
        <v>106</v>
      </c>
      <c r="B591" s="5" t="s">
        <v>12</v>
      </c>
      <c r="C591" s="7" t="s">
        <v>82</v>
      </c>
      <c r="D591" s="8">
        <v>0</v>
      </c>
      <c r="E591" s="8">
        <v>0</v>
      </c>
      <c r="F591" s="8">
        <v>0</v>
      </c>
      <c r="G591" s="5"/>
      <c r="H591" s="5">
        <v>0</v>
      </c>
      <c r="I591" s="6" t="e">
        <f t="shared" si="9"/>
        <v>#DIV/0!</v>
      </c>
      <c r="J591" s="6">
        <f>D591/(VLOOKUP(B591,'[1]2021 Team'!$B$2:$G$33,2,FALSE))</f>
        <v>0</v>
      </c>
      <c r="K591" s="9"/>
      <c r="L591" s="5">
        <v>6</v>
      </c>
    </row>
    <row r="592" spans="1:12" x14ac:dyDescent="0.25">
      <c r="A592" s="5" t="s">
        <v>135</v>
      </c>
      <c r="B592" s="5" t="s">
        <v>56</v>
      </c>
      <c r="C592" s="7" t="s">
        <v>82</v>
      </c>
      <c r="D592" s="8">
        <v>0</v>
      </c>
      <c r="E592" s="8">
        <v>0</v>
      </c>
      <c r="F592" s="8">
        <v>0</v>
      </c>
      <c r="G592" s="5"/>
      <c r="H592" s="5">
        <v>0</v>
      </c>
      <c r="I592" s="6" t="e">
        <f t="shared" si="9"/>
        <v>#DIV/0!</v>
      </c>
      <c r="J592" s="6">
        <f>D592/(VLOOKUP(B592,'[1]2021 Team'!$B$2:$G$33,2,FALSE))</f>
        <v>0</v>
      </c>
      <c r="K592" s="9"/>
      <c r="L592" s="5">
        <v>0</v>
      </c>
    </row>
    <row r="593" spans="1:12" x14ac:dyDescent="0.25">
      <c r="A593" s="5" t="s">
        <v>135</v>
      </c>
      <c r="B593" s="5" t="s">
        <v>12</v>
      </c>
      <c r="C593" s="7" t="s">
        <v>82</v>
      </c>
      <c r="D593" s="8">
        <v>0</v>
      </c>
      <c r="E593" s="8">
        <v>0</v>
      </c>
      <c r="F593" s="8">
        <v>0</v>
      </c>
      <c r="G593" s="5"/>
      <c r="H593" s="5">
        <v>0</v>
      </c>
      <c r="I593" s="6" t="e">
        <f t="shared" si="9"/>
        <v>#DIV/0!</v>
      </c>
      <c r="J593" s="6">
        <f>D593/(VLOOKUP(B593,'[1]2021 Team'!$B$2:$G$33,2,FALSE))</f>
        <v>0</v>
      </c>
      <c r="K593" s="9"/>
      <c r="L593" s="5">
        <v>2</v>
      </c>
    </row>
    <row r="594" spans="1:12" x14ac:dyDescent="0.25">
      <c r="A594" s="5" t="s">
        <v>107</v>
      </c>
      <c r="B594" s="5" t="s">
        <v>50</v>
      </c>
      <c r="C594" s="7" t="s">
        <v>82</v>
      </c>
      <c r="D594" s="8">
        <v>0</v>
      </c>
      <c r="E594" s="8">
        <v>0</v>
      </c>
      <c r="F594" s="8">
        <v>0</v>
      </c>
      <c r="G594" s="5"/>
      <c r="H594" s="5">
        <v>0</v>
      </c>
      <c r="I594" s="6" t="e">
        <f t="shared" si="9"/>
        <v>#DIV/0!</v>
      </c>
      <c r="J594" s="6">
        <f>D594/(VLOOKUP(B594,'[1]2021 Team'!$B$2:$G$33,2,FALSE))</f>
        <v>0</v>
      </c>
      <c r="K594" s="9"/>
      <c r="L594" s="5">
        <v>7</v>
      </c>
    </row>
    <row r="595" spans="1:12" x14ac:dyDescent="0.25">
      <c r="A595" s="5" t="s">
        <v>1566</v>
      </c>
      <c r="B595" s="5" t="s">
        <v>22</v>
      </c>
      <c r="C595" s="7" t="s">
        <v>82</v>
      </c>
      <c r="D595" s="8">
        <v>0</v>
      </c>
      <c r="E595" s="8">
        <v>0</v>
      </c>
      <c r="F595" s="8">
        <v>0</v>
      </c>
      <c r="G595" s="5"/>
      <c r="H595" s="5">
        <v>0</v>
      </c>
      <c r="I595" s="6" t="e">
        <f t="shared" si="9"/>
        <v>#DIV/0!</v>
      </c>
      <c r="J595" s="6">
        <f>D595/(VLOOKUP(B595,'[1]2021 Team'!$B$2:$G$33,2,FALSE))</f>
        <v>0</v>
      </c>
      <c r="K595" s="9"/>
      <c r="L595" s="5">
        <v>1</v>
      </c>
    </row>
    <row r="596" spans="1:12" x14ac:dyDescent="0.25">
      <c r="A596" s="5" t="s">
        <v>2568</v>
      </c>
      <c r="B596" s="5" t="s">
        <v>22</v>
      </c>
      <c r="C596" s="7" t="s">
        <v>159</v>
      </c>
      <c r="D596" s="8">
        <v>0</v>
      </c>
      <c r="E596" s="8">
        <v>0</v>
      </c>
      <c r="F596" s="8">
        <v>0</v>
      </c>
      <c r="G596" s="5"/>
      <c r="H596" s="5">
        <v>0</v>
      </c>
      <c r="I596" s="6" t="e">
        <f t="shared" si="9"/>
        <v>#DIV/0!</v>
      </c>
      <c r="J596" s="6">
        <f>D596/(VLOOKUP(B596,'[1]2021 Team'!$B$2:$G$33,2,FALSE))</f>
        <v>0</v>
      </c>
      <c r="K596" s="9"/>
      <c r="L596" s="5">
        <v>0</v>
      </c>
    </row>
    <row r="597" spans="1:12" x14ac:dyDescent="0.25">
      <c r="A597" s="5" t="s">
        <v>133</v>
      </c>
      <c r="B597" s="5" t="s">
        <v>62</v>
      </c>
      <c r="C597" s="7" t="s">
        <v>82</v>
      </c>
      <c r="D597" s="8">
        <v>0</v>
      </c>
      <c r="E597" s="8">
        <v>0</v>
      </c>
      <c r="F597" s="8">
        <v>0</v>
      </c>
      <c r="G597" s="5"/>
      <c r="H597" s="5">
        <v>0</v>
      </c>
      <c r="I597" s="6" t="e">
        <f t="shared" si="9"/>
        <v>#DIV/0!</v>
      </c>
      <c r="J597" s="6">
        <f>D597/(VLOOKUP(B597,'[1]2021 Team'!$B$2:$G$33,2,FALSE))</f>
        <v>0</v>
      </c>
      <c r="K597" s="9"/>
      <c r="L597" s="5">
        <v>0</v>
      </c>
    </row>
    <row r="598" spans="1:12" x14ac:dyDescent="0.25">
      <c r="A598" s="5" t="s">
        <v>87</v>
      </c>
      <c r="B598" s="5" t="s">
        <v>36</v>
      </c>
      <c r="C598" s="7" t="s">
        <v>82</v>
      </c>
      <c r="D598" s="8">
        <v>0</v>
      </c>
      <c r="E598" s="8">
        <v>0</v>
      </c>
      <c r="F598" s="8">
        <v>0</v>
      </c>
      <c r="G598" s="5"/>
      <c r="H598" s="5">
        <v>0</v>
      </c>
      <c r="I598" s="6" t="e">
        <f t="shared" si="9"/>
        <v>#DIV/0!</v>
      </c>
      <c r="J598" s="6">
        <f>D598/(VLOOKUP(B598,'[1]2021 Team'!$B$2:$G$33,2,FALSE))</f>
        <v>0</v>
      </c>
      <c r="K598" s="9"/>
      <c r="L598" s="5">
        <v>9</v>
      </c>
    </row>
    <row r="599" spans="1:12" x14ac:dyDescent="0.25">
      <c r="A599" s="5" t="s">
        <v>2455</v>
      </c>
      <c r="B599" s="5" t="s">
        <v>40</v>
      </c>
      <c r="C599" s="7" t="s">
        <v>980</v>
      </c>
      <c r="D599" s="8">
        <v>0</v>
      </c>
      <c r="E599" s="8">
        <v>0</v>
      </c>
      <c r="F599" s="8">
        <v>0</v>
      </c>
      <c r="G599" s="5"/>
      <c r="H599" s="5">
        <v>0</v>
      </c>
      <c r="I599" s="6" t="e">
        <f t="shared" si="9"/>
        <v>#DIV/0!</v>
      </c>
      <c r="J599" s="6">
        <f>D599/(VLOOKUP(B599,'[1]2021 Team'!$B$2:$G$33,2,FALSE))</f>
        <v>0</v>
      </c>
      <c r="K599" s="9"/>
      <c r="L599" s="5">
        <v>0</v>
      </c>
    </row>
    <row r="600" spans="1:12" x14ac:dyDescent="0.25">
      <c r="A600" s="5" t="s">
        <v>2379</v>
      </c>
      <c r="B600" s="5" t="s">
        <v>8</v>
      </c>
      <c r="C600" s="7" t="s">
        <v>165</v>
      </c>
      <c r="D600" s="8">
        <v>0</v>
      </c>
      <c r="E600" s="8">
        <v>0</v>
      </c>
      <c r="F600" s="8">
        <v>0</v>
      </c>
      <c r="G600" s="5"/>
      <c r="H600" s="5">
        <v>0</v>
      </c>
      <c r="I600" s="6" t="e">
        <f t="shared" si="9"/>
        <v>#DIV/0!</v>
      </c>
      <c r="J600" s="6">
        <f>D600/(VLOOKUP(B600,'[1]2021 Team'!$B$2:$G$33,2,FALSE))</f>
        <v>0</v>
      </c>
      <c r="K600" s="9"/>
      <c r="L600" s="5">
        <v>3</v>
      </c>
    </row>
    <row r="601" spans="1:12" x14ac:dyDescent="0.25">
      <c r="A601" s="5" t="s">
        <v>100</v>
      </c>
      <c r="B601" s="5" t="s">
        <v>30</v>
      </c>
      <c r="C601" s="7" t="s">
        <v>82</v>
      </c>
      <c r="D601" s="8">
        <v>0</v>
      </c>
      <c r="E601" s="8">
        <v>0</v>
      </c>
      <c r="F601" s="8">
        <v>0</v>
      </c>
      <c r="G601" s="5"/>
      <c r="H601" s="5">
        <v>0</v>
      </c>
      <c r="I601" s="6" t="e">
        <f t="shared" si="9"/>
        <v>#DIV/0!</v>
      </c>
      <c r="J601" s="6">
        <f>D601/(VLOOKUP(B601,'[1]2021 Team'!$B$2:$G$33,2,FALSE))</f>
        <v>0</v>
      </c>
      <c r="K601" s="9"/>
      <c r="L601" s="5">
        <v>3</v>
      </c>
    </row>
    <row r="602" spans="1:12" x14ac:dyDescent="0.25">
      <c r="A602" s="5" t="s">
        <v>91</v>
      </c>
      <c r="B602" s="5" t="s">
        <v>38</v>
      </c>
      <c r="C602" s="7" t="s">
        <v>82</v>
      </c>
      <c r="D602" s="8">
        <v>0</v>
      </c>
      <c r="E602" s="8">
        <v>0</v>
      </c>
      <c r="F602" s="8">
        <v>0</v>
      </c>
      <c r="G602" s="5"/>
      <c r="H602" s="5">
        <v>0</v>
      </c>
      <c r="I602" s="6" t="e">
        <f t="shared" si="9"/>
        <v>#DIV/0!</v>
      </c>
      <c r="J602" s="6">
        <f>D602/(VLOOKUP(B602,'[1]2021 Team'!$B$2:$G$33,2,FALSE))</f>
        <v>0</v>
      </c>
      <c r="K602" s="9"/>
      <c r="L602" s="5">
        <v>9</v>
      </c>
    </row>
    <row r="603" spans="1:12" x14ac:dyDescent="0.25">
      <c r="A603" s="5" t="s">
        <v>745</v>
      </c>
      <c r="B603" s="5" t="s">
        <v>56</v>
      </c>
      <c r="C603" s="7" t="s">
        <v>165</v>
      </c>
      <c r="D603" s="8">
        <v>0</v>
      </c>
      <c r="E603" s="8">
        <v>0</v>
      </c>
      <c r="F603" s="8">
        <v>0</v>
      </c>
      <c r="G603" s="5"/>
      <c r="H603" s="5">
        <v>0</v>
      </c>
      <c r="I603" s="6" t="e">
        <f t="shared" si="9"/>
        <v>#DIV/0!</v>
      </c>
      <c r="J603" s="6">
        <f>D603/(VLOOKUP(B603,'[1]2021 Team'!$B$2:$G$33,2,FALSE))</f>
        <v>0</v>
      </c>
      <c r="K603" s="9"/>
      <c r="L603" s="5">
        <v>0</v>
      </c>
    </row>
    <row r="604" spans="1:12" x14ac:dyDescent="0.25">
      <c r="A604" s="5" t="s">
        <v>2389</v>
      </c>
      <c r="B604" s="5" t="s">
        <v>48</v>
      </c>
      <c r="C604" s="7" t="s">
        <v>82</v>
      </c>
      <c r="D604" s="8">
        <v>0</v>
      </c>
      <c r="E604" s="8">
        <v>0</v>
      </c>
      <c r="F604" s="8">
        <v>0</v>
      </c>
      <c r="G604" s="5"/>
      <c r="H604" s="5">
        <v>0</v>
      </c>
      <c r="I604" s="6" t="e">
        <f t="shared" si="9"/>
        <v>#DIV/0!</v>
      </c>
      <c r="J604" s="6">
        <f>D604/(VLOOKUP(B604,'[1]2021 Team'!$B$2:$G$33,2,FALSE))</f>
        <v>0</v>
      </c>
      <c r="K604" s="9"/>
      <c r="L604" s="5">
        <v>0</v>
      </c>
    </row>
    <row r="605" spans="1:12" x14ac:dyDescent="0.25">
      <c r="A605" s="5" t="s">
        <v>115</v>
      </c>
      <c r="B605" s="5" t="s">
        <v>40</v>
      </c>
      <c r="C605" s="7" t="s">
        <v>82</v>
      </c>
      <c r="D605" s="8">
        <v>0</v>
      </c>
      <c r="E605" s="8">
        <v>0</v>
      </c>
      <c r="F605" s="8">
        <v>0</v>
      </c>
      <c r="G605" s="5"/>
      <c r="H605" s="5">
        <v>0</v>
      </c>
      <c r="I605" s="6" t="e">
        <f t="shared" si="9"/>
        <v>#DIV/0!</v>
      </c>
      <c r="J605" s="6">
        <f>D605/(VLOOKUP(B605,'[1]2021 Team'!$B$2:$G$33,2,FALSE))</f>
        <v>0</v>
      </c>
      <c r="K605" s="9"/>
      <c r="L605" s="5">
        <v>1</v>
      </c>
    </row>
    <row r="606" spans="1:12" x14ac:dyDescent="0.25">
      <c r="A606" s="5" t="s">
        <v>88</v>
      </c>
      <c r="B606" s="5" t="s">
        <v>22</v>
      </c>
      <c r="C606" s="7" t="s">
        <v>82</v>
      </c>
      <c r="D606" s="8">
        <v>0</v>
      </c>
      <c r="E606" s="8">
        <v>0</v>
      </c>
      <c r="F606" s="8">
        <v>11</v>
      </c>
      <c r="G606" s="5"/>
      <c r="H606" s="5">
        <v>0</v>
      </c>
      <c r="I606" s="6" t="e">
        <f t="shared" si="9"/>
        <v>#DIV/0!</v>
      </c>
      <c r="J606" s="6">
        <f>D606/(VLOOKUP(B606,'[1]2021 Team'!$B$2:$G$33,2,FALSE))</f>
        <v>0</v>
      </c>
      <c r="K606" s="9"/>
      <c r="L606" s="5">
        <v>6</v>
      </c>
    </row>
    <row r="607" spans="1:12" x14ac:dyDescent="0.25">
      <c r="A607" s="5" t="s">
        <v>2366</v>
      </c>
      <c r="B607" s="5" t="s">
        <v>8</v>
      </c>
      <c r="C607" s="7" t="s">
        <v>82</v>
      </c>
      <c r="D607" s="8">
        <v>0</v>
      </c>
      <c r="E607" s="8">
        <v>0</v>
      </c>
      <c r="F607" s="8">
        <v>0</v>
      </c>
      <c r="G607" s="5"/>
      <c r="H607" s="5">
        <v>0</v>
      </c>
      <c r="I607" s="6" t="e">
        <f t="shared" si="9"/>
        <v>#DIV/0!</v>
      </c>
      <c r="J607" s="6">
        <f>D607/(VLOOKUP(B607,'[1]2021 Team'!$B$2:$G$33,2,FALSE))</f>
        <v>0</v>
      </c>
      <c r="K607" s="9"/>
      <c r="L607" s="5">
        <v>4</v>
      </c>
    </row>
    <row r="608" spans="1:12" x14ac:dyDescent="0.25">
      <c r="A608" s="5" t="s">
        <v>2578</v>
      </c>
      <c r="B608" s="5" t="s">
        <v>12</v>
      </c>
      <c r="C608" s="7" t="s">
        <v>159</v>
      </c>
      <c r="D608" s="8">
        <v>0</v>
      </c>
      <c r="E608" s="8">
        <v>0</v>
      </c>
      <c r="F608" s="8">
        <v>0</v>
      </c>
      <c r="G608" s="5"/>
      <c r="H608" s="5">
        <v>0</v>
      </c>
      <c r="I608" s="6" t="e">
        <f t="shared" si="9"/>
        <v>#DIV/0!</v>
      </c>
      <c r="J608" s="6">
        <f>D608/(VLOOKUP(B608,'[1]2021 Team'!$B$2:$G$33,2,FALSE))</f>
        <v>0</v>
      </c>
      <c r="K608" s="9"/>
      <c r="L608" s="5">
        <v>0</v>
      </c>
    </row>
    <row r="609" spans="1:12" x14ac:dyDescent="0.25">
      <c r="A609" s="5" t="s">
        <v>2637</v>
      </c>
      <c r="B609" s="5" t="s">
        <v>66</v>
      </c>
      <c r="C609" s="7" t="s">
        <v>153</v>
      </c>
      <c r="D609" s="8">
        <v>1</v>
      </c>
      <c r="E609" s="8">
        <v>0</v>
      </c>
      <c r="F609" s="8">
        <v>0</v>
      </c>
      <c r="G609" s="5"/>
      <c r="H609" s="5">
        <v>0</v>
      </c>
      <c r="I609" s="6" t="e">
        <f t="shared" si="9"/>
        <v>#DIV/0!</v>
      </c>
      <c r="J609" s="6">
        <f>D609/(VLOOKUP(B609,'[1]2021 Team'!$B$2:$G$33,2,FALSE))</f>
        <v>1.3679890560875513E-3</v>
      </c>
      <c r="K609" s="9">
        <v>0</v>
      </c>
      <c r="L609" s="5">
        <v>0</v>
      </c>
    </row>
    <row r="610" spans="1:12" x14ac:dyDescent="0.25">
      <c r="A610" s="5" t="s">
        <v>122</v>
      </c>
      <c r="B610" s="5" t="s">
        <v>32</v>
      </c>
      <c r="C610" s="7" t="s">
        <v>82</v>
      </c>
      <c r="D610" s="8">
        <v>0</v>
      </c>
      <c r="E610" s="8">
        <v>0</v>
      </c>
      <c r="F610" s="8">
        <v>0</v>
      </c>
      <c r="G610" s="5"/>
      <c r="H610" s="5">
        <v>0</v>
      </c>
      <c r="I610" s="6" t="e">
        <f t="shared" si="9"/>
        <v>#DIV/0!</v>
      </c>
      <c r="J610" s="6">
        <f>D610/(VLOOKUP(B610,'[1]2021 Team'!$B$2:$G$33,2,FALSE))</f>
        <v>0</v>
      </c>
      <c r="K610" s="9"/>
      <c r="L610" s="5">
        <v>5</v>
      </c>
    </row>
    <row r="611" spans="1:12" x14ac:dyDescent="0.25">
      <c r="A611" s="5" t="s">
        <v>149</v>
      </c>
      <c r="B611" s="5" t="s">
        <v>58</v>
      </c>
      <c r="C611" s="7" t="s">
        <v>82</v>
      </c>
      <c r="D611" s="8">
        <v>0</v>
      </c>
      <c r="E611" s="8">
        <v>0</v>
      </c>
      <c r="F611" s="8">
        <v>0</v>
      </c>
      <c r="G611" s="5"/>
      <c r="H611" s="5">
        <v>0</v>
      </c>
      <c r="I611" s="6" t="e">
        <f t="shared" si="9"/>
        <v>#DIV/0!</v>
      </c>
      <c r="J611" s="6">
        <f>D611/(VLOOKUP(B611,'[1]2021 Team'!$B$2:$G$33,2,FALSE))</f>
        <v>0</v>
      </c>
      <c r="K611" s="9"/>
      <c r="L611" s="5">
        <v>1</v>
      </c>
    </row>
    <row r="612" spans="1:12" x14ac:dyDescent="0.25">
      <c r="A612" s="5" t="s">
        <v>2442</v>
      </c>
      <c r="B612" s="5" t="s">
        <v>28</v>
      </c>
      <c r="C612" s="7" t="s">
        <v>980</v>
      </c>
      <c r="D612" s="8">
        <v>0</v>
      </c>
      <c r="E612" s="8">
        <v>0</v>
      </c>
      <c r="F612" s="8">
        <v>0</v>
      </c>
      <c r="G612" s="5"/>
      <c r="H612" s="5">
        <v>0</v>
      </c>
      <c r="I612" s="6" t="e">
        <f t="shared" si="9"/>
        <v>#DIV/0!</v>
      </c>
      <c r="J612" s="6">
        <f>D612/(VLOOKUP(B612,'[1]2021 Team'!$B$2:$G$33,2,FALSE))</f>
        <v>0</v>
      </c>
      <c r="K612" s="9"/>
      <c r="L612" s="5">
        <v>0</v>
      </c>
    </row>
    <row r="613" spans="1:12" x14ac:dyDescent="0.25">
      <c r="A613" s="5" t="s">
        <v>751</v>
      </c>
      <c r="B613" s="5" t="s">
        <v>26</v>
      </c>
      <c r="C613" s="7" t="s">
        <v>163</v>
      </c>
      <c r="D613" s="8">
        <v>2</v>
      </c>
      <c r="E613" s="8">
        <v>0</v>
      </c>
      <c r="F613" s="8">
        <v>0</v>
      </c>
      <c r="G613" s="5"/>
      <c r="H613" s="5">
        <v>0</v>
      </c>
      <c r="I613" s="6" t="e">
        <f t="shared" si="9"/>
        <v>#DIV/0!</v>
      </c>
      <c r="J613" s="6">
        <f>D613/(VLOOKUP(B613,'[1]2021 Team'!$B$2:$G$33,2,FALSE))</f>
        <v>3.6968576709796672E-3</v>
      </c>
      <c r="K613" s="9">
        <v>0</v>
      </c>
      <c r="L613" s="5">
        <v>0</v>
      </c>
    </row>
    <row r="614" spans="1:12" x14ac:dyDescent="0.25">
      <c r="A614" s="5" t="s">
        <v>520</v>
      </c>
      <c r="B614" s="5" t="s">
        <v>62</v>
      </c>
      <c r="C614" s="7" t="s">
        <v>159</v>
      </c>
      <c r="D614" s="8">
        <v>0</v>
      </c>
      <c r="E614" s="8">
        <v>0</v>
      </c>
      <c r="F614" s="8">
        <v>0</v>
      </c>
      <c r="G614" s="5"/>
      <c r="H614" s="5">
        <v>0</v>
      </c>
      <c r="I614" s="6" t="e">
        <f t="shared" si="9"/>
        <v>#DIV/0!</v>
      </c>
      <c r="J614" s="6">
        <f>D614/(VLOOKUP(B614,'[1]2021 Team'!$B$2:$G$33,2,FALSE))</f>
        <v>0</v>
      </c>
      <c r="K614" s="9"/>
      <c r="L614" s="5">
        <v>0</v>
      </c>
    </row>
    <row r="615" spans="1:12" x14ac:dyDescent="0.25">
      <c r="A615" s="5" t="s">
        <v>121</v>
      </c>
      <c r="B615" s="5" t="s">
        <v>8</v>
      </c>
      <c r="C615" s="7" t="s">
        <v>82</v>
      </c>
      <c r="D615" s="8">
        <v>0</v>
      </c>
      <c r="E615" s="8">
        <v>0</v>
      </c>
      <c r="F615" s="8">
        <v>7</v>
      </c>
      <c r="G615" s="5"/>
      <c r="H615" s="5">
        <v>0</v>
      </c>
      <c r="I615" s="6" t="e">
        <f t="shared" si="9"/>
        <v>#DIV/0!</v>
      </c>
      <c r="J615" s="6">
        <f>D615/(VLOOKUP(B615,'[1]2021 Team'!$B$2:$G$33,2,FALSE))</f>
        <v>0</v>
      </c>
      <c r="K615" s="9"/>
      <c r="L615" s="5">
        <v>13</v>
      </c>
    </row>
    <row r="616" spans="1:12" x14ac:dyDescent="0.25">
      <c r="A616" s="5" t="s">
        <v>2640</v>
      </c>
      <c r="B616" s="5" t="s">
        <v>28</v>
      </c>
      <c r="C616" s="7" t="s">
        <v>2087</v>
      </c>
      <c r="D616" s="8">
        <v>1</v>
      </c>
      <c r="E616" s="8">
        <v>0</v>
      </c>
      <c r="F616" s="8">
        <v>0</v>
      </c>
      <c r="G616" s="5"/>
      <c r="H616" s="5">
        <v>0</v>
      </c>
      <c r="I616" s="6" t="e">
        <f t="shared" si="9"/>
        <v>#DIV/0!</v>
      </c>
      <c r="J616" s="6">
        <f>D616/(VLOOKUP(B616,'[1]2021 Team'!$B$2:$G$33,2,FALSE))</f>
        <v>1.6863406408094434E-3</v>
      </c>
      <c r="K616" s="9">
        <v>0</v>
      </c>
      <c r="L616" s="5">
        <v>0</v>
      </c>
    </row>
    <row r="617" spans="1:12" x14ac:dyDescent="0.25">
      <c r="A617" s="5" t="s">
        <v>2386</v>
      </c>
      <c r="B617" s="5" t="s">
        <v>16</v>
      </c>
      <c r="C617" s="7" t="s">
        <v>82</v>
      </c>
      <c r="D617" s="8">
        <v>0</v>
      </c>
      <c r="E617" s="8">
        <v>0</v>
      </c>
      <c r="F617" s="8">
        <v>0</v>
      </c>
      <c r="G617" s="5"/>
      <c r="H617" s="5">
        <v>0</v>
      </c>
      <c r="I617" s="6" t="e">
        <f t="shared" si="9"/>
        <v>#DIV/0!</v>
      </c>
      <c r="J617" s="6">
        <f>D617/(VLOOKUP(B617,'[1]2021 Team'!$B$2:$G$33,2,FALSE))</f>
        <v>0</v>
      </c>
      <c r="K617" s="9"/>
      <c r="L617" s="5">
        <v>4</v>
      </c>
    </row>
    <row r="618" spans="1:12" x14ac:dyDescent="0.25">
      <c r="A618" s="5" t="s">
        <v>2580</v>
      </c>
      <c r="B618" s="5" t="s">
        <v>46</v>
      </c>
      <c r="C618" s="7" t="s">
        <v>165</v>
      </c>
      <c r="D618" s="8">
        <v>0</v>
      </c>
      <c r="E618" s="8">
        <v>0</v>
      </c>
      <c r="F618" s="8">
        <v>0</v>
      </c>
      <c r="G618" s="5"/>
      <c r="H618" s="5">
        <v>0</v>
      </c>
      <c r="I618" s="6" t="e">
        <f t="shared" si="9"/>
        <v>#DIV/0!</v>
      </c>
      <c r="J618" s="6">
        <f>D618/(VLOOKUP(B618,'[1]2021 Team'!$B$2:$G$33,2,FALSE))</f>
        <v>0</v>
      </c>
      <c r="K618" s="9"/>
      <c r="L618" s="5">
        <v>0</v>
      </c>
    </row>
    <row r="619" spans="1:12" x14ac:dyDescent="0.25">
      <c r="A619" s="5" t="s">
        <v>2569</v>
      </c>
      <c r="B619" s="5" t="s">
        <v>62</v>
      </c>
      <c r="C619" s="7" t="s">
        <v>159</v>
      </c>
      <c r="D619" s="8">
        <v>0</v>
      </c>
      <c r="E619" s="8">
        <v>0</v>
      </c>
      <c r="F619" s="8">
        <v>0</v>
      </c>
      <c r="G619" s="5"/>
      <c r="H619" s="5">
        <v>0</v>
      </c>
      <c r="I619" s="6" t="e">
        <f t="shared" si="9"/>
        <v>#DIV/0!</v>
      </c>
      <c r="J619" s="6">
        <f>D619/(VLOOKUP(B619,'[1]2021 Team'!$B$2:$G$33,2,FALSE))</f>
        <v>0</v>
      </c>
      <c r="K619" s="9"/>
      <c r="L619" s="5">
        <v>0</v>
      </c>
    </row>
    <row r="620" spans="1:12" x14ac:dyDescent="0.25">
      <c r="A620" s="5" t="s">
        <v>1696</v>
      </c>
      <c r="B620" s="5" t="s">
        <v>56</v>
      </c>
      <c r="C620" s="7" t="s">
        <v>159</v>
      </c>
      <c r="D620" s="8">
        <v>0</v>
      </c>
      <c r="E620" s="8">
        <v>0</v>
      </c>
      <c r="F620" s="8">
        <v>0</v>
      </c>
      <c r="G620" s="5"/>
      <c r="H620" s="5">
        <v>0</v>
      </c>
      <c r="I620" s="6" t="e">
        <f t="shared" si="9"/>
        <v>#DIV/0!</v>
      </c>
      <c r="J620" s="6">
        <f>D620/(VLOOKUP(B620,'[1]2021 Team'!$B$2:$G$33,2,FALSE))</f>
        <v>0</v>
      </c>
      <c r="K620" s="9"/>
      <c r="L620" s="5">
        <v>0</v>
      </c>
    </row>
    <row r="621" spans="1:12" x14ac:dyDescent="0.25">
      <c r="A621" s="5" t="s">
        <v>1585</v>
      </c>
      <c r="B621" s="5" t="s">
        <v>40</v>
      </c>
      <c r="C621" s="7" t="s">
        <v>82</v>
      </c>
      <c r="D621" s="8">
        <v>0</v>
      </c>
      <c r="E621" s="8">
        <v>0</v>
      </c>
      <c r="F621" s="8">
        <v>0</v>
      </c>
      <c r="G621" s="5"/>
      <c r="H621" s="5">
        <v>0</v>
      </c>
      <c r="I621" s="6" t="e">
        <f t="shared" si="9"/>
        <v>#DIV/0!</v>
      </c>
      <c r="J621" s="6">
        <f>D621/(VLOOKUP(B621,'[1]2021 Team'!$B$2:$G$33,2,FALSE))</f>
        <v>0</v>
      </c>
      <c r="K621" s="9"/>
      <c r="L621" s="5">
        <v>0</v>
      </c>
    </row>
    <row r="622" spans="1:12" x14ac:dyDescent="0.25">
      <c r="A622" s="5" t="s">
        <v>83</v>
      </c>
      <c r="B622" s="5" t="s">
        <v>24</v>
      </c>
      <c r="C622" s="7" t="s">
        <v>82</v>
      </c>
      <c r="D622" s="8">
        <v>0</v>
      </c>
      <c r="E622" s="8">
        <v>0</v>
      </c>
      <c r="F622" s="8">
        <v>0</v>
      </c>
      <c r="G622" s="5"/>
      <c r="H622" s="5">
        <v>0</v>
      </c>
      <c r="I622" s="6" t="e">
        <f t="shared" si="9"/>
        <v>#DIV/0!</v>
      </c>
      <c r="J622" s="6">
        <f>D622/(VLOOKUP(B622,'[1]2021 Team'!$B$2:$G$33,2,FALSE))</f>
        <v>0</v>
      </c>
      <c r="K622" s="9"/>
      <c r="L622" s="5">
        <v>14</v>
      </c>
    </row>
    <row r="623" spans="1:12" x14ac:dyDescent="0.25">
      <c r="A623" s="5" t="s">
        <v>874</v>
      </c>
      <c r="B623" s="5" t="s">
        <v>16</v>
      </c>
      <c r="C623" s="7" t="s">
        <v>613</v>
      </c>
      <c r="D623" s="8">
        <v>2</v>
      </c>
      <c r="E623" s="8">
        <v>0</v>
      </c>
      <c r="F623" s="8">
        <v>0</v>
      </c>
      <c r="G623" s="5"/>
      <c r="H623" s="5">
        <v>0</v>
      </c>
      <c r="I623" s="6" t="e">
        <f t="shared" ref="I623:I655" si="10">H623/E623</f>
        <v>#DIV/0!</v>
      </c>
      <c r="J623" s="6">
        <f>D623/(VLOOKUP(B623,'[1]2021 Team'!$B$2:$G$33,2,FALSE))</f>
        <v>3.3388981636060101E-3</v>
      </c>
      <c r="K623" s="9">
        <v>0</v>
      </c>
      <c r="L623" s="5">
        <v>0</v>
      </c>
    </row>
    <row r="624" spans="1:12" x14ac:dyDescent="0.25">
      <c r="A624" s="5" t="s">
        <v>2383</v>
      </c>
      <c r="B624" s="5" t="s">
        <v>60</v>
      </c>
      <c r="C624" s="7" t="s">
        <v>82</v>
      </c>
      <c r="D624" s="8">
        <v>0</v>
      </c>
      <c r="E624" s="8">
        <v>0</v>
      </c>
      <c r="F624" s="8">
        <v>0</v>
      </c>
      <c r="G624" s="5"/>
      <c r="H624" s="5">
        <v>0</v>
      </c>
      <c r="I624" s="6" t="e">
        <f t="shared" si="10"/>
        <v>#DIV/0!</v>
      </c>
      <c r="J624" s="6">
        <f>D624/(VLOOKUP(B624,'[1]2021 Team'!$B$2:$G$33,2,FALSE))</f>
        <v>0</v>
      </c>
      <c r="K624" s="9"/>
      <c r="L624" s="5">
        <v>11</v>
      </c>
    </row>
    <row r="625" spans="1:12" x14ac:dyDescent="0.25">
      <c r="A625" s="5" t="s">
        <v>137</v>
      </c>
      <c r="B625" s="5" t="s">
        <v>60</v>
      </c>
      <c r="C625" s="7" t="s">
        <v>82</v>
      </c>
      <c r="D625" s="8">
        <v>0</v>
      </c>
      <c r="E625" s="8">
        <v>0</v>
      </c>
      <c r="F625" s="8">
        <v>0</v>
      </c>
      <c r="G625" s="5"/>
      <c r="H625" s="5">
        <v>0</v>
      </c>
      <c r="I625" s="6" t="e">
        <f t="shared" si="10"/>
        <v>#DIV/0!</v>
      </c>
      <c r="J625" s="6">
        <f>D625/(VLOOKUP(B625,'[1]2021 Team'!$B$2:$G$33,2,FALSE))</f>
        <v>0</v>
      </c>
      <c r="K625" s="9"/>
      <c r="L625" s="5">
        <v>1</v>
      </c>
    </row>
    <row r="626" spans="1:12" x14ac:dyDescent="0.25">
      <c r="A626" s="5" t="s">
        <v>136</v>
      </c>
      <c r="B626" s="5" t="s">
        <v>24</v>
      </c>
      <c r="C626" s="7" t="s">
        <v>82</v>
      </c>
      <c r="D626" s="8">
        <v>0</v>
      </c>
      <c r="E626" s="8">
        <v>0</v>
      </c>
      <c r="F626" s="8">
        <v>0</v>
      </c>
      <c r="G626" s="5"/>
      <c r="H626" s="5">
        <v>0</v>
      </c>
      <c r="I626" s="6" t="e">
        <f t="shared" si="10"/>
        <v>#DIV/0!</v>
      </c>
      <c r="J626" s="6">
        <f>D626/(VLOOKUP(B626,'[1]2021 Team'!$B$2:$G$33,2,FALSE))</f>
        <v>0</v>
      </c>
      <c r="K626" s="9"/>
      <c r="L626" s="5">
        <v>1</v>
      </c>
    </row>
    <row r="627" spans="1:12" x14ac:dyDescent="0.25">
      <c r="A627" s="5" t="s">
        <v>2365</v>
      </c>
      <c r="B627" s="5" t="s">
        <v>10</v>
      </c>
      <c r="C627" s="7" t="s">
        <v>82</v>
      </c>
      <c r="D627" s="8">
        <v>0</v>
      </c>
      <c r="E627" s="8">
        <v>0</v>
      </c>
      <c r="F627" s="8">
        <v>0</v>
      </c>
      <c r="G627" s="5"/>
      <c r="H627" s="5">
        <v>0</v>
      </c>
      <c r="I627" s="6" t="e">
        <f t="shared" si="10"/>
        <v>#DIV/0!</v>
      </c>
      <c r="J627" s="6">
        <f>D627/(VLOOKUP(B627,'[1]2021 Team'!$B$2:$G$33,2,FALSE))</f>
        <v>0</v>
      </c>
      <c r="K627" s="9"/>
      <c r="L627" s="5">
        <v>11</v>
      </c>
    </row>
    <row r="628" spans="1:12" x14ac:dyDescent="0.25">
      <c r="A628" s="5" t="s">
        <v>2555</v>
      </c>
      <c r="B628" s="5" t="s">
        <v>68</v>
      </c>
      <c r="C628" s="7" t="s">
        <v>159</v>
      </c>
      <c r="D628" s="8">
        <v>0</v>
      </c>
      <c r="E628" s="8">
        <v>0</v>
      </c>
      <c r="F628" s="8">
        <v>0</v>
      </c>
      <c r="G628" s="5"/>
      <c r="H628" s="5">
        <v>0</v>
      </c>
      <c r="I628" s="6" t="e">
        <f t="shared" si="10"/>
        <v>#DIV/0!</v>
      </c>
      <c r="J628" s="6">
        <f>D628/(VLOOKUP(B628,'[1]2021 Team'!$B$2:$G$33,2,FALSE))</f>
        <v>0</v>
      </c>
      <c r="K628" s="9"/>
      <c r="L628" s="5">
        <v>0</v>
      </c>
    </row>
    <row r="629" spans="1:12" x14ac:dyDescent="0.25">
      <c r="A629" s="5" t="s">
        <v>2555</v>
      </c>
      <c r="B629" s="5" t="s">
        <v>44</v>
      </c>
      <c r="C629" s="7" t="s">
        <v>159</v>
      </c>
      <c r="D629" s="8">
        <v>0</v>
      </c>
      <c r="E629" s="8">
        <v>0</v>
      </c>
      <c r="F629" s="8">
        <v>0</v>
      </c>
      <c r="G629" s="5"/>
      <c r="H629" s="5">
        <v>0</v>
      </c>
      <c r="I629" s="6" t="e">
        <f t="shared" si="10"/>
        <v>#DIV/0!</v>
      </c>
      <c r="J629" s="6">
        <f>D629/(VLOOKUP(B629,'[1]2021 Team'!$B$2:$G$33,2,FALSE))</f>
        <v>0</v>
      </c>
      <c r="K629" s="9"/>
      <c r="L629" s="5">
        <v>0</v>
      </c>
    </row>
    <row r="630" spans="1:12" x14ac:dyDescent="0.25">
      <c r="A630" s="5" t="s">
        <v>2555</v>
      </c>
      <c r="B630" s="5" t="s">
        <v>36</v>
      </c>
      <c r="C630" s="7" t="s">
        <v>159</v>
      </c>
      <c r="D630" s="8">
        <v>1</v>
      </c>
      <c r="E630" s="8">
        <v>0</v>
      </c>
      <c r="F630" s="8">
        <v>0</v>
      </c>
      <c r="G630" s="5"/>
      <c r="H630" s="5">
        <v>0</v>
      </c>
      <c r="I630" s="6" t="e">
        <f t="shared" si="10"/>
        <v>#DIV/0!</v>
      </c>
      <c r="J630" s="6">
        <f>D630/(VLOOKUP(B630,'[1]2021 Team'!$B$2:$G$33,2,FALSE))</f>
        <v>1.6556291390728477E-3</v>
      </c>
      <c r="K630" s="9">
        <v>0</v>
      </c>
      <c r="L630" s="5">
        <v>0</v>
      </c>
    </row>
    <row r="631" spans="1:12" x14ac:dyDescent="0.25">
      <c r="A631" s="5" t="s">
        <v>1561</v>
      </c>
      <c r="B631" s="5" t="s">
        <v>52</v>
      </c>
      <c r="C631" s="7" t="s">
        <v>82</v>
      </c>
      <c r="D631" s="8">
        <v>0</v>
      </c>
      <c r="E631" s="8">
        <v>0</v>
      </c>
      <c r="F631" s="8">
        <v>0</v>
      </c>
      <c r="G631" s="5"/>
      <c r="H631" s="5">
        <v>0</v>
      </c>
      <c r="I631" s="6" t="e">
        <f t="shared" si="10"/>
        <v>#DIV/0!</v>
      </c>
      <c r="J631" s="6">
        <f>D631/(VLOOKUP(B631,'[1]2021 Team'!$B$2:$G$33,2,FALSE))</f>
        <v>0</v>
      </c>
      <c r="K631" s="9"/>
      <c r="L631" s="5">
        <v>3</v>
      </c>
    </row>
    <row r="632" spans="1:12" x14ac:dyDescent="0.25">
      <c r="A632" s="5" t="s">
        <v>2651</v>
      </c>
      <c r="B632" s="5" t="s">
        <v>36</v>
      </c>
      <c r="C632" s="7" t="s">
        <v>163</v>
      </c>
      <c r="D632" s="8">
        <v>1</v>
      </c>
      <c r="E632" s="8">
        <v>0</v>
      </c>
      <c r="F632" s="8">
        <v>0</v>
      </c>
      <c r="G632" s="5"/>
      <c r="H632" s="5">
        <v>0</v>
      </c>
      <c r="I632" s="6" t="e">
        <f t="shared" si="10"/>
        <v>#DIV/0!</v>
      </c>
      <c r="J632" s="6">
        <f>D632/(VLOOKUP(B632,'[1]2021 Team'!$B$2:$G$33,2,FALSE))</f>
        <v>1.6556291390728477E-3</v>
      </c>
      <c r="K632" s="9">
        <v>0</v>
      </c>
      <c r="L632" s="5">
        <v>0</v>
      </c>
    </row>
    <row r="633" spans="1:12" x14ac:dyDescent="0.25">
      <c r="A633" s="5" t="s">
        <v>99</v>
      </c>
      <c r="B633" s="5" t="s">
        <v>64</v>
      </c>
      <c r="C633" s="7" t="s">
        <v>82</v>
      </c>
      <c r="D633" s="8">
        <v>0</v>
      </c>
      <c r="E633" s="8">
        <v>0</v>
      </c>
      <c r="F633" s="8">
        <v>0</v>
      </c>
      <c r="G633" s="5"/>
      <c r="H633" s="5">
        <v>0</v>
      </c>
      <c r="I633" s="6" t="e">
        <f t="shared" si="10"/>
        <v>#DIV/0!</v>
      </c>
      <c r="J633" s="6">
        <f>D633/(VLOOKUP(B633,'[1]2021 Team'!$B$2:$G$33,2,FALSE))</f>
        <v>0</v>
      </c>
      <c r="K633" s="9"/>
      <c r="L633" s="5">
        <v>1</v>
      </c>
    </row>
    <row r="634" spans="1:12" x14ac:dyDescent="0.25">
      <c r="A634" s="5" t="s">
        <v>2583</v>
      </c>
      <c r="B634" s="5" t="s">
        <v>24</v>
      </c>
      <c r="C634" s="7" t="s">
        <v>159</v>
      </c>
      <c r="D634" s="8">
        <v>0</v>
      </c>
      <c r="E634" s="8">
        <v>0</v>
      </c>
      <c r="F634" s="8">
        <v>0</v>
      </c>
      <c r="G634" s="5"/>
      <c r="H634" s="5">
        <v>0</v>
      </c>
      <c r="I634" s="6" t="e">
        <f t="shared" si="10"/>
        <v>#DIV/0!</v>
      </c>
      <c r="J634" s="6">
        <f>D634/(VLOOKUP(B634,'[1]2021 Team'!$B$2:$G$33,2,FALSE))</f>
        <v>0</v>
      </c>
      <c r="K634" s="9"/>
      <c r="L634" s="5">
        <v>0</v>
      </c>
    </row>
    <row r="635" spans="1:12" x14ac:dyDescent="0.25">
      <c r="A635" s="5" t="s">
        <v>2584</v>
      </c>
      <c r="B635" s="5" t="s">
        <v>32</v>
      </c>
      <c r="C635" s="7" t="s">
        <v>980</v>
      </c>
      <c r="D635" s="8">
        <v>0</v>
      </c>
      <c r="E635" s="8">
        <v>0</v>
      </c>
      <c r="F635" s="8">
        <v>0</v>
      </c>
      <c r="G635" s="5"/>
      <c r="H635" s="5">
        <v>0</v>
      </c>
      <c r="I635" s="6" t="e">
        <f t="shared" si="10"/>
        <v>#DIV/0!</v>
      </c>
      <c r="J635" s="6">
        <f>D635/(VLOOKUP(B635,'[1]2021 Team'!$B$2:$G$33,2,FALSE))</f>
        <v>0</v>
      </c>
      <c r="K635" s="9"/>
      <c r="L635" s="5">
        <v>0</v>
      </c>
    </row>
    <row r="636" spans="1:12" x14ac:dyDescent="0.25">
      <c r="A636" s="5" t="s">
        <v>2655</v>
      </c>
      <c r="B636" s="5" t="s">
        <v>56</v>
      </c>
      <c r="C636" s="7" t="s">
        <v>163</v>
      </c>
      <c r="D636" s="8">
        <v>1</v>
      </c>
      <c r="E636" s="8">
        <v>0</v>
      </c>
      <c r="F636" s="8">
        <v>0</v>
      </c>
      <c r="G636" s="5"/>
      <c r="H636" s="5">
        <v>0</v>
      </c>
      <c r="I636" s="6" t="e">
        <f t="shared" si="10"/>
        <v>#DIV/0!</v>
      </c>
      <c r="J636" s="6">
        <f>D636/(VLOOKUP(B636,'[1]2021 Team'!$B$2:$G$33,2,FALSE))</f>
        <v>1.658374792703151E-3</v>
      </c>
      <c r="K636" s="9">
        <v>0</v>
      </c>
      <c r="L636" s="5">
        <v>0</v>
      </c>
    </row>
    <row r="637" spans="1:12" x14ac:dyDescent="0.25">
      <c r="A637" s="5" t="s">
        <v>84</v>
      </c>
      <c r="B637" s="5" t="s">
        <v>44</v>
      </c>
      <c r="C637" s="7" t="s">
        <v>82</v>
      </c>
      <c r="D637" s="8">
        <v>0</v>
      </c>
      <c r="E637" s="8">
        <v>0</v>
      </c>
      <c r="F637" s="8">
        <v>0</v>
      </c>
      <c r="G637" s="5"/>
      <c r="H637" s="5">
        <v>0</v>
      </c>
      <c r="I637" s="6" t="e">
        <f t="shared" si="10"/>
        <v>#DIV/0!</v>
      </c>
      <c r="J637" s="6">
        <f>D637/(VLOOKUP(B637,'[1]2021 Team'!$B$2:$G$33,2,FALSE))</f>
        <v>0</v>
      </c>
      <c r="K637" s="9"/>
      <c r="L637" s="5">
        <v>5</v>
      </c>
    </row>
    <row r="638" spans="1:12" x14ac:dyDescent="0.25">
      <c r="A638" s="5" t="s">
        <v>2375</v>
      </c>
      <c r="B638" s="5" t="s">
        <v>8</v>
      </c>
      <c r="C638" s="7" t="s">
        <v>82</v>
      </c>
      <c r="D638" s="8">
        <v>0</v>
      </c>
      <c r="E638" s="8">
        <v>0</v>
      </c>
      <c r="F638" s="8">
        <v>0</v>
      </c>
      <c r="G638" s="5"/>
      <c r="H638" s="5">
        <v>0</v>
      </c>
      <c r="I638" s="6" t="e">
        <f t="shared" si="10"/>
        <v>#DIV/0!</v>
      </c>
      <c r="J638" s="6">
        <f>D638/(VLOOKUP(B638,'[1]2021 Team'!$B$2:$G$33,2,FALSE))</f>
        <v>0</v>
      </c>
      <c r="K638" s="9"/>
      <c r="L638" s="5">
        <v>1</v>
      </c>
    </row>
    <row r="639" spans="1:12" x14ac:dyDescent="0.25">
      <c r="A639" s="5" t="s">
        <v>1850</v>
      </c>
      <c r="B639" s="5" t="s">
        <v>16</v>
      </c>
      <c r="C639" s="7" t="s">
        <v>153</v>
      </c>
      <c r="D639" s="8">
        <v>1</v>
      </c>
      <c r="E639" s="8">
        <v>0</v>
      </c>
      <c r="F639" s="8">
        <v>0</v>
      </c>
      <c r="G639" s="5"/>
      <c r="H639" s="5">
        <v>0</v>
      </c>
      <c r="I639" s="6" t="e">
        <f t="shared" si="10"/>
        <v>#DIV/0!</v>
      </c>
      <c r="J639" s="6">
        <f>D639/(VLOOKUP(B639,'[1]2021 Team'!$B$2:$G$33,2,FALSE))</f>
        <v>1.6694490818030051E-3</v>
      </c>
      <c r="K639" s="9">
        <v>0</v>
      </c>
      <c r="L639" s="5">
        <v>0</v>
      </c>
    </row>
    <row r="640" spans="1:12" x14ac:dyDescent="0.25">
      <c r="A640" s="5" t="s">
        <v>103</v>
      </c>
      <c r="B640" s="5" t="s">
        <v>46</v>
      </c>
      <c r="C640" s="7" t="s">
        <v>82</v>
      </c>
      <c r="D640" s="8">
        <v>0</v>
      </c>
      <c r="E640" s="8">
        <v>0</v>
      </c>
      <c r="F640" s="8">
        <v>0</v>
      </c>
      <c r="G640" s="5"/>
      <c r="H640" s="5">
        <v>0</v>
      </c>
      <c r="I640" s="6" t="e">
        <f t="shared" si="10"/>
        <v>#DIV/0!</v>
      </c>
      <c r="J640" s="6">
        <f>D640/(VLOOKUP(B640,'[1]2021 Team'!$B$2:$G$33,2,FALSE))</f>
        <v>0</v>
      </c>
      <c r="K640" s="9"/>
      <c r="L640" s="5">
        <v>9</v>
      </c>
    </row>
    <row r="641" spans="1:12" x14ac:dyDescent="0.25">
      <c r="A641" s="5" t="s">
        <v>1555</v>
      </c>
      <c r="B641" s="5" t="s">
        <v>68</v>
      </c>
      <c r="C641" s="7" t="s">
        <v>82</v>
      </c>
      <c r="D641" s="8">
        <v>0</v>
      </c>
      <c r="E641" s="8">
        <v>0</v>
      </c>
      <c r="F641" s="8">
        <v>0</v>
      </c>
      <c r="G641" s="5"/>
      <c r="H641" s="5">
        <v>0</v>
      </c>
      <c r="I641" s="6" t="e">
        <f t="shared" si="10"/>
        <v>#DIV/0!</v>
      </c>
      <c r="J641" s="6">
        <f>D641/(VLOOKUP(B641,'[1]2021 Team'!$B$2:$G$33,2,FALSE))</f>
        <v>0</v>
      </c>
      <c r="K641" s="9"/>
      <c r="L641" s="5">
        <v>10</v>
      </c>
    </row>
    <row r="642" spans="1:12" x14ac:dyDescent="0.25">
      <c r="A642" s="5" t="s">
        <v>124</v>
      </c>
      <c r="B642" s="5" t="s">
        <v>32</v>
      </c>
      <c r="C642" s="7" t="s">
        <v>82</v>
      </c>
      <c r="D642" s="8">
        <v>0</v>
      </c>
      <c r="E642" s="8">
        <v>0</v>
      </c>
      <c r="F642" s="8">
        <v>0</v>
      </c>
      <c r="G642" s="5"/>
      <c r="H642" s="5">
        <v>0</v>
      </c>
      <c r="I642" s="6" t="e">
        <f t="shared" si="10"/>
        <v>#DIV/0!</v>
      </c>
      <c r="J642" s="6">
        <f>D642/(VLOOKUP(B642,'[1]2021 Team'!$B$2:$G$33,2,FALSE))</f>
        <v>0</v>
      </c>
      <c r="K642" s="9"/>
      <c r="L642" s="5">
        <v>3</v>
      </c>
    </row>
    <row r="643" spans="1:12" x14ac:dyDescent="0.25">
      <c r="A643" s="5" t="s">
        <v>2663</v>
      </c>
      <c r="B643" s="5" t="s">
        <v>16</v>
      </c>
      <c r="C643" s="7" t="s">
        <v>153</v>
      </c>
      <c r="D643" s="8">
        <v>1</v>
      </c>
      <c r="E643" s="8">
        <v>0</v>
      </c>
      <c r="F643" s="8">
        <v>0</v>
      </c>
      <c r="G643" s="5"/>
      <c r="H643" s="5">
        <v>0</v>
      </c>
      <c r="I643" s="6" t="e">
        <f t="shared" si="10"/>
        <v>#DIV/0!</v>
      </c>
      <c r="J643" s="6">
        <f>D643/(VLOOKUP(B643,'[1]2021 Team'!$B$2:$G$33,2,FALSE))</f>
        <v>1.6694490818030051E-3</v>
      </c>
      <c r="K643" s="9">
        <v>0</v>
      </c>
      <c r="L643" s="5">
        <v>0</v>
      </c>
    </row>
    <row r="644" spans="1:12" x14ac:dyDescent="0.25">
      <c r="A644" s="5" t="s">
        <v>141</v>
      </c>
      <c r="B644" s="5" t="s">
        <v>14</v>
      </c>
      <c r="C644" s="7" t="s">
        <v>82</v>
      </c>
      <c r="D644" s="8">
        <v>0</v>
      </c>
      <c r="E644" s="8">
        <v>0</v>
      </c>
      <c r="F644" s="8">
        <v>0</v>
      </c>
      <c r="G644" s="5"/>
      <c r="H644" s="5">
        <v>0</v>
      </c>
      <c r="I644" s="6" t="e">
        <f t="shared" si="10"/>
        <v>#DIV/0!</v>
      </c>
      <c r="J644" s="6">
        <f>D644/(VLOOKUP(B644,'[1]2021 Team'!$B$2:$G$33,2,FALSE))</f>
        <v>0</v>
      </c>
      <c r="K644" s="9"/>
      <c r="L644" s="5">
        <v>0</v>
      </c>
    </row>
    <row r="645" spans="1:12" x14ac:dyDescent="0.25">
      <c r="A645" s="5" t="s">
        <v>1562</v>
      </c>
      <c r="B645" s="5" t="s">
        <v>16</v>
      </c>
      <c r="C645" s="7" t="s">
        <v>82</v>
      </c>
      <c r="D645" s="8">
        <v>0</v>
      </c>
      <c r="E645" s="8">
        <v>0</v>
      </c>
      <c r="F645" s="8">
        <v>0</v>
      </c>
      <c r="G645" s="5"/>
      <c r="H645" s="5">
        <v>0</v>
      </c>
      <c r="I645" s="6" t="e">
        <f t="shared" si="10"/>
        <v>#DIV/0!</v>
      </c>
      <c r="J645" s="6">
        <f>D645/(VLOOKUP(B645,'[1]2021 Team'!$B$2:$G$33,2,FALSE))</f>
        <v>0</v>
      </c>
      <c r="K645" s="9"/>
      <c r="L645" s="5">
        <v>3</v>
      </c>
    </row>
    <row r="646" spans="1:12" x14ac:dyDescent="0.25">
      <c r="A646" s="5" t="s">
        <v>2373</v>
      </c>
      <c r="B646" s="5" t="s">
        <v>14</v>
      </c>
      <c r="C646" s="7" t="s">
        <v>82</v>
      </c>
      <c r="D646" s="8">
        <v>0</v>
      </c>
      <c r="E646" s="8">
        <v>0</v>
      </c>
      <c r="F646" s="8">
        <v>0</v>
      </c>
      <c r="G646" s="5"/>
      <c r="H646" s="5">
        <v>0</v>
      </c>
      <c r="I646" s="6" t="e">
        <f t="shared" si="10"/>
        <v>#DIV/0!</v>
      </c>
      <c r="J646" s="6">
        <f>D646/(VLOOKUP(B646,'[1]2021 Team'!$B$2:$G$33,2,FALSE))</f>
        <v>0</v>
      </c>
      <c r="K646" s="9"/>
      <c r="L646" s="5">
        <v>0</v>
      </c>
    </row>
    <row r="647" spans="1:12" x14ac:dyDescent="0.25">
      <c r="A647" s="5" t="s">
        <v>120</v>
      </c>
      <c r="B647" s="5" t="s">
        <v>34</v>
      </c>
      <c r="C647" s="7" t="s">
        <v>82</v>
      </c>
      <c r="D647" s="8">
        <v>0</v>
      </c>
      <c r="E647" s="8">
        <v>0</v>
      </c>
      <c r="F647" s="8">
        <v>0</v>
      </c>
      <c r="G647" s="5"/>
      <c r="H647" s="5">
        <v>0</v>
      </c>
      <c r="I647" s="6" t="e">
        <f t="shared" si="10"/>
        <v>#DIV/0!</v>
      </c>
      <c r="J647" s="6">
        <f>D647/(VLOOKUP(B647,'[1]2021 Team'!$B$2:$G$33,2,FALSE))</f>
        <v>0</v>
      </c>
      <c r="K647" s="9"/>
      <c r="L647" s="5">
        <v>8</v>
      </c>
    </row>
    <row r="648" spans="1:12" x14ac:dyDescent="0.25">
      <c r="A648" s="5" t="s">
        <v>1572</v>
      </c>
      <c r="B648" s="5" t="s">
        <v>56</v>
      </c>
      <c r="C648" s="7" t="s">
        <v>82</v>
      </c>
      <c r="D648" s="8">
        <v>0</v>
      </c>
      <c r="E648" s="8">
        <v>0</v>
      </c>
      <c r="F648" s="8">
        <v>0</v>
      </c>
      <c r="G648" s="5"/>
      <c r="H648" s="5">
        <v>0</v>
      </c>
      <c r="I648" s="6" t="e">
        <f t="shared" si="10"/>
        <v>#DIV/0!</v>
      </c>
      <c r="J648" s="6">
        <f>D648/(VLOOKUP(B648,'[1]2021 Team'!$B$2:$G$33,2,FALSE))</f>
        <v>0</v>
      </c>
      <c r="K648" s="9"/>
      <c r="L648" s="5">
        <v>0</v>
      </c>
    </row>
    <row r="649" spans="1:12" x14ac:dyDescent="0.25">
      <c r="A649" s="5" t="s">
        <v>2669</v>
      </c>
      <c r="B649" s="5" t="s">
        <v>62</v>
      </c>
      <c r="C649" s="7" t="s">
        <v>2184</v>
      </c>
      <c r="D649" s="8">
        <v>1</v>
      </c>
      <c r="E649" s="8">
        <v>0</v>
      </c>
      <c r="F649" s="8">
        <v>0</v>
      </c>
      <c r="G649" s="5"/>
      <c r="H649" s="5">
        <v>0</v>
      </c>
      <c r="I649" s="6" t="e">
        <f t="shared" si="10"/>
        <v>#DIV/0!</v>
      </c>
      <c r="J649" s="6">
        <f>D649/(VLOOKUP(B649,'[1]2021 Team'!$B$2:$G$33,2,FALSE))</f>
        <v>1.9455252918287938E-3</v>
      </c>
      <c r="K649" s="9">
        <v>0</v>
      </c>
      <c r="L649" s="5">
        <v>0</v>
      </c>
    </row>
    <row r="650" spans="1:12" x14ac:dyDescent="0.25">
      <c r="A650" s="5" t="s">
        <v>126</v>
      </c>
      <c r="B650" s="5" t="s">
        <v>64</v>
      </c>
      <c r="C650" s="7" t="s">
        <v>82</v>
      </c>
      <c r="D650" s="8">
        <v>0</v>
      </c>
      <c r="E650" s="8">
        <v>0</v>
      </c>
      <c r="F650" s="8">
        <v>0</v>
      </c>
      <c r="G650" s="5"/>
      <c r="H650" s="5">
        <v>0</v>
      </c>
      <c r="I650" s="6" t="e">
        <f t="shared" si="10"/>
        <v>#DIV/0!</v>
      </c>
      <c r="J650" s="6">
        <f>D650/(VLOOKUP(B650,'[1]2021 Team'!$B$2:$G$33,2,FALSE))</f>
        <v>0</v>
      </c>
      <c r="K650" s="9"/>
      <c r="L650" s="5">
        <v>6</v>
      </c>
    </row>
    <row r="651" spans="1:12" x14ac:dyDescent="0.25">
      <c r="A651" s="5" t="s">
        <v>150</v>
      </c>
      <c r="B651" s="5" t="s">
        <v>56</v>
      </c>
      <c r="C651" s="7" t="s">
        <v>82</v>
      </c>
      <c r="D651" s="8">
        <v>1</v>
      </c>
      <c r="E651" s="8">
        <v>0</v>
      </c>
      <c r="F651" s="8">
        <v>0</v>
      </c>
      <c r="G651" s="5"/>
      <c r="H651" s="5">
        <v>0</v>
      </c>
      <c r="I651" s="6" t="e">
        <f t="shared" si="10"/>
        <v>#DIV/0!</v>
      </c>
      <c r="J651" s="6">
        <f>D651/(VLOOKUP(B651,'[1]2021 Team'!$B$2:$G$33,2,FALSE))</f>
        <v>1.658374792703151E-3</v>
      </c>
      <c r="K651" s="9">
        <v>0</v>
      </c>
      <c r="L651" s="5">
        <v>5</v>
      </c>
    </row>
    <row r="652" spans="1:12" x14ac:dyDescent="0.25">
      <c r="A652" s="5" t="s">
        <v>2587</v>
      </c>
      <c r="B652" s="5" t="s">
        <v>36</v>
      </c>
      <c r="C652" s="7" t="s">
        <v>2572</v>
      </c>
      <c r="D652" s="8">
        <v>0</v>
      </c>
      <c r="E652" s="8">
        <v>0</v>
      </c>
      <c r="F652" s="8">
        <v>0</v>
      </c>
      <c r="G652" s="5"/>
      <c r="H652" s="5">
        <v>0</v>
      </c>
      <c r="I652" s="6" t="e">
        <f t="shared" si="10"/>
        <v>#DIV/0!</v>
      </c>
      <c r="J652" s="6">
        <f>D652/(VLOOKUP(B652,'[1]2021 Team'!$B$2:$G$33,2,FALSE))</f>
        <v>0</v>
      </c>
      <c r="K652" s="9"/>
      <c r="L652" s="5">
        <v>0</v>
      </c>
    </row>
    <row r="653" spans="1:12" x14ac:dyDescent="0.25">
      <c r="A653" s="5" t="s">
        <v>132</v>
      </c>
      <c r="B653" s="5" t="s">
        <v>52</v>
      </c>
      <c r="C653" s="7" t="s">
        <v>82</v>
      </c>
      <c r="D653" s="8">
        <v>0</v>
      </c>
      <c r="E653" s="8">
        <v>0</v>
      </c>
      <c r="F653" s="8">
        <v>0</v>
      </c>
      <c r="G653" s="5"/>
      <c r="H653" s="5">
        <v>0</v>
      </c>
      <c r="I653" s="6" t="e">
        <f t="shared" si="10"/>
        <v>#DIV/0!</v>
      </c>
      <c r="J653" s="6">
        <f>D653/(VLOOKUP(B653,'[1]2021 Team'!$B$2:$G$33,2,FALSE))</f>
        <v>0</v>
      </c>
      <c r="K653" s="9"/>
      <c r="L653" s="5">
        <v>2</v>
      </c>
    </row>
    <row r="654" spans="1:12" x14ac:dyDescent="0.25">
      <c r="A654" s="5" t="s">
        <v>2370</v>
      </c>
      <c r="B654" s="5" t="s">
        <v>44</v>
      </c>
      <c r="C654" s="7" t="s">
        <v>82</v>
      </c>
      <c r="D654" s="8">
        <v>0</v>
      </c>
      <c r="E654" s="8">
        <v>0</v>
      </c>
      <c r="F654" s="8">
        <v>0</v>
      </c>
      <c r="G654" s="5"/>
      <c r="H654" s="5">
        <v>0</v>
      </c>
      <c r="I654" s="6" t="e">
        <f t="shared" si="10"/>
        <v>#DIV/0!</v>
      </c>
      <c r="J654" s="6">
        <f>D654/(VLOOKUP(B654,'[1]2021 Team'!$B$2:$G$33,2,FALSE))</f>
        <v>0</v>
      </c>
      <c r="K654" s="9"/>
      <c r="L654" s="5">
        <v>0</v>
      </c>
    </row>
    <row r="655" spans="1:12" x14ac:dyDescent="0.25">
      <c r="A655" s="5" t="s">
        <v>1575</v>
      </c>
      <c r="B655" s="5" t="s">
        <v>68</v>
      </c>
      <c r="C655" s="7" t="s">
        <v>82</v>
      </c>
      <c r="D655" s="8">
        <v>0</v>
      </c>
      <c r="E655" s="8">
        <v>0</v>
      </c>
      <c r="F655" s="8">
        <v>0</v>
      </c>
      <c r="G655" s="5"/>
      <c r="H655" s="5">
        <v>0</v>
      </c>
      <c r="I655" s="6" t="e">
        <f t="shared" si="10"/>
        <v>#DIV/0!</v>
      </c>
      <c r="J655" s="6">
        <f>D655/(VLOOKUP(B655,'[1]2021 Team'!$B$2:$G$33,2,FALSE))</f>
        <v>0</v>
      </c>
      <c r="K655" s="9"/>
      <c r="L655" s="5">
        <v>0</v>
      </c>
    </row>
  </sheetData>
  <autoFilter ref="A1:L655" xr:uid="{5F38AD6F-859E-47C5-8577-B7FEE1C99FEF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D10D-CCDD-44FD-8C95-DE50206FD0D3}">
  <dimension ref="A1:B33"/>
  <sheetViews>
    <sheetView workbookViewId="0">
      <selection activeCell="B2" sqref="A2:B33"/>
    </sheetView>
  </sheetViews>
  <sheetFormatPr defaultRowHeight="15" x14ac:dyDescent="0.25"/>
  <cols>
    <col min="1" max="1" width="2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27</v>
      </c>
      <c r="B12" t="s">
        <v>28</v>
      </c>
    </row>
    <row r="13" spans="1:2" x14ac:dyDescent="0.25">
      <c r="A13" t="s">
        <v>29</v>
      </c>
      <c r="B13" t="s">
        <v>30</v>
      </c>
    </row>
    <row r="14" spans="1:2" x14ac:dyDescent="0.25">
      <c r="A14" t="s">
        <v>31</v>
      </c>
      <c r="B14" t="s">
        <v>32</v>
      </c>
    </row>
    <row r="15" spans="1:2" x14ac:dyDescent="0.25">
      <c r="A15" t="s">
        <v>33</v>
      </c>
      <c r="B15" t="s">
        <v>34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59</v>
      </c>
      <c r="B28" t="s">
        <v>60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63</v>
      </c>
      <c r="B30" t="s">
        <v>64</v>
      </c>
    </row>
    <row r="31" spans="1:2" x14ac:dyDescent="0.25">
      <c r="A31" t="s">
        <v>65</v>
      </c>
      <c r="B31" t="s">
        <v>66</v>
      </c>
    </row>
    <row r="32" spans="1:2" x14ac:dyDescent="0.25">
      <c r="A32" t="s">
        <v>67</v>
      </c>
      <c r="B32" t="s">
        <v>68</v>
      </c>
    </row>
    <row r="33" spans="1:2" x14ac:dyDescent="0.25">
      <c r="A33" t="s">
        <v>69</v>
      </c>
      <c r="B3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2025 Team</vt:lpstr>
      <vt:lpstr>2024 Team</vt:lpstr>
      <vt:lpstr>2023 Team</vt:lpstr>
      <vt:lpstr>2022 Team</vt:lpstr>
      <vt:lpstr>2021 Team</vt:lpstr>
      <vt:lpstr>2025 Passing</vt:lpstr>
      <vt:lpstr>2024 Passing</vt:lpstr>
      <vt:lpstr>2023 Passing</vt:lpstr>
      <vt:lpstr>2022 Passing</vt:lpstr>
      <vt:lpstr>2021 Passing</vt:lpstr>
      <vt:lpstr>2025 Rushing</vt:lpstr>
      <vt:lpstr>2024 Rushing</vt:lpstr>
      <vt:lpstr>2023 Rushing</vt:lpstr>
      <vt:lpstr>2022 Rushing</vt:lpstr>
      <vt:lpstr>2021 Rushing</vt:lpstr>
      <vt:lpstr>2025 Receiving</vt:lpstr>
      <vt:lpstr>2024 Receiving</vt:lpstr>
      <vt:lpstr>2023 Receiving</vt:lpstr>
      <vt:lpstr>2022 Receiving</vt:lpstr>
      <vt:lpstr>2021 Receiving</vt:lpstr>
      <vt:lpstr>ABB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Druga</cp:lastModifiedBy>
  <dcterms:modified xsi:type="dcterms:W3CDTF">2026-05-25T18:38:26Z</dcterms:modified>
</cp:coreProperties>
</file>